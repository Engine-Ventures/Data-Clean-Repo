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Companies" sheetId="2" r:id="rId6"/>
    <sheet state="visible" name="Discussed Companies" sheetId="3" r:id="rId7"/>
    <sheet state="visible" name="Trend Answers" sheetId="4" r:id="rId8"/>
    <sheet state="visible" name="Stage History" sheetId="5" r:id="rId9"/>
    <sheet state="visible" name="Enrichment Worklist" sheetId="6" r:id="rId10"/>
    <sheet state="visible" name="Data Dictionary" sheetId="7" r:id="rId11"/>
  </sheets>
  <definedNames>
    <definedName hidden="1" localSheetId="1" name="_xlnm._FilterDatabase">Companies!$A$1:$BD$497</definedName>
    <definedName hidden="1" localSheetId="2" name="_xlnm._FilterDatabase">'Discussed Companies'!$A$1:$Q$35</definedName>
    <definedName hidden="1" localSheetId="4" name="_xlnm._FilterDatabase">'Stage History'!$A$1:$F$2170</definedName>
    <definedName hidden="1" localSheetId="5" name="_xlnm._FilterDatabase">'Enrichment Worklist'!$A$1:$P$399</definedName>
    <definedName hidden="1" localSheetId="6" name="_xlnm._FilterDatabase">'Data Dictionary'!$A$1:$C$29</definedName>
  </definedNames>
  <calcPr/>
</workbook>
</file>

<file path=xl/sharedStrings.xml><?xml version="1.0" encoding="utf-8"?>
<sst xmlns="http://schemas.openxmlformats.org/spreadsheetml/2006/main" count="8202" uniqueCount="1186">
  <si>
    <t>Engine Ventures — New Deal Pipeline, ADVANCED-STAGE COHORT (rescoped 2026-09-02)</t>
  </si>
  <si>
    <t>company_id</t>
  </si>
  <si>
    <t>Trend Answers — live formulas (ADVANCED-STAGE COHORT ONLY, rescoped 2026-09-02)</t>
  </si>
  <si>
    <t>company_name</t>
  </si>
  <si>
    <t>times_discussed</t>
  </si>
  <si>
    <t>first_discussion_date</t>
  </si>
  <si>
    <t>Scope: every company appearing on a New Deal Meeting slide from 2025-10-14 through 2026-08-31 that reached Preliminary Diligence, Deep Diligence, Negotiate/Offer, or Legal Diligence at least once. Companies whose furthest stage was NewCo/Fellows, Hold/Nurture, or Meetings This Week were removed from this file on 2026-09-02, at the request of the deal team, to focus this database on companies past a first meeting. See the rescope log below for what was cut.</t>
  </si>
  <si>
    <t>last_discussion_date</t>
  </si>
  <si>
    <t>43 weekly meetings · 187 distinct companies in this file (was 481 pre-rescope, 498 pre-dedup) · built 2026-09-01, deduplicated &amp; enriched 2026-09-02, rescoped to advanced-stage-only 2026-09-02.</t>
  </si>
  <si>
    <t>discussion_dates</t>
  </si>
  <si>
    <t>furthest_stage_on_slides</t>
  </si>
  <si>
    <t>date_deep_diligence</t>
  </si>
  <si>
    <t>date_legal</t>
  </si>
  <si>
    <t>SOURCES AND PRECEDENCE</t>
  </si>
  <si>
    <t>stage</t>
  </si>
  <si>
    <t>round_size_usd</t>
  </si>
  <si>
    <t>working_group_final</t>
  </si>
  <si>
    <t>1. New Deal Meeting slides (PDF, 1,018 pages) — defines the population and ALL stage history.</t>
  </si>
  <si>
    <t>hq_city</t>
  </si>
  <si>
    <t>hq_state_province</t>
  </si>
  <si>
    <t>2. Affinity export (581 records) — enrichment only. Never used to add a company.</t>
  </si>
  <si>
    <t>hq_country</t>
  </si>
  <si>
    <t>3. Public sources — used only to fill gaps on advanced-stage companies; cited per row.</t>
  </si>
  <si>
    <t>affinity_status</t>
  </si>
  <si>
    <t>owner_name</t>
  </si>
  <si>
    <t>Slides are the spine because Affinity is not a record of what was discussed: 103 of its</t>
  </si>
  <si>
    <t>581 records were never contacted, and a January bulk import of 51 Swiss companies would</t>
  </si>
  <si>
    <t>distort any geographic analysis run off Affinity alone.</t>
  </si>
  <si>
    <t>EV0001</t>
  </si>
  <si>
    <t>Every number below is a COUNTIFS against the Companies sheet. Edit Companies, these update. Do not type values here. SCOPE: this workbook was rescoped 2026-09-02 to exclude companies whose furthest stage was NewCo/Fellows, Hold/Nurture, or Meetings This Week -- i.e. companies that never advanced past a first meeting. Only Preliminary Diligence, Deep Diligence, Negotiate/Offer, and Legal Diligence/Def Docs companies remain. 294 of the prior 481 companies were removed on that basis; see READ ME for the full log.</t>
  </si>
  <si>
    <t>website</t>
  </si>
  <si>
    <t>HOW 'DISCUSSED' IS DEFINED</t>
  </si>
  <si>
    <t>discussed_in_new_deal_meeting = TRUE when the company name is BOLD on a meeting slide.</t>
  </si>
  <si>
    <t>discussed_in_new_deal_meeting</t>
  </si>
  <si>
    <t>Bristol Superlight</t>
  </si>
  <si>
    <t>Bold was read from the embedded font (Arial-BoldMT / HelveticaNeue-Bold), not inferred.</t>
  </si>
  <si>
    <t>34 companies are bold at least once, across 152 bold appearances.</t>
  </si>
  <si>
    <t>Validation: every company that reached Legal on the slides appears on the Fund III</t>
  </si>
  <si>
    <t>Population control totals</t>
  </si>
  <si>
    <t>investment list on page 1 of the deck.</t>
  </si>
  <si>
    <t>date_reached_furthest_stage</t>
  </si>
  <si>
    <t>STAGE HISTORY — THE POINT OF THIS BUILD</t>
  </si>
  <si>
    <t>latest_stage_on_slides</t>
  </si>
  <si>
    <t>Check these first. If they move, the row set changed and every block below reflects it.</t>
  </si>
  <si>
    <t>Affinity holds one current status with no history, so 'which companies moved into deep</t>
  </si>
  <si>
    <t>reached_prelim_diligence</t>
  </si>
  <si>
    <t>date_prelim_diligence</t>
  </si>
  <si>
    <t>diligence' was unanswerable. Slide position is captured weekly, so this dataset reconstructs</t>
  </si>
  <si>
    <t>reached_deep_diligence</t>
  </si>
  <si>
    <t>2025-11-24; 2025-12-01; 2025-12-08; 2025-12-15; 2026-01-05; 2026-01-12; 2026-01-20; 2026-01-26; 2026-02-02; 2026-02-09; 2026-02-17; 2026-02-23; 2026-03-02; 2026-03-09; 2026-03-16; 2026-03-23; 2026-03-30; 2026-04-06; 2026-04-13; 2026-04-20; 2026-05-04; 2026-05-11; 2026-05-18</t>
  </si>
  <si>
    <t>the funnel: 15 companies reached Deep Diligence since October (Affinity shows 2), and 6</t>
  </si>
  <si>
    <t>Measure</t>
  </si>
  <si>
    <t>reached Legal (a status that does not exist in Affinity).</t>
  </si>
  <si>
    <t>reached_negotiate_offer</t>
  </si>
  <si>
    <t>Legal Diligence / Def Docs</t>
  </si>
  <si>
    <t>date_negotiate_offer</t>
  </si>
  <si>
    <t>Series A</t>
  </si>
  <si>
    <t>reached_legal</t>
  </si>
  <si>
    <t>KNOWN LIMITS — READ BEFORE PRESENTING</t>
  </si>
  <si>
    <t>slide_appearances</t>
  </si>
  <si>
    <t>first_slide_date</t>
  </si>
  <si>
    <t>last_slide_date</t>
  </si>
  <si>
    <t>Count</t>
  </si>
  <si>
    <t>· 34% of this cohort (63 of 187) have no Affinity record. Mostly Preliminary Diligence entries never logged in Affinity.</t>
  </si>
  <si>
    <t>working_group_source</t>
  </si>
  <si>
    <t>· Stage is unknown for 77 of 187 (41%) -- much better coverage than the full 481-company population (61% unknown).</t>
  </si>
  <si>
    <t>Climate; Systems</t>
  </si>
  <si>
    <t>thesis_area_slides</t>
  </si>
  <si>
    <t>Note</t>
  </si>
  <si>
    <t>· Geography is unknown for 1 of the 15 deep-diligence companies (Valor).</t>
  </si>
  <si>
    <t>England</t>
  </si>
  <si>
    <t>United Kingdom</t>
  </si>
  <si>
    <t>Invested</t>
  </si>
  <si>
    <t>· Name matching used exact, domain, then fuzzy containment (21 fuzzy matches in this cohort). Spot-check those.</t>
  </si>
  <si>
    <t>Rachel Field</t>
  </si>
  <si>
    <t>· Grouped slide entries (e.g. 'Cetos / Kira / Eden Tech') were not split into components.</t>
  </si>
  <si>
    <t>Companies on slides since Oct 2025 that reached &gt;= Preliminary Diligence</t>
  </si>
  <si>
    <t>EV0002</t>
  </si>
  <si>
    <t>CorePower Magnetics</t>
  </si>
  <si>
    <t>· Round Size 0 in Affinity was read as unknown, not zero.</t>
  </si>
  <si>
    <t>· Spot-checked the one fuzzy match inside the P1 set (ScaleLight / TopoLight -&gt; Affinity 'ScaleLight'): the grouped</t>
  </si>
  <si>
    <t>2025-10-14; 2025-10-20; 2025-10-27; 2025-11-03; 2025-11-10; 2026-01-26; 2026-03-09; 2026-03-16; 2026-03-23; 2026-05-04; 2026-05-11; 2026-05-18; 2026-05-26; 2026-06-01; 2026-06-08; 2026-06-15; 2026-06-22; 2026-07-06; 2026-07-13; 2026-07-20; 2026-07-27</t>
  </si>
  <si>
    <t>hq_region</t>
  </si>
  <si>
    <t>Climate</t>
  </si>
  <si>
    <t xml:space="preserve">  slide entry hides two real Affinity companies (ScaleLight org 311517728, status Wait; TopoLight org 305936259,</t>
  </si>
  <si>
    <t>Pittsburgh</t>
  </si>
  <si>
    <t>Pennsylvania</t>
  </si>
  <si>
    <t>United States</t>
  </si>
  <si>
    <t xml:space="preserve">  status Pass) that were never split apart. Don't treat this row's Affinity fields as belonging to one company.</t>
  </si>
  <si>
    <t>interest</t>
  </si>
  <si>
    <t>EV0003</t>
  </si>
  <si>
    <t>score_team</t>
  </si>
  <si>
    <t>DG Matrix</t>
  </si>
  <si>
    <t>score_tech</t>
  </si>
  <si>
    <t>DEDUPLICATION LOG — 2026-09-02</t>
  </si>
  <si>
    <t>score_oppt</t>
  </si>
  <si>
    <t>2025-10-14; 2025-10-20; 2025-10-27; 2025-11-03; 2025-11-10; 2025-11-17; 2025-11-24; 2025-12-01; 2025-12-08; 2025-12-15; 2026-01-05; 2026-01-12; 2026-01-20; 2026-01-26; 2026-02-02; 2026-02-09; 2026-02-17</t>
  </si>
  <si>
    <t>15 duplicate groups (32 of the original 498 rows) shared a website and were consolidated to the more complete</t>
  </si>
  <si>
    <t>owner_email</t>
  </si>
  <si>
    <t>record; population corrected 498 -&gt; 481. Stage-history totals (slide_appearances, times_discussed, furthest_stage,</t>
  </si>
  <si>
    <t>in_affinity</t>
  </si>
  <si>
    <t>Morrisville</t>
  </si>
  <si>
    <t>discussed_in_new_deal_meeting) were RE-DERIVED from Stage History across every name variant in each merged group</t>
  </si>
  <si>
    <t>North Carolina</t>
  </si>
  <si>
    <t>affinity_match_method</t>
  </si>
  <si>
    <t>affinity_organization_id</t>
  </si>
  <si>
    <t>-- not copied from the surviving row -- because one group (Flume / Gravity) had a true 'discussed' flag sitting on</t>
  </si>
  <si>
    <t>EV0004</t>
  </si>
  <si>
    <t>affinity_row_id</t>
  </si>
  <si>
    <t>Alithia</t>
  </si>
  <si>
    <t>the row that would otherwise have been dropped; a naive delete would have silently lost that discussion.</t>
  </si>
  <si>
    <t>affinity_date_added</t>
  </si>
  <si>
    <t>first_meeting</t>
  </si>
  <si>
    <t>Groups merged: Attune Neurosci+Attune; Cetos Water+Cetos Water/Kira+Water:Cetos Water/Kira (3-way); Tulip</t>
  </si>
  <si>
    <t>2026-05-11; 2026-05-26; 2026-06-01; 2026-06-08; 2026-06-15; 2026-06-22; 2026-07-06; 2026-07-13; 2026-07-20; 2026-07-27; 2026-08-24</t>
  </si>
  <si>
    <t>last_meeting</t>
  </si>
  <si>
    <t>Deep Diligence</t>
  </si>
  <si>
    <t>Biosciences+2 variants (3-way); Adiabatic Machines+Machines; Artisan Insight+Artisan Insights; Augment</t>
  </si>
  <si>
    <t>name_variants_on_slides</t>
  </si>
  <si>
    <t>Seed</t>
  </si>
  <si>
    <t>Bio+Biologics; Dynamical Mind+Minds; Fluent+Fluent BCI; Flume/Gravity+Gravity; Harton+Harton Tx; Hydron+Hydron</t>
  </si>
  <si>
    <t>Systems</t>
  </si>
  <si>
    <t>enriched_from_public</t>
  </si>
  <si>
    <t>Holly Springs</t>
  </si>
  <si>
    <t>Desal; One.Bio+One Biosciences; Orpheus+Orpheus Ocean; PowerDrive Thermal+Thermal; Scaled Power+solutions.</t>
  </si>
  <si>
    <t>public_source</t>
  </si>
  <si>
    <t>enrichment_priority</t>
  </si>
  <si>
    <t>Alaina Hartnett</t>
  </si>
  <si>
    <t>enrichment_gaps</t>
  </si>
  <si>
    <t>ENRICHMENT — P1 WORKLIST, 2026-09-02</t>
  </si>
  <si>
    <t>EV0005</t>
  </si>
  <si>
    <t>Ovelle</t>
  </si>
  <si>
    <t>needs_website</t>
  </si>
  <si>
    <t>Researched all 14 P1 companies via public sources; 6 gaps closed with citations in Companies!public_source:</t>
  </si>
  <si>
    <t>needs_geography</t>
  </si>
  <si>
    <t>2026-02-23; 2026-03-09; 2026-03-16; 2026-03-23; 2026-03-30; 2026-04-06; 2026-04-13; 2026-04-20</t>
  </si>
  <si>
    <t>Teragen (= Teragen Energy, Boston MA, $6M pre-seed), CorePower Magnetics (raising Series A), Lila Sciences</t>
  </si>
  <si>
    <t>needs_stage</t>
  </si>
  <si>
    <t>(reported in talks for ~$2B Series B -- unconfirmed, flagged), DG Matrix (owner), Ayo Electronics (geography),</t>
  </si>
  <si>
    <t>needs_round_size</t>
  </si>
  <si>
    <t>Health</t>
  </si>
  <si>
    <t>Boston</t>
  </si>
  <si>
    <t>Micrographia Bio (Seed stage). DG Matrix and Ayo Electronics are now fully enriched and moved P1 -&gt; P4; 12</t>
  </si>
  <si>
    <t>Massachusetts</t>
  </si>
  <si>
    <t>needs_owner</t>
  </si>
  <si>
    <t>Loss</t>
  </si>
  <si>
    <t>description</t>
  </si>
  <si>
    <t>P1 companies remain. The other 8 (Valor, 1AU, El Agente, Origins AI, ScaleLight/TopoLight, Blisk Dynamics,</t>
  </si>
  <si>
    <t>EV0006</t>
  </si>
  <si>
    <t>Ayo Electronics</t>
  </si>
  <si>
    <t>Human Bio, Prahelika) returned no confident public match -- names too generic or companies pre-launch/stealth</t>
  </si>
  <si>
    <t>2026-03-02; 2026-03-09; 2026-03-16; 2026-03-23; 2026-03-30; 2026-04-06</t>
  </si>
  <si>
    <t>-- and were left blank rather than guessed. This closes 2 of the 3 unknown-geography gaps in the 15-company</t>
  </si>
  <si>
    <t>deep-diligence cohort (Teragen, Ayo Electronics); Valor's geography is still unknown.</t>
  </si>
  <si>
    <t>Madeleine Laitz</t>
  </si>
  <si>
    <t>RESCOPE LOG — 2026-09-02</t>
  </si>
  <si>
    <t>EV0007</t>
  </si>
  <si>
    <t>bristolsuperlight.com</t>
  </si>
  <si>
    <t>Numem</t>
  </si>
  <si>
    <t>At the deal team's request, this file was narrowed from the full 481-company post-dedup population to only</t>
  </si>
  <si>
    <t>Rescoped 2026-09-02: 294 companies whose furthest stage never left Meetings This Week / Hold-Nurture / NewCo-Fellows were removed. Was 481 pre-rescope, 498 pre-dedup.</t>
  </si>
  <si>
    <t>2026-06-15; 2026-07-27; 2026-08-03; 2026-08-10; 2026-08-24; 2026-08-31</t>
  </si>
  <si>
    <t>companies whose furthest slide stage reached Preliminary Diligence, Deep Diligence, Negotiate/Offer, or Legal</t>
  </si>
  <si>
    <t>Diligence. 294 companies were removed: 240 furthest-stage Meetings This Week, 34 Hold/Nurture, 20 NewCo/Fellows.</t>
  </si>
  <si>
    <t>Sunnyvale</t>
  </si>
  <si>
    <t>All 34 discussed (bold) companies and all 15 deep-diligence-or-further companies survive the rescope untouched --</t>
  </si>
  <si>
    <t>California</t>
  </si>
  <si>
    <t>Preliminary Diligence</t>
  </si>
  <si>
    <t>no company that had ever been formally discussed or advanced was cut.</t>
  </si>
  <si>
    <t>EV0008</t>
  </si>
  <si>
    <t>Coral Innovations</t>
  </si>
  <si>
    <t>Discussed (bold on a slide)</t>
  </si>
  <si>
    <t>CAVEAT: removing these 294 also removed real enrichment data, not just noise -- 110 of them already had an</t>
  </si>
  <si>
    <t>2026-05-11; 2026-05-18; 2026-05-26; 2026-06-01; 2026-06-15</t>
  </si>
  <si>
    <t>Affinity record and 78 already had a known stage. If a name from this list comes up in conversation, it wasn't</t>
  </si>
  <si>
    <t>necessarily passed on; it may simply not have had a second meeting yet. The full 481-company file (pre-rescope)</t>
  </si>
  <si>
    <t>still exists (EV_Deal_Pipeline_Clean_Dataset_v2_DEDUPED.xlsx) if you need to check on a specific company.</t>
  </si>
  <si>
    <t>Stage History and Enrichment Worklist were filtered the same way, by company rather than by individual slide row --</t>
  </si>
  <si>
    <t>so a kept company's full history (including its early Meetings-This-Week appearances before it advanced) is</t>
  </si>
  <si>
    <t>still intact; only companies that never advanced are gone.</t>
  </si>
  <si>
    <t>SHEETS</t>
  </si>
  <si>
    <t>Companies — the dataset. One row per company.</t>
  </si>
  <si>
    <t>Evanston</t>
  </si>
  <si>
    <t>Illinois</t>
  </si>
  <si>
    <t>Discussed Companies — the 34 bold companies with their discussion dates.</t>
  </si>
  <si>
    <t>Pass</t>
  </si>
  <si>
    <t>Stage History — evidence log, one row per company per meeting.</t>
  </si>
  <si>
    <t>EV0009</t>
  </si>
  <si>
    <t>MatNex</t>
  </si>
  <si>
    <t>Trend Answers — the two questions asked for Monday, pre-computed.</t>
  </si>
  <si>
    <t>2026-07-20; 2026-08-10; 2026-08-17; 2026-08-24; 2026-08-31</t>
  </si>
  <si>
    <t>Enrichment Worklist — what to fill in, ordered by priority.</t>
  </si>
  <si>
    <t>Data Dictionary — every field defined with its source.</t>
  </si>
  <si>
    <t>Population A for the two-population split (unaffected by rescope -- all 34 discussed companies had already reached Prelim+)</t>
  </si>
  <si>
    <t>Cambridge</t>
  </si>
  <si>
    <t>Listed only (never bold)</t>
  </si>
  <si>
    <t>EV0010</t>
  </si>
  <si>
    <t>Skouria</t>
  </si>
  <si>
    <t>2025-12-15; 2026-01-12; 2026-01-20; 2026-01-26; 2026-02-02</t>
  </si>
  <si>
    <t>Philadelphia</t>
  </si>
  <si>
    <t>Wait</t>
  </si>
  <si>
    <t>EV0011</t>
  </si>
  <si>
    <t>Teragen</t>
  </si>
  <si>
    <t>2025-11-03; 2025-11-10; 2025-11-17; 2025-11-24; 2025-12-01</t>
  </si>
  <si>
    <t>Affinity</t>
  </si>
  <si>
    <t>Energy &amp; Climate</t>
  </si>
  <si>
    <t>EV0012</t>
  </si>
  <si>
    <t>Axiomatic AI</t>
  </si>
  <si>
    <t>2025-11-24; 2025-12-01; 2025-12-08; 2025-12-15</t>
  </si>
  <si>
    <t>Population B (was 447 of 481; now 153 of 187, since the removed companies were never bold)</t>
  </si>
  <si>
    <t>Reached Deep Diligence</t>
  </si>
  <si>
    <t>EV0013</t>
  </si>
  <si>
    <t>DINYA</t>
  </si>
  <si>
    <t>2025-10-14; 2025-10-27; 2025-11-03; 2025-11-10</t>
  </si>
  <si>
    <t>International</t>
  </si>
  <si>
    <t>Deepa Rao</t>
  </si>
  <si>
    <t>1. Very High</t>
  </si>
  <si>
    <t>EV0014</t>
  </si>
  <si>
    <t>'+++</t>
  </si>
  <si>
    <t>Valor</t>
  </si>
  <si>
    <t>'++</t>
  </si>
  <si>
    <t>2025-10-14; 2025-10-20; 2025-10-27; 2025-11-03</t>
  </si>
  <si>
    <t>Reached Legal</t>
  </si>
  <si>
    <t>rachel@engineventures.com</t>
  </si>
  <si>
    <t>EV0015</t>
  </si>
  <si>
    <t>Walden Robotics</t>
  </si>
  <si>
    <t>2026-05-11; 2026-05-18; 2026-05-26; 2026-06-01</t>
  </si>
  <si>
    <t>name</t>
  </si>
  <si>
    <t>10/22/2025</t>
  </si>
  <si>
    <t>08/14/2026</t>
  </si>
  <si>
    <t>EV0016</t>
  </si>
  <si>
    <t>Mattiq</t>
  </si>
  <si>
    <t>2026-06-01; 2026-06-15; 2026-07-13</t>
  </si>
  <si>
    <t>P4 - acceptable</t>
  </si>
  <si>
    <t>Chicago</t>
  </si>
  <si>
    <t>EV0017</t>
  </si>
  <si>
    <t>Attune Neurosci</t>
  </si>
  <si>
    <t>Q1.  Geography — companies that REACHED Deep Diligence since Oct 2025</t>
  </si>
  <si>
    <t>2026-02-02; 2026-02-09</t>
  </si>
  <si>
    <t>Cohort is reached_deep_diligence = TRUE. Affinity's current-status field shows only 2; this is the full cohort.</t>
  </si>
  <si>
    <t>San Francisco</t>
  </si>
  <si>
    <t>State / Region</t>
  </si>
  <si>
    <t>Companies</t>
  </si>
  <si>
    <t>EV0018</t>
  </si>
  <si>
    <t>Cetos Water</t>
  </si>
  <si>
    <t>Bristol Superlight is an automotive technology company based in Hampshire, United Kingdom, specializing in innovative logistics vehicle design. Their primary focus is developing plug-in hybrid trucks with advanced engineering features, including a lighter and stronger chassis constructed from composites and aluminum. The company employs a unique production system that enables efficient manufacturing of multiple vehicle variants, with a key emphasis on creating digital-first vehicles that reduce energy costs and optimize cargo transportation solutions for the modern logistics industry.</t>
  </si>
  <si>
    <t>2026-05-26; 2026-06-01</t>
  </si>
  <si>
    <t>New York</t>
  </si>
  <si>
    <t>corepowermagnetics.com</t>
  </si>
  <si>
    <t>EV0019</t>
  </si>
  <si>
    <t>CloverLeaf</t>
  </si>
  <si>
    <t>2025-12-08; 2025-12-15</t>
  </si>
  <si>
    <t>New Haven</t>
  </si>
  <si>
    <t>Connecticut</t>
  </si>
  <si>
    <t>Dan Resnicow</t>
  </si>
  <si>
    <t>EV0020</t>
  </si>
  <si>
    <t>1AU</t>
  </si>
  <si>
    <t>2026-04-06</t>
  </si>
  <si>
    <t>EV0021</t>
  </si>
  <si>
    <t>Blisk Dynamics</t>
  </si>
  <si>
    <t>2026-08-17</t>
  </si>
  <si>
    <t>Systems; Climate</t>
  </si>
  <si>
    <t>EV0022</t>
  </si>
  <si>
    <t>Daedalus</t>
  </si>
  <si>
    <t>2026-06-22</t>
  </si>
  <si>
    <t>Series B</t>
  </si>
  <si>
    <t>Slide section</t>
  </si>
  <si>
    <t>Vinny Beranek</t>
  </si>
  <si>
    <t>EV0023</t>
  </si>
  <si>
    <t>El Agente</t>
  </si>
  <si>
    <t>2026-02-02</t>
  </si>
  <si>
    <t>EV0024</t>
  </si>
  <si>
    <t>ExploreTech</t>
  </si>
  <si>
    <t>2026-07-27</t>
  </si>
  <si>
    <t>San Diego</t>
  </si>
  <si>
    <t>EV0025</t>
  </si>
  <si>
    <t>Flume</t>
  </si>
  <si>
    <t>2026-03-30</t>
  </si>
  <si>
    <t>EV0027</t>
  </si>
  <si>
    <t>Human Bio</t>
  </si>
  <si>
    <t>2026-01-26</t>
  </si>
  <si>
    <t>Preseed</t>
  </si>
  <si>
    <t>Corepower Magnetics</t>
  </si>
  <si>
    <t>EV0028</t>
  </si>
  <si>
    <t>Lila Sciences</t>
  </si>
  <si>
    <t>Company site + CMU spinout announcement + PitchBook (founded 2020, CMU spinout); Scott Institute for Energy Innovation (CMU), Nov 2024: company was raising Series A funding, on top of a $2.5M pre-seed (2022) and non-dilutive DOE/ARPA-E grants. Current round size not confirmed in public sources.</t>
  </si>
  <si>
    <t>P1 - advanced stage, incomplete</t>
  </si>
  <si>
    <t>2026-03-02</t>
  </si>
  <si>
    <t>EV0029</t>
  </si>
  <si>
    <t>Micrographia Bio</t>
  </si>
  <si>
    <t>2025-11-03</t>
  </si>
  <si>
    <t>dgmatrix.com</t>
  </si>
  <si>
    <t>London</t>
  </si>
  <si>
    <t>Initial Evaluation</t>
  </si>
  <si>
    <t>EV0030</t>
  </si>
  <si>
    <t>Origins AI</t>
  </si>
  <si>
    <t>2026-08-03</t>
  </si>
  <si>
    <t>Richard Collins</t>
  </si>
  <si>
    <t>EV0031</t>
  </si>
  <si>
    <t>Oxipital AI</t>
  </si>
  <si>
    <t>Bedford</t>
  </si>
  <si>
    <t>MISSING</t>
  </si>
  <si>
    <t>EV0032</t>
  </si>
  <si>
    <t>PHNX Materials</t>
  </si>
  <si>
    <t>2025-10-27</t>
  </si>
  <si>
    <t>Michael Kearney</t>
  </si>
  <si>
    <t>EV0033</t>
  </si>
  <si>
    <t>Prahelika</t>
  </si>
  <si>
    <t>2026-08-24</t>
  </si>
  <si>
    <t>BusinessWire 2026-02-18: $60M Series A led by Engine Ventures. NOTE: Crunchbase lists Raleigh, Tracxn lists Tempe - sources conflict, HQ per company press release; BusinessWire 2026-02-18 / Engine Ventures site: DG Matrix's $60M Series A (Feb 2026) was led by Engine Ventures, quoting Michael Kearney, General Partner -- likely deal owner, not confirmed against internal CRM.</t>
  </si>
  <si>
    <t>EV0034</t>
  </si>
  <si>
    <t>ScaleLight / TopoLight</t>
  </si>
  <si>
    <t>alithiapower.com</t>
  </si>
  <si>
    <t>Hold / Nurture</t>
  </si>
  <si>
    <t>EV0189</t>
  </si>
  <si>
    <t>Gravity</t>
  </si>
  <si>
    <t>Texas</t>
  </si>
  <si>
    <t>Autonomous Systems</t>
  </si>
  <si>
    <t>alaina.hartnett@engineventures.com</t>
  </si>
  <si>
    <t>fuzzy</t>
  </si>
  <si>
    <t>04/15/2026</t>
  </si>
  <si>
    <t>08/10/2026</t>
  </si>
  <si>
    <t>Washington</t>
  </si>
  <si>
    <t>Company site + ISES profile: Raleigh-Durham NC, founded Jan 2023, vertical GaN power electronics</t>
  </si>
  <si>
    <t>Colorado</t>
  </si>
  <si>
    <t>Alithia Power is a seed-stage technology company developing advanced vertical GaN (Gallium Nitride) power electronics for electrification markets. Founded in 2023 and based in Raleigh, NC, the company focuses on creating innovative power diodes and transistors with a compact design. Their vertiGAN™ technology aims to improve power system efficiency for electric vehicles, industrial motors, and renewable energy applications, emphasizing sustainable and high-performance power devices that can operate at high voltages with reduced reliance on traditional semiconductor chips.</t>
  </si>
  <si>
    <t>ovelle.bio</t>
  </si>
  <si>
    <t>UNKNOWN — geography not captured</t>
  </si>
  <si>
    <t>Human Health</t>
  </si>
  <si>
    <t>09/17/2025</t>
  </si>
  <si>
    <t>04/10/2026</t>
  </si>
  <si>
    <t>Close these first. Directly weakens this chart.</t>
  </si>
  <si>
    <t>Total</t>
  </si>
  <si>
    <t>Ovelle is a pioneering biotechnology startup revolutionizing reproductive medicine through advanced in vitro gametogenesis (IVG) research. The company specializes in developing innovative fertility treatments by producing eggs from somatic cells using sophisticated computational methods and cellular manipulation techniques. Their groundbreaking approach aims to make fertility treatments more accessible, affordable, and less invasive by leveraging cutting-edge technologies like induced pluripotent stem cells and advanced genetic engineering.</t>
  </si>
  <si>
    <t>ayoelectronics.com</t>
  </si>
  <si>
    <t>Reconciles to cohort?</t>
  </si>
  <si>
    <t>Somerville</t>
  </si>
  <si>
    <t>madeleine@engineventures.com</t>
  </si>
  <si>
    <t>domain</t>
  </si>
  <si>
    <t>02/24/2026</t>
  </si>
  <si>
    <t>12/06/2023</t>
  </si>
  <si>
    <t>05/28/2026</t>
  </si>
  <si>
    <t>Geography coverage</t>
  </si>
  <si>
    <t>MassTech Northeast Microelectronics Coalition grant list (2025): Ayo Electronics Inc., Somerville, MA -- fabless semiconductor / photonic AI processor company (Pillar VC portfolio). PitchBook separately lists Arlington, MA; used the more specific, more recent source.</t>
  </si>
  <si>
    <t>numem.com</t>
  </si>
  <si>
    <t>Quote this alongside the chart</t>
  </si>
  <si>
    <t>Q1b.  Same cohort by country</t>
  </si>
  <si>
    <t>05/06/2026</t>
  </si>
  <si>
    <t>05/05/2026</t>
  </si>
  <si>
    <t>08/21/2026</t>
  </si>
  <si>
    <t>Country</t>
  </si>
  <si>
    <t>Numem is a semiconductor technology company headquartered in Sunnyvale, California, specializing in advanced memory solutions based on patented NuRAM (MRAM) and SmartMem technologies. The company provides innovative SOC Subsystem IP Cores and Chiplets that offer a superior alternative to traditional SRAM and eFlash, delivering 2.5x smaller area and over 20x lower leakage power. Numem's solutions target critical technology sectors including IoT, wearables, AI/Generative AI, digital security, autonomous vehicles, and data centers, enabling customers to achieve substantial reductions in system power consumption and accelerated time to market.</t>
  </si>
  <si>
    <t>coral-innovations.com</t>
  </si>
  <si>
    <t>2. High</t>
  </si>
  <si>
    <t>05/22/2026</t>
  </si>
  <si>
    <t>Canada</t>
  </si>
  <si>
    <t>Germany</t>
  </si>
  <si>
    <t>Coral Innovations is a nanotechnology company focused on developing sustainable environmental solutions, with a primary emphasis on water remediation and protection. Utilizing breakthrough research in nanotechnology, the company creates advanced solutions for clean water access, including portable water-quality testing units and specialized filtration materials. Their mission is to address environmental challenges by providing innovative, scalable technologies that help communities improve water quality, reduce environmental harm, and support long-term sustainability.</t>
  </si>
  <si>
    <t>matnex.ai</t>
  </si>
  <si>
    <t>Switzerland</t>
  </si>
  <si>
    <t>AI for Science</t>
  </si>
  <si>
    <t>Israel</t>
  </si>
  <si>
    <t>07/08/2026</t>
  </si>
  <si>
    <t>08/13/2026</t>
  </si>
  <si>
    <t>France</t>
  </si>
  <si>
    <t>Matnex is an AI-driven platform specializing in accelerating materials discovery and development with a focus on low-carbon solutions. Using advanced quantum calculations and automated processes, the company works with partners to dramatically reduce the time for discovering next-generation materials from decades to months. Their core mission is to discover new materials that can significantly reduce environmental, economic, and social costs, with a particular emphasis on lowering global CO2 emissions through innovative technological approaches.</t>
  </si>
  <si>
    <t>skouria.com</t>
  </si>
  <si>
    <t>UNKNOWN</t>
  </si>
  <si>
    <t>Q2.  Stage mix — ALL companies in this cohort (Prelim Diligence and beyond)</t>
  </si>
  <si>
    <t>10/24/2025</t>
  </si>
  <si>
    <t>10/28/2025</t>
  </si>
  <si>
    <t>03/19/2026</t>
  </si>
  <si>
    <t>Population A+B, rescoped 2026-09-02 to exclude Meetings-This-Week-only companies. Coverage is much better here than in the full 481-company population.</t>
  </si>
  <si>
    <t>Stage</t>
  </si>
  <si>
    <t>% of known</t>
  </si>
  <si>
    <t>Skouria is a mining technology company specializing in innovative copper extraction through Deep Brine Mining (DBM), an advanced process designed to reduce environmental impact and capital costs. The company focuses on enhancing the permeability of hydrothermal systems using geothermal and metallurgical technologies to create a more sustainable copper production model. Their approach aims to optimize copper extraction while minimizing fossil fuel dependency and environmental disruption, offering consulting services to help governments and companies navigate complex copper industry challenges.</t>
  </si>
  <si>
    <t>teragenenergy.com</t>
  </si>
  <si>
    <t>Meetings This Week</t>
  </si>
  <si>
    <t>Teragen Energy - Boston-based; $6M oversubscribed pre-seed (Aug 2026), co-led by BEVC and Energy Capital Ventures, participation incl. MassCEC. PR Newswire 2026-08-26. Spun out of Lawrence Berkeley National Lab per The Engine profile. Name match only -- not cross-checked against internal deal records; confirm before quoting externally.</t>
  </si>
  <si>
    <t>axiomatic-ai.com</t>
  </si>
  <si>
    <t>Series C</t>
  </si>
  <si>
    <t>UNKNOWN — stage not captured</t>
  </si>
  <si>
    <t>11/12/2025</t>
  </si>
  <si>
    <t>05/15/2025</t>
  </si>
  <si>
    <t>08/26/2026</t>
  </si>
  <si>
    <t>Recompute after rescope -- see B54/B55 for current count. Do not present UNKNOWN as a category.</t>
  </si>
  <si>
    <t>Total population</t>
  </si>
  <si>
    <t>Stage coverage</t>
  </si>
  <si>
    <t>Axiomatic AI is an advanced artificial intelligence platform focused on accelerating research and development in science and engineering. The company aims to achieve Mission 10X30 by developing an AI-driven engineering tool that reduces technical challenge resolution time. Their unique approach combines formal verification with deep learning to create transparent, interpretable AI models for technical applications, particularly in photonics and semiconductor hardware development. The platform generates physics-based models, extracts technical documentation data, and provides automated design verification to minimize errors and improve technology development speed.</t>
  </si>
  <si>
    <t>dinyadna.com</t>
  </si>
  <si>
    <t>Quote this caveat verbatim</t>
  </si>
  <si>
    <t>Q2b.  Stage mix — DISCUSSED companies only (bold)</t>
  </si>
  <si>
    <t>Coverage is much better in this population. This is the defensible version of the Series A vs Seed answer.</t>
  </si>
  <si>
    <t>deepa@engineventures.com</t>
  </si>
  <si>
    <t>09/10/2025</t>
  </si>
  <si>
    <t>11/20/2023</t>
  </si>
  <si>
    <t>10/09/2025</t>
  </si>
  <si>
    <t>DINYA DNA is a biotechnology company specializing in enzymatic DNA synthesis, focusing on delivering complex and custom DNA sequences on-demand. The company enables scientific research by providing gene-length DNA quickly and affordably, supporting researchers in developing new scientific breakthroughs. Their technology allows for the creation of gene variant libraries and offers early access programs for potential research initiatives, ultimately accelerating research and development processes across various scientific fields.</t>
  </si>
  <si>
    <t>08/17/2023</t>
  </si>
  <si>
    <t>04/03/2025</t>
  </si>
  <si>
    <t>waldenrobotics.com</t>
  </si>
  <si>
    <t>04/28/2026</t>
  </si>
  <si>
    <t>06/02/2026</t>
  </si>
  <si>
    <t>we're a full-stack physical ai company building and deploying general-purpose robots that put human ingenuity to work at industrial scale. our robots continuously learn and improve while performing real work, today. and we are working toward a future where ai and robotics expand human potential and improve quality of life for everyone. founded in 2026 by pioneers in robotics and ai from toyota research institute, mit, stanford, and amazon, walden combines large behavior models with real-world operation and its own expert teams to bring capable robots to industry today.</t>
  </si>
  <si>
    <t>mattiq.com</t>
  </si>
  <si>
    <t>5. Propose Pass</t>
  </si>
  <si>
    <t>06/12/2026</t>
  </si>
  <si>
    <t>05/12/2026</t>
  </si>
  <si>
    <t>08/03/2026</t>
  </si>
  <si>
    <t>Mattiq is an advanced clean chemistry company that leverages materials science and artificial intelligence to develop innovative electrochemical solutions for decarbonization. The company focuses on reinventing chemical process development to produce sustainable chemicals, fuels, and plastics. By utilizing AI and advanced technologies, Mattiq designs commercially viable, scalable processes that support supply chain resilience and environmental sustainability, with a particular emphasis on eliminating fossil fuel dependence in industrial chemical and energy sectors.</t>
  </si>
  <si>
    <t>attuneneuro.com</t>
  </si>
  <si>
    <t>Total discussed</t>
  </si>
  <si>
    <t>02/12/2026</t>
  </si>
  <si>
    <t>11/14/2025</t>
  </si>
  <si>
    <t>03/27/2026</t>
  </si>
  <si>
    <t>Attune</t>
  </si>
  <si>
    <t>Attune Neurosciences is a clinical-stage medical device company dedicated to improving human health and performance through non-invasive neurostimulation technologies. The company specializes in developing innovative neurological solutions, with a primary focus on low-intensity focused ultrasound targeting brain activity. Their research aims to enhance cognitive function and address conditions related to sleep, mental health, and overall performance. Attune Neurosciences develops clinically-proven products for patient, government, and industrial applications, seeking to provide cutting-edge neurological interventions without pharmaceutical approaches.</t>
  </si>
  <si>
    <t>cetoswater.com</t>
  </si>
  <si>
    <t>Stage coverage (discussed)</t>
  </si>
  <si>
    <t>Funnel — furthest stage reached on slides (sanity check only, post-rescope)</t>
  </si>
  <si>
    <t>NewCo/Fellows, Hold/Nurture, and Meetings This Week will read 0 by construction -- those companies were removed from this workbook on 2026-09-02. Kept for reconciliation: B75:B78 should sum to the total in row 7.</t>
  </si>
  <si>
    <t>Furthest stage</t>
  </si>
  <si>
    <t>02/03/2026</t>
  </si>
  <si>
    <t>Of which discussed</t>
  </si>
  <si>
    <t>08/05/2026</t>
  </si>
  <si>
    <t>Cetos Water / Kira; Water: Cetos Water / Kira</t>
  </si>
  <si>
    <t>Cetos Water is an innovative water treatment technology company specializing in advanced desalination solutions for high-salinity wastewater streams. Their membrane-less and non-evaporative solvent technology can process water up to 10x more concentrated than seawater, enabling efficient treatment of complex industrial wastewater. The company serves multiple industries including lithium production, desalination plants, thermoelectric power, mining, and geothermal energy, with a mission to transform wastewater from an environmental challenge into a sustainable freshwater solution. Their technology supports customizable water recovery outcomes, including Zero Liquid Discharge (ZLD), addressing the critical issue of untreated wastewater discharge while providing cost-effective and energy-efficient water reclamation.</t>
  </si>
  <si>
    <t>cloverleafbio.com</t>
  </si>
  <si>
    <t>Negotiate / Offer</t>
  </si>
  <si>
    <t>dan@engineventures.com</t>
  </si>
  <si>
    <t>12/15/2025</t>
  </si>
  <si>
    <t>10/30/2025</t>
  </si>
  <si>
    <t>12/19/2025</t>
  </si>
  <si>
    <t>Cloverleaf Bio is a biotechnology company developing innovative RNA therapeutics focused on oncology treatment. The company is pioneering a platform that creates engineered RNA therapeutic molecules capable of targeting multiple enzymes critical to cancer growth. By developing a single therapeutic molecule that can inhibit up to 25 key enzymes, Cloverleaf aims to revolutionize cancer therapy and improve patient outcomes through advanced RNA therapeutic approaches.</t>
  </si>
  <si>
    <t>1autechnologies.com</t>
  </si>
  <si>
    <t>NewCo / Fellows</t>
  </si>
  <si>
    <t>P1 - discussed, incomplete</t>
  </si>
  <si>
    <t>bliskdynamics.com</t>
  </si>
  <si>
    <t>Reconciles?</t>
  </si>
  <si>
    <t>08/12/2026</t>
  </si>
  <si>
    <t>08/18/2026</t>
  </si>
  <si>
    <t>Thesis area of the Deep Diligence cohort</t>
  </si>
  <si>
    <t>Multi-tagged records (e.g. 'Climate; Systems') will not match a single value — see the residual row.</t>
  </si>
  <si>
    <t>Working group</t>
  </si>
  <si>
    <t>daedalus.de</t>
  </si>
  <si>
    <t>vinny@engineventures.com</t>
  </si>
  <si>
    <t>06/17/2026</t>
  </si>
  <si>
    <t>05/29/2026</t>
  </si>
  <si>
    <t>06/10/2026</t>
  </si>
  <si>
    <t>Scale-Up</t>
  </si>
  <si>
    <t>Daedalus is an advanced manufacturing technology company developing software-defined, reconfigurable factories for precision component production. Backed by prominent venture capital firms including Khosla Ventures and Y Combinator, they leverage robotics and AI to enable agile manufacturing across various industries such as machinery, aerospace, semiconductor, and energy. Their approach emphasizes real-time production control, high-precision manufacturing, and the ability to rapidly retool for different part complexities, with a goal of creating more flexible, efficient, and sustainable industrial production capabilities.</t>
  </si>
  <si>
    <t>Multi-tagged / other (residual)</t>
  </si>
  <si>
    <t>Non-zero means dual-tagged records need a primary-group rule</t>
  </si>
  <si>
    <t>Caveats to carry onto every slide</t>
  </si>
  <si>
    <t>01/29/2026</t>
  </si>
  <si>
    <t>•  Stage is unknown for a large share of the population — see the coverage % in Q2. UNKNOWN is a gap, not a finding.</t>
  </si>
  <si>
    <t>meeting_date</t>
  </si>
  <si>
    <t>name_on_slide</t>
  </si>
  <si>
    <t>stage_on_slide</t>
  </si>
  <si>
    <t>•  RESOLVED 2026-09-02: 17 duplicate rows (32 involved) merged by shared website; population corrected 498 -&gt; 481. Attune/Attune Neurosci, Cetos Water/Kira, Tulip Biosciences and 12 other pairs consolidated; stage-history totals (appearances, discussed flag, furthest stage) were re-derived from Stage History across all name variants for each merged company, not just copied from the surviving row. See dedup log on READ ME.</t>
  </si>
  <si>
    <t>slide_section</t>
  </si>
  <si>
    <t>•  'Discussed' currently means bold. 136 bold entries are black and 16 are dark red, and the deck legend reads Update | Discussion — confirm whether these are one category or two.</t>
  </si>
  <si>
    <t>discussed_bold</t>
  </si>
  <si>
    <t>slide_page</t>
  </si>
  <si>
    <t>•  Three meeting weeks are absent (Dec 15 to Jan 5, Apr 20 to May 4, Jun 22 to Jul 6). Companies appearing only in those weeks are missing.</t>
  </si>
  <si>
    <t>•  P1 worklist: 6 of 14 gaps closed 2026-09-02 via public-source research (Teragen, CorePower Magnetics, Lila Sciences, DG Matrix, Ayo Electronics, Micrographia Bio). DG Matrix and Ayo Electronics are now fully enriched (P1 -&gt; P4). 12 P1 companies remain (4 advanced-stage, 8 discussed); 4 still have no Affinity record at all (CorePower Magnetics, Teragen, Lila Sciences, 1AU) -- create the records rather than matching them.</t>
  </si>
  <si>
    <t>•  RESCOPED 2026-09-02: this workbook now excludes all companies whose furthest slide stage was NewCo/Fellows, Hold/Nurture, or Meetings This Week (294 of 481 post-dedup companies removed). A separate full-population file (including those 294) still exists if you need it -- ask before assuming a company is fully out of the pipeline; several were removed simply for not yet having a second meeting, not because they were passed on.</t>
  </si>
  <si>
    <t>exploretech.ai</t>
  </si>
  <si>
    <t>Aepnus</t>
  </si>
  <si>
    <t>E&amp;C</t>
  </si>
  <si>
    <t>Aeris</t>
  </si>
  <si>
    <t>3. Moderate</t>
  </si>
  <si>
    <t>AS</t>
  </si>
  <si>
    <t>06/26/2026</t>
  </si>
  <si>
    <t>12/09/2025</t>
  </si>
  <si>
    <t>Alkali Labs</t>
  </si>
  <si>
    <t>07/10/2026</t>
  </si>
  <si>
    <t>Artisan Insight</t>
  </si>
  <si>
    <t>ExploreTech is a technology company specializing in accelerating mineral exploration through advanced computational methods. Using a combination of geophysics, geology, and cutting-edge computing technologies, the company develops algorithms that dramatically speed up mineral discovery processes. Their innovative approach leverages real-time data streams, satellite imagery, and computational modeling to enhance exploration efficiency, providing integrated hardware and software solutions that can reduce exploration timelines from years to months.</t>
  </si>
  <si>
    <t>flumeinternet.com</t>
  </si>
  <si>
    <t>ChipX</t>
  </si>
  <si>
    <t>Circadian OS</t>
  </si>
  <si>
    <t>Meetings this week</t>
  </si>
  <si>
    <t>04/01/2026</t>
  </si>
  <si>
    <t>06/13/2018</t>
  </si>
  <si>
    <t>04/03/2026</t>
  </si>
  <si>
    <t>HH</t>
  </si>
  <si>
    <t>Emergentia</t>
  </si>
  <si>
    <t>FAST Metals</t>
  </si>
  <si>
    <t>Flume is an asset-light fiber internet service provider focused on expanding broadband connectivity across the United States. The company specializes in providing multi-gigabit internet services to residential multifamily properties and small municipalities, leveraging under-utilized data centers and fiber infrastructure. With internet speeds ranging from 200 Mb/s to 10 Gb/s, Flume offers reliable connectivity, free installation, and proactive customer support. The company has rapidly grown its install base and aims to serve over 65,000 homes, targeting both residential and enterprise customers with a lean operational approach.</t>
  </si>
  <si>
    <t>Flexnode</t>
  </si>
  <si>
    <t>humanbio.tech</t>
  </si>
  <si>
    <t>Flip Tx</t>
  </si>
  <si>
    <t>Formline Photonics</t>
  </si>
  <si>
    <t>Heliux</t>
  </si>
  <si>
    <t>IceBox Energy</t>
  </si>
  <si>
    <t>Mursla Bio</t>
  </si>
  <si>
    <t>01/28/2026</t>
  </si>
  <si>
    <t>01/16/2026</t>
  </si>
  <si>
    <t>02/05/2026</t>
  </si>
  <si>
    <t>OceanBit</t>
  </si>
  <si>
    <t>Ovo Labs</t>
  </si>
  <si>
    <t>Porpoise Power</t>
  </si>
  <si>
    <t>Developing new drugs for approved targets in novel, de-risked lead indications (“first-in-indication”), guided by human real-world data and genetics</t>
  </si>
  <si>
    <t>Ropirio</t>
  </si>
  <si>
    <t>lila.ai</t>
  </si>
  <si>
    <t>SceniX</t>
  </si>
  <si>
    <t>Telos</t>
  </si>
  <si>
    <t>PitchBook / FinSMEs 2026-06: Cambridge MA, $550M raised to date; Bloomberg 2026-06-03: reported in talks for ~$2B Series B at ~$8.5B pre-money valuation (NOT confirmed closed as of last public reporting); prior $350M Series A closed 2026-06-04 (FinSMEs).</t>
  </si>
  <si>
    <t>micrographiabio.com</t>
  </si>
  <si>
    <t>01/08/2026</t>
  </si>
  <si>
    <t>11/13/2025</t>
  </si>
  <si>
    <t>Tracxn / PitchBook / Dealroom (2026): Seed-stage financing history, ~$7.8-8.0M total raised across 3 seed rounds since 2020; no Series A reported. London, UK confirmed (already on file).</t>
  </si>
  <si>
    <t>Micrographia Bio is a life sciences company pioneering innovative drug discovery technologies through spatial proteomics. The company has developed a unique platform that combines advanced microscopy imaging with machine-intelligent computer vision to autonomously assess therapeutic mechanisms of action. By visualizing protein-protein networks in cells, their technology aims to accelerate and improve the efficiency of drug development, providing detailed insights into cellular pathways and potentially enabling faster, more accurate therapies for various diseases.</t>
  </si>
  <si>
    <t>4. Low</t>
  </si>
  <si>
    <t>richard@engineventures.com</t>
  </si>
  <si>
    <t>07/31/2026</t>
  </si>
  <si>
    <t>JuliaHub</t>
  </si>
  <si>
    <t>Mana Battery</t>
  </si>
  <si>
    <t>Nouxel</t>
  </si>
  <si>
    <t>oxipitalai.com</t>
  </si>
  <si>
    <t>Plaid Semi</t>
  </si>
  <si>
    <t>Recupere</t>
  </si>
  <si>
    <t>04/02/2026</t>
  </si>
  <si>
    <t>04/07/2020</t>
  </si>
  <si>
    <t>03/31/2026</t>
  </si>
  <si>
    <t>SeamoreTech</t>
  </si>
  <si>
    <t>Oxipital AI is a technology company specializing in AI-enabled machine vision solutions for robotic process automation and product inspection across critical industries including food processing, agriculture, and consumer goods production. Their platform delivers advanced visual AI technologies that enable no-code deployment of intelligent inspection systems, allowing manufacturers to automate quality control processes, monitor product characteristics in real-time, and perform automated pick and place inspections. The company focuses on enhancing manufacturing efficiency, sustainability, and operational resilience by providing actionable insights through deep object understanding and advanced visual technology.</t>
  </si>
  <si>
    <t>phnxmaterials.com</t>
  </si>
  <si>
    <t>10/08/2025</t>
  </si>
  <si>
    <t>10/29/2025</t>
  </si>
  <si>
    <t>PHNX Materials is an industrial technology company that transforms landfilled coal ash into sustainable, high-performance materials using proprietary chemistry-driven processes. The company addresses the 2.9 billion tons of coal ash waste in U.S. landfills by reclaiming, refining, and reinventing it into valuable industrial inputs including ASTM-grade fly ash for concrete strengthening, strategic metals like aluminum and rare earth elements, and critical chemical compounds for domestic manufacturing. PHNX Materials' validated, scalable technology reduces carbon emissions, supports infrastructure rebuilding, and reshores critical supply chains while converting waste into essential materials for a cleaner, more resilient industrial base.</t>
  </si>
  <si>
    <t>prahelika.com</t>
  </si>
  <si>
    <t>08/19/2026</t>
  </si>
  <si>
    <t>03/26/2026</t>
  </si>
  <si>
    <t>EV0035</t>
  </si>
  <si>
    <t>/Eden Tech</t>
  </si>
  <si>
    <t>edentechinc.com</t>
  </si>
  <si>
    <t>Lockhart</t>
  </si>
  <si>
    <t>Pre-Screen</t>
  </si>
  <si>
    <t>02/18/2026</t>
  </si>
  <si>
    <t>02/10/2026</t>
  </si>
  <si>
    <t>Eden Technologies is an innovative water technology company specializing in advanced desalination solutions. Their core product is a novel Reverse-Osmosis (RO) Centrifuge that uses centrifugal force to process brackish and saline water more efficiently. The technology aims to expand clean water access globally by increasing freshwater recovery rates up to 40% and reducing membrane fouling in desalination plants. Their approach focuses on developing cost-effective and environmentally safe water treatment technologies that improve the performance and profitability of water treatment facilities.</t>
  </si>
  <si>
    <t>EV0042</t>
  </si>
  <si>
    <t>Adiabatic Machines</t>
  </si>
  <si>
    <t>adiabaticmachines.com</t>
  </si>
  <si>
    <t>Material Difference</t>
  </si>
  <si>
    <t>07/14/2026</t>
  </si>
  <si>
    <t>07/21/2026</t>
  </si>
  <si>
    <t>08/11/2026</t>
  </si>
  <si>
    <t>Adiabatic machines; Machines</t>
  </si>
  <si>
    <t>EV0044</t>
  </si>
  <si>
    <t>aepnus.com</t>
  </si>
  <si>
    <t>Artisan Insights</t>
  </si>
  <si>
    <t>P2 - prelim dil, mostly empty</t>
  </si>
  <si>
    <t>EV0045</t>
  </si>
  <si>
    <t>EV0048</t>
  </si>
  <si>
    <t>Aikido Technologies</t>
  </si>
  <si>
    <t>aikidotechnologies.com</t>
  </si>
  <si>
    <t>Netpreme</t>
  </si>
  <si>
    <t>07/16/2026</t>
  </si>
  <si>
    <t>07/13/2026</t>
  </si>
  <si>
    <t>07/28/2026</t>
  </si>
  <si>
    <t>Rock Zero</t>
  </si>
  <si>
    <t>SKIP2 NewCo</t>
  </si>
  <si>
    <t>SeaMore Tech</t>
  </si>
  <si>
    <t>Aikido Technologies is an innovative renewable energy company specializing in floating offshore wind platform technology. The company develops solutions for deploying wind turbines in deep water, enabling energy providers to cost-effectively install large turbines with minimal construction time and labor. Their technology is designed to unlock local maritime infrastructure, create high-paying jobs in coastal communities, and provide low-cost, clean electricity to urban areas. By offering a versatile platform that supports efficient wind energy deployment, Aikido Technologies aims to advance sustainable energy production and support local economic development.</t>
  </si>
  <si>
    <t>EV0052</t>
  </si>
  <si>
    <t>alkalilabs.com</t>
  </si>
  <si>
    <t>Vsinc AI</t>
  </si>
  <si>
    <t>Attune Tx</t>
  </si>
  <si>
    <t>EV0055</t>
  </si>
  <si>
    <t>AlumaPower</t>
  </si>
  <si>
    <t>alumapower.com</t>
  </si>
  <si>
    <t>Dario NewCo</t>
  </si>
  <si>
    <t>Sarnia</t>
  </si>
  <si>
    <t>Ontario</t>
  </si>
  <si>
    <t>HexaGAN</t>
  </si>
  <si>
    <t>02/13/2026</t>
  </si>
  <si>
    <t>04/23/2026</t>
  </si>
  <si>
    <t>Machines</t>
  </si>
  <si>
    <t>Frontier Fellows / NewCo:</t>
  </si>
  <si>
    <t>Mobius Bio</t>
  </si>
  <si>
    <t>AlumaPower is an innovative energy technology company that has developed a breakthrough aluminum-air battery system, reimagined as a 'galvanic generator'. Their zero-emission technology produces approximately four times the energy density of lithium-ion batteries, utilizing recycled aluminum as fuel. The company's portable, long-duration energy sources are designed for diverse applications including micro-generation devices, cold chain refrigeration, and transportation. With a focus on environmentally superior solutions, AlumaPower partners with leading B2B companies to advance sustainable, high-performance energy generation technologies.</t>
  </si>
  <si>
    <t>EV0058</t>
  </si>
  <si>
    <t>Amplify Computing</t>
  </si>
  <si>
    <t>Parallel Robotics</t>
  </si>
  <si>
    <t>Supra</t>
  </si>
  <si>
    <t>EV0064</t>
  </si>
  <si>
    <t>Anywhere robotics</t>
  </si>
  <si>
    <t>Ascension</t>
  </si>
  <si>
    <t>Anywhere Robotics</t>
  </si>
  <si>
    <t>EV0068</t>
  </si>
  <si>
    <t>Arinna</t>
  </si>
  <si>
    <t>arinna.xyz</t>
  </si>
  <si>
    <t>EV0070</t>
  </si>
  <si>
    <t>artisaninsight.com</t>
  </si>
  <si>
    <t>11/10/2025</t>
  </si>
  <si>
    <t>EV0074</t>
  </si>
  <si>
    <t>Sourcing - No Outreach</t>
  </si>
  <si>
    <t>09/29/2025</t>
  </si>
  <si>
    <t>Uses geothermal systems to recover rare‑earth elements sustainably from volcanic settings.</t>
  </si>
  <si>
    <t>EV0075</t>
  </si>
  <si>
    <t>AssetCool</t>
  </si>
  <si>
    <t>assetcool.com</t>
  </si>
  <si>
    <t>Leeds</t>
  </si>
  <si>
    <t>Legal diligence / Def Docs</t>
  </si>
  <si>
    <t>AssetCool is an innovative technology company developing specialized photonic coatings and semi-autonomous application systems for overhead power lines. Their core technology increases electricity network performance by reducing energy losses, costs, and emissions through advanced nanotechnology-based coatings. The company's solutions can increase current carrying capacity by up to 45%, reduce power losses by up to 30%, and provide corrosion resistance for power transmission infrastructure, offering significant operational and financial benefits for utility and energy sectors.</t>
  </si>
  <si>
    <t>EV0080</t>
  </si>
  <si>
    <t>Attune Neurosciences</t>
  </si>
  <si>
    <t>EV0086</t>
  </si>
  <si>
    <t>Ayo Compute</t>
  </si>
  <si>
    <t>EV0091</t>
  </si>
  <si>
    <t>Beacon Photonics</t>
  </si>
  <si>
    <t>EV0094</t>
  </si>
  <si>
    <t>Besxar</t>
  </si>
  <si>
    <t>besxar.com</t>
  </si>
  <si>
    <t>05/13/2026</t>
  </si>
  <si>
    <t>MetAI</t>
  </si>
  <si>
    <t>Besxar is pioneering a new class of space-based manufacturing to overcome the limits of terrestrial semiconductor fabrication. The company builds reusable “Fabships” that harness the ultra-high vacuum (UHV) of space to produce ultra-pure substrates and precursor materials—essential building blocks for next-generation technologies. Manufacturing in space allows purity and yield levels impossible on Earth, effectively doubling chip cost-effectiveness for these critical applications. Traditional chip factories face constraints in power, cooling, and materials. Besxar’s autonomous orbital manufacturing platforms overcome these barriers and return to Earth after each mission—not only delivering materials but also capturing insights to refine performance. Each cycle improves precision, efficiency, and reliability, making every subsequent orbital manufacturing run more effective. Besxar’s materials serve industries that demand the highest-performance semiconductors, from AI and quantum computing to nuclear technologies and defense applications. By combining space-based production with a focus on domestic resilience, Besxar is rebuilding the U.S. semiconductor base and redefining how—and where—humanity’s most critical technologies are made.</t>
  </si>
  <si>
    <t>EV0099</t>
  </si>
  <si>
    <t>Blixt</t>
  </si>
  <si>
    <t>EV0103</t>
  </si>
  <si>
    <t>Braid Robotics</t>
  </si>
  <si>
    <t>01/09/2026</t>
  </si>
  <si>
    <t>EV0106</t>
  </si>
  <si>
    <t>CMatrics</t>
  </si>
  <si>
    <t>'+</t>
  </si>
  <si>
    <t>Cmatrics</t>
  </si>
  <si>
    <t>Phasic</t>
  </si>
  <si>
    <t>EV0107</t>
  </si>
  <si>
    <t>Cala</t>
  </si>
  <si>
    <t>calasystems.com</t>
  </si>
  <si>
    <t>EV0108</t>
  </si>
  <si>
    <t>Caladan</t>
  </si>
  <si>
    <t>caladan.bio</t>
  </si>
  <si>
    <t>Merge4Energy</t>
  </si>
  <si>
    <t>Brooklyn</t>
  </si>
  <si>
    <t>06/22/2026</t>
  </si>
  <si>
    <t>07/07/2026</t>
  </si>
  <si>
    <t>PhotonIDs</t>
  </si>
  <si>
    <t>Caladan Bio develops next-generation biomanufacturing technology, specializing in high-throughput 250mL benchtop bioreactors for synthetic biology scale-up. Their automated bioprocessing platform integrates advanced hardware and intuitive software to enable researchers and biotechnology companies to run multiple experiments simultaneously. The system provides real-time monitoring, automated data analysis, and supports early-stage R&amp;D teams working on innovative products like alternative proteins, high-performance enzymes, sustainable materials, and next-generation therapeutics. By offering a cost-effective, user-friendly solution, Caladan Bio helps companies accelerate product development and improve overall bioprocessing efficiency.</t>
  </si>
  <si>
    <t>EV0122</t>
  </si>
  <si>
    <t>Cetos / Kira /Eden Tech</t>
  </si>
  <si>
    <r>
      <rPr>
        <rFont val="Arial"/>
        <color rgb="FF1155CC"/>
        <sz val="10.0"/>
        <u/>
      </rPr>
      <t>cetoswater.com</t>
    </r>
    <r>
      <rPr>
        <rFont val="Arial"/>
        <sz val="10.0"/>
      </rPr>
      <t xml:space="preserve">; kira.eco; </t>
    </r>
    <r>
      <rPr>
        <rFont val="Arial"/>
        <color rgb="FF1155CC"/>
        <sz val="10.0"/>
        <u/>
      </rPr>
      <t>edentechinc.com</t>
    </r>
  </si>
  <si>
    <t>Cetos / Kira /Eden Tech/</t>
  </si>
  <si>
    <t>Graph Tx</t>
  </si>
  <si>
    <t>EV0125</t>
  </si>
  <si>
    <t>ChipAdd</t>
  </si>
  <si>
    <t>chipadd.com</t>
  </si>
  <si>
    <t>03/06/2026</t>
  </si>
  <si>
    <t>03/17/2026</t>
  </si>
  <si>
    <t>Field</t>
  </si>
  <si>
    <t>Definition</t>
  </si>
  <si>
    <t>Source</t>
  </si>
  <si>
    <t>Surrogate key assigned in this build. Stable within this file only.</t>
  </si>
  <si>
    <t>Derived</t>
  </si>
  <si>
    <t>Canonical name — most frequent spelling across slides.</t>
  </si>
  <si>
    <t>Slides</t>
  </si>
  <si>
    <t>Company domain.</t>
  </si>
  <si>
    <t>Affinity / Public</t>
  </si>
  <si>
    <t>TRUE if bold on any meeting slide since 2025-10-01.</t>
  </si>
  <si>
    <t>Slides (font weight)</t>
  </si>
  <si>
    <t>Semicolon-separated dates of every meeting where the name was bold.</t>
  </si>
  <si>
    <t>first/last_discussion_date</t>
  </si>
  <si>
    <t>First and last bold appearance.</t>
  </si>
  <si>
    <t>EV0126</t>
  </si>
  <si>
    <t>Count of distinct meetings where bold.</t>
  </si>
  <si>
    <t>Most advanced slide column reached. Legal &gt; Negotiate &gt; Deep Dil &gt; Prelim Dil &gt; NewCo/Hold &gt; Meetings.</t>
  </si>
  <si>
    <t>Traverse Tx</t>
  </si>
  <si>
    <t>First meeting at that stage.</t>
  </si>
  <si>
    <t>Stage at the most recent appearance. Differs from furthest when a deal fell back.</t>
  </si>
  <si>
    <t>Travertine</t>
  </si>
  <si>
    <t>reached_* / date_*</t>
  </si>
  <si>
    <t>Boolean plus first date for each funnel stage. This is the transition history Affinity lacks.</t>
  </si>
  <si>
    <t>Distinct meetings the company appeared on, bold or not.</t>
  </si>
  <si>
    <t>Health / Systems / Climate / Scale-Up. Affinity value, else mapped from slide sub-header.</t>
  </si>
  <si>
    <t>Affinity + Slides</t>
  </si>
  <si>
    <t>Which of the two supplied it, or MISSING.</t>
  </si>
  <si>
    <t>Slide sub-header: HH=Human Health, AS=Autonomous Systems, E&amp;C=Energy &amp; Climate, AIFS=AI for Science.</t>
  </si>
  <si>
    <t>Round stage. Locked picklist.</t>
  </si>
  <si>
    <t>Round being raised. Affinity 0 treated as unknown, not zero.</t>
  </si>
  <si>
    <t>hq_city / hq_state_province / hq_country</t>
  </si>
  <si>
    <t>Headquarters. Country normalised (UK to United Kingdom).</t>
  </si>
  <si>
    <t>United States / International / UNKNOWN.</t>
  </si>
  <si>
    <t>Current Affinity status. Often lags the slides.</t>
  </si>
  <si>
    <t>interest / score_team / score_tech / score_oppt</t>
  </si>
  <si>
    <t>Affinity scoring. Team/Tech/Oppt use an undefined +/++/+++ scale and are ~4% populated.</t>
  </si>
  <si>
    <t>owner_name / owner_email</t>
  </si>
  <si>
    <t>Split from Affinity's single 'Engine Team' string.</t>
  </si>
  <si>
    <t>EV0128</t>
  </si>
  <si>
    <t>FALSE means the company is on the slides but absent from the CRM.</t>
  </si>
  <si>
    <t>circadian-os.com</t>
  </si>
  <si>
    <t>name = exact, domain = website, fuzzy = containment. Spot-check fuzzy.</t>
  </si>
  <si>
    <t>Other spellings seen. Feeds the dedup rule.</t>
  </si>
  <si>
    <t>enriched_from_public / public_source</t>
  </si>
  <si>
    <t>Whether public data was used, and the citation.</t>
  </si>
  <si>
    <t>Public</t>
  </si>
  <si>
    <t>P1 advanced or discussed with gaps; P2 prelim dil mostly empty; P3 sparse; P4 acceptable.</t>
  </si>
  <si>
    <t>needs_*</t>
  </si>
  <si>
    <t>TRUE where that field is blank. Drives the worklist.</t>
  </si>
  <si>
    <t>10/17/2025</t>
  </si>
  <si>
    <t>11/24/2025</t>
  </si>
  <si>
    <t>Circadian OS is based on Nobel Prize-winning work out of Rockefeller University and developing the first FDA approved non-pharmacological circadian therapeutic for oncology.</t>
  </si>
  <si>
    <t>EV0129</t>
  </si>
  <si>
    <t>Coformer.ai</t>
  </si>
  <si>
    <t>coformer.ai</t>
  </si>
  <si>
    <t>02/26/2026</t>
  </si>
  <si>
    <t>EV0130</t>
  </si>
  <si>
    <t>CombustWell</t>
  </si>
  <si>
    <t>06/24/2026</t>
  </si>
  <si>
    <t>06/18/2026</t>
  </si>
  <si>
    <t>EV0134</t>
  </si>
  <si>
    <t>CypherSonic Labs</t>
  </si>
  <si>
    <t>Level 12 Bio NewCo</t>
  </si>
  <si>
    <t>MintNeuro</t>
  </si>
  <si>
    <t>EV0135</t>
  </si>
  <si>
    <t>EV0138</t>
  </si>
  <si>
    <t>Deepankur NewCo</t>
  </si>
  <si>
    <t>EV0143</t>
  </si>
  <si>
    <t>Drift Energy</t>
  </si>
  <si>
    <t>drift.energy</t>
  </si>
  <si>
    <t>EV0144</t>
  </si>
  <si>
    <t>FLUIX AI</t>
  </si>
  <si>
    <t>Dunia.ai</t>
  </si>
  <si>
    <t>dunia.ai</t>
  </si>
  <si>
    <t>NeoLogic</t>
  </si>
  <si>
    <t>EV0145</t>
  </si>
  <si>
    <t>Dynamical Mind</t>
  </si>
  <si>
    <t>dynamicalmind.com</t>
  </si>
  <si>
    <t>EV0153</t>
  </si>
  <si>
    <t>Ekion</t>
  </si>
  <si>
    <t>07/30/2026</t>
  </si>
  <si>
    <t>07/24/2026</t>
  </si>
  <si>
    <t>Dynamical Minds</t>
  </si>
  <si>
    <t>EV0155</t>
  </si>
  <si>
    <t>Elementium</t>
  </si>
  <si>
    <t>EV0158</t>
  </si>
  <si>
    <t>EnCharge</t>
  </si>
  <si>
    <t>ekion.com.au</t>
  </si>
  <si>
    <t>EV0164</t>
  </si>
  <si>
    <t>Externa</t>
  </si>
  <si>
    <t>xterna.bio</t>
  </si>
  <si>
    <t>EV0165</t>
  </si>
  <si>
    <t>EV0166</t>
  </si>
  <si>
    <t>Cetos Water / Kira</t>
  </si>
  <si>
    <t>elementium.io</t>
  </si>
  <si>
    <t>EV0169</t>
  </si>
  <si>
    <t>EV0171</t>
  </si>
  <si>
    <t>Flow Compute</t>
  </si>
  <si>
    <t>Exousia</t>
  </si>
  <si>
    <t>FluixAI</t>
  </si>
  <si>
    <t>EV0175</t>
  </si>
  <si>
    <t>FluidInsight</t>
  </si>
  <si>
    <t>Found Industries</t>
  </si>
  <si>
    <t>EV0177</t>
  </si>
  <si>
    <t>EV0157</t>
  </si>
  <si>
    <t>Inlyte Energy</t>
  </si>
  <si>
    <t>EV0179</t>
  </si>
  <si>
    <t>Marmot Energy</t>
  </si>
  <si>
    <t>Matta AI</t>
  </si>
  <si>
    <t>EV0197</t>
  </si>
  <si>
    <t>EV0208</t>
  </si>
  <si>
    <t>Hydram</t>
  </si>
  <si>
    <t>EV0223</t>
  </si>
  <si>
    <t>Tierra Climate</t>
  </si>
  <si>
    <t>EV0232</t>
  </si>
  <si>
    <t>Kampto</t>
  </si>
  <si>
    <t>EV0159</t>
  </si>
  <si>
    <t>kamptotech.com</t>
  </si>
  <si>
    <t>Epia Neuro</t>
  </si>
  <si>
    <t>epianeuro.com</t>
  </si>
  <si>
    <t>EV0254</t>
  </si>
  <si>
    <t>LightLogiq</t>
  </si>
  <si>
    <t>Alameda</t>
  </si>
  <si>
    <t>lightlogiq.co</t>
  </si>
  <si>
    <t>EV0257</t>
  </si>
  <si>
    <t>Lila</t>
  </si>
  <si>
    <t>EV0265</t>
  </si>
  <si>
    <t>Mach Electric</t>
  </si>
  <si>
    <t>Epia Neuro is a neural technology company developing intent-driven systems designed to restore function and independence for people living with neurological conditions. Its platform integrates implantable neural interfaces, adaptive algorithms, and assistive devices to translate neural intent into real-world action. The company’s initial focus is stroke-related motor impairment, with expansion in cognitive decline and other neurological disorders, focusing on long-term solutions for the growing aging population.</t>
  </si>
  <si>
    <t>EV0162</t>
  </si>
  <si>
    <t>EV0269</t>
  </si>
  <si>
    <t>12/11/2025</t>
  </si>
  <si>
    <t>EV0273</t>
  </si>
  <si>
    <t>EV0287</t>
  </si>
  <si>
    <t>EV0305</t>
  </si>
  <si>
    <t>Neurofold</t>
  </si>
  <si>
    <t>Xterna is a biotechnology company specializing in advanced nucleic acid technologies for targeted drug delivery. The company focuses on developing innovative solutions to address challenging and currently untreatable diseases by enhancing the effectiveness of therapeutic approaches. Their core technology involves using specialized nucleic acid techniques to enable cell-specific targeting of drugs, with support from funding programs like InnovateUK and the Science Creates Accelerator.</t>
  </si>
  <si>
    <t>neurofold.com</t>
  </si>
  <si>
    <t>EV0309</t>
  </si>
  <si>
    <t>Nimble Precision</t>
  </si>
  <si>
    <t>Neologic</t>
  </si>
  <si>
    <t>EV0332</t>
  </si>
  <si>
    <t>PseudolithIC</t>
  </si>
  <si>
    <t>fluix.ai</t>
  </si>
  <si>
    <t>Q.ANT</t>
  </si>
  <si>
    <t>Qurv</t>
  </si>
  <si>
    <t>Sensorium</t>
  </si>
  <si>
    <t>EV0336</t>
  </si>
  <si>
    <t>Sention</t>
  </si>
  <si>
    <t>EV0339</t>
  </si>
  <si>
    <t>Water: Cetos Water / Kira</t>
  </si>
  <si>
    <t>EV0357</t>
  </si>
  <si>
    <t>EV0168</t>
  </si>
  <si>
    <t>flexnode.io</t>
  </si>
  <si>
    <t>EV0374</t>
  </si>
  <si>
    <t>Resonant Thermal</t>
  </si>
  <si>
    <t>Bethesda</t>
  </si>
  <si>
    <t>Maryland</t>
  </si>
  <si>
    <t>EV0375</t>
  </si>
  <si>
    <t>Reverion</t>
  </si>
  <si>
    <t>Flexnode is a digital infrastructure company specializing in modular, liquid-cooled micro data center (MDC) systems designed to support growing data demands. The company manufactures, deploys, and operates high-performance data center solutions that enable flexible, efficient compute access wherever power and connectivity exist. Flexnode's innovative approach focuses on reducing the physical and environmental footprint of data infrastructure by offering scalable, energy-efficient data centers that can be rapidly deployed on-site or off-site. Their modular systems are customizable, support complex IT projects, and provide advanced security protocols while emphasizing sustainability through significant reductions in material waste and water consumption.</t>
  </si>
  <si>
    <t>fliptx.bio</t>
  </si>
  <si>
    <t>EV0379</t>
  </si>
  <si>
    <t>Riven AI</t>
  </si>
  <si>
    <t>EV0382</t>
  </si>
  <si>
    <t>EV0384</t>
  </si>
  <si>
    <t>EV0399</t>
  </si>
  <si>
    <t>Senvera Tx</t>
  </si>
  <si>
    <t>EV0410</t>
  </si>
  <si>
    <t>Soret Tech</t>
  </si>
  <si>
    <t>EV0174</t>
  </si>
  <si>
    <t>Fluent BCI</t>
  </si>
  <si>
    <t>fluentbci.com</t>
  </si>
  <si>
    <t>EV0417</t>
  </si>
  <si>
    <t>Stick Tx</t>
  </si>
  <si>
    <t>Melbourne</t>
  </si>
  <si>
    <t>Victoria</t>
  </si>
  <si>
    <t>Australia</t>
  </si>
  <si>
    <t>Water: Cetos / Kira /Eden Tech</t>
  </si>
  <si>
    <t>07/15/2026</t>
  </si>
  <si>
    <t>Fluent</t>
  </si>
  <si>
    <t>sticktx.com</t>
  </si>
  <si>
    <t>EV0423</t>
  </si>
  <si>
    <t>Fluent is pioneering the development of accessible brain-computer interface technology. Our mission is to seamlessly connect people with AI, enhancing communication and interaction for those with neurological conditions and ultimately transforming human-AI interaction for all.</t>
  </si>
  <si>
    <t>EV0429</t>
  </si>
  <si>
    <t>THEMA Foundries</t>
  </si>
  <si>
    <t>EV0434</t>
  </si>
  <si>
    <t>Tech</t>
  </si>
  <si>
    <t>Infinimmune</t>
  </si>
  <si>
    <t>EV0435</t>
  </si>
  <si>
    <t>Tech/ Resonant Thermal</t>
  </si>
  <si>
    <t>EV0436</t>
  </si>
  <si>
    <t>EV0438</t>
  </si>
  <si>
    <t>Tenenbaum NewCo</t>
  </si>
  <si>
    <t>EV0451</t>
  </si>
  <si>
    <t>Titan Biosciences</t>
  </si>
  <si>
    <t>EV0180</t>
  </si>
  <si>
    <t>Fusion Dynamics</t>
  </si>
  <si>
    <t>fusiondynamicscorporation.com</t>
  </si>
  <si>
    <t>EV0455</t>
  </si>
  <si>
    <t>TriMind</t>
  </si>
  <si>
    <t>EV0461</t>
  </si>
  <si>
    <t>Tyce AI</t>
  </si>
  <si>
    <t>Water: Cetos / Kira /Eden</t>
  </si>
  <si>
    <t>03/11/2026</t>
  </si>
  <si>
    <t>EV0470</t>
  </si>
  <si>
    <t>Virome Therapeutics</t>
  </si>
  <si>
    <t>Fusion Dynamics delivers silent, vibration-free solid-state thermal solutions using advanced electrohydrodynamic technology.</t>
  </si>
  <si>
    <t>EV0188</t>
  </si>
  <si>
    <t>graphtx.com</t>
  </si>
  <si>
    <t>EV0472</t>
  </si>
  <si>
    <t>Volantis</t>
  </si>
  <si>
    <t>Vienna</t>
  </si>
  <si>
    <t>Austria</t>
  </si>
  <si>
    <t>EV0474</t>
  </si>
  <si>
    <t>Voya Energy</t>
  </si>
  <si>
    <t>09/25/2024</t>
  </si>
  <si>
    <t>A precision immunology technology company leveraging AI-driven approaches to develop targeted therapies for immune-mediated diseases. Using advanced computational modeling and multi-omics data from patient cell samples, the company aims to create innovative treatments for complex immune conditions that currently lack adequate therapeutic options.</t>
  </si>
  <si>
    <t>EV0476</t>
  </si>
  <si>
    <t>gravitytechnologies.com</t>
  </si>
  <si>
    <t>EV0480</t>
  </si>
  <si>
    <t>Flume / Gravity</t>
  </si>
  <si>
    <t>Oak Robotics</t>
  </si>
  <si>
    <t>EV0481</t>
  </si>
  <si>
    <t>Gravity Technologies is an electric vehicle infrastructure and energy management company focused on developing innovative EV charging solutions. Their comprehensive approach includes modular charging units with up to 500kW capacity, invisible charging systems for existing parking spaces, and a distributed energy management platform. The company aims to transform electric vehicles into grid-stabilizing power plants, offering advanced software and hardware that enables faster, more affordable charging for light, medium, and heavy-duty vehicles across private fleets and public spaces.</t>
  </si>
  <si>
    <t>EV0489</t>
  </si>
  <si>
    <t>Xuanhe Robotics NewCo</t>
  </si>
  <si>
    <t>EV0200</t>
  </si>
  <si>
    <t>EV0205</t>
  </si>
  <si>
    <t>Horizon Labs</t>
  </si>
  <si>
    <t>04/06/2026</t>
  </si>
  <si>
    <t>EV0207</t>
  </si>
  <si>
    <t>HutanBio</t>
  </si>
  <si>
    <t>hutanbio.com</t>
  </si>
  <si>
    <t>Level 12 Bio</t>
  </si>
  <si>
    <t>08/20/2026</t>
  </si>
  <si>
    <t>HutanBio is a technology company developing zero-carbon biofuel solutions for long-distance transportation, focusing on marine, aviation, and heavy land transport sectors. Founded in 2019 by researchers from Cambridge University, the company has developed HBx, a proprietary marine microalgae-based biofuel that can be used as a direct replacement for diesel. Their innovative approach uses CO2 and sunlight to produce a scalable, sustainable fuel that operates with existing infrastructure, aims to decarbonize transportation, and requires no fresh water or agricultural land.</t>
  </si>
  <si>
    <t>hydram.is</t>
  </si>
  <si>
    <t>TeraBora</t>
  </si>
  <si>
    <t>EV0210</t>
  </si>
  <si>
    <t>Hydron</t>
  </si>
  <si>
    <t>hydrondesal.com</t>
  </si>
  <si>
    <t>One Biosciences</t>
  </si>
  <si>
    <t>05/14/2026</t>
  </si>
  <si>
    <t>Hydron Desal</t>
  </si>
  <si>
    <t>Hydron is a water technology company offering innovative liquid-liquid extraction solutions for brine management, primarily serving the oil and gas industry. Their patented technology provides a cost-effective approach to desalination, significantly reducing treatment costs compared to traditional membrane and thermal technologies. The company develops custom water management solutions for various sectors including oil and gas producers, water project developers, and infrastructure owners, with a commitment to commercial readiness through pilot testing and performance guarantees.</t>
  </si>
  <si>
    <t>EV0216</t>
  </si>
  <si>
    <t>iceboxenergy.com</t>
  </si>
  <si>
    <t>09/12/2025</t>
  </si>
  <si>
    <t>Icebox Energy is an innovative data center cooling technology company that provides a high-density cooling platform using a carbon dioxide loop. Their solution offers advanced cooling for high-performance computing environments, delivering exceptional cooling density and performance with low power consumption. The platform is modular, scalable, and designed to replace traditional cooling systems, providing precise temperature control for modern data centers while emphasizing energy efficiency and sustainability.</t>
  </si>
  <si>
    <t>EV0220</t>
  </si>
  <si>
    <t>infinimmune.com</t>
  </si>
  <si>
    <t>Mueon</t>
  </si>
  <si>
    <t>02/04/2026</t>
  </si>
  <si>
    <t>02/23/2026</t>
  </si>
  <si>
    <t>Infinimmune is a biotechnology company pioneering a novel approach to antibody drug discovery and development. The company specializes in creating truly human therapeutics by developing complete human antibodies derived directly from the human immune system. Using advanced immunosequencing technology, Infinimmune identifies and validates antibodies to create novel drugs with improved safety and efficacy. Their platform focuses on developing treatments for various diseases by leveraging a comprehensive catalog of fully functional antibodies, with the goal of enhancing clinical outcomes through a holistic approach to antibody development.</t>
  </si>
  <si>
    <t>ScaleLight</t>
  </si>
  <si>
    <t>inlyteenergy.com</t>
  </si>
  <si>
    <t>EV0229</t>
  </si>
  <si>
    <t>juliahub.com</t>
  </si>
  <si>
    <t>One.Bio</t>
  </si>
  <si>
    <t>EV0248</t>
  </si>
  <si>
    <t>Lectrolyst</t>
  </si>
  <si>
    <t>PowerDrive Thermal</t>
  </si>
  <si>
    <t>lectrolyst.com</t>
  </si>
  <si>
    <t>10/14/2025</t>
  </si>
  <si>
    <t>11/07/2025</t>
  </si>
  <si>
    <t>EV0250</t>
  </si>
  <si>
    <t>JuliaHub is a cloud-based platform for scientific computing and modeling, built on the Julia programming language. The platform enables users to develop, deploy, and scale complex computational projects across various industries including pharmaceuticals, aerospace, automotive, and energy. It provides advanced scientific machine learning (SciML) tools, multi-physics simulation capabilities, and an FDA CFR 11-compliant environment for technical computing. JuliaHub supports high-performance computing on multiple CPU and GPU nodes with features for project tracking, code reproducibility, and enterprise-level security.</t>
  </si>
  <si>
    <t>EV0251</t>
  </si>
  <si>
    <t>EV0260</t>
  </si>
  <si>
    <t>Lobe Labs</t>
  </si>
  <si>
    <t>lobelabs.io</t>
  </si>
  <si>
    <t>EV0263</t>
  </si>
  <si>
    <t>Luxergy</t>
  </si>
  <si>
    <t>Kampto is a deep-tech brain-computer interface company with deep expertise in hardware and software engineering. We build end-to-end BCI systems designed for real-world deployment, centered around a minimally invasive implanted chip that fits between the brain and the dura, conforms to the brain surface, and integrates an unprecedented scale of 65,536 electrodes for recording and stimulation. The system supports wireless power delivery and communication through a wearable relay station. By capturing highly diverse brain data and neural patterns at scale, Kampto unlocks the full potential of AI models running at the edge for next-generation clinical applications across epilepsy, motion, speech, and vision.</t>
  </si>
  <si>
    <t>EV0242</t>
  </si>
  <si>
    <t>Kyber Labs</t>
  </si>
  <si>
    <t>kyberlabs.ai</t>
  </si>
  <si>
    <t>Micromize</t>
  </si>
  <si>
    <t>luxergy.co</t>
  </si>
  <si>
    <t>EV0271</t>
  </si>
  <si>
    <t>04/21/2026</t>
  </si>
  <si>
    <t>04/20/2026</t>
  </si>
  <si>
    <t>EV0277</t>
  </si>
  <si>
    <t>Radify Metals</t>
  </si>
  <si>
    <t>Scaled Power</t>
  </si>
  <si>
    <t>merge4energy.com</t>
  </si>
  <si>
    <t>Kyber Labs is an innovative robotics technology company developing novel artificial muscle fiber actuators for advanced robotic manipulation systems. Their platform focuses on creating low-cost, dexterous robots that can perform human-like tasks in complex environments. By mimicking biological muscle functionality, the company aims to address manual labor shortages through AI-controlled robotic systems that can learn through demonstrations and execute fluid, natural movements not possible with conventional actuation technologies.</t>
  </si>
  <si>
    <t>EV0278</t>
  </si>
  <si>
    <t>EV0282</t>
  </si>
  <si>
    <t>Wilmington</t>
  </si>
  <si>
    <t>Delaware</t>
  </si>
  <si>
    <t>12/10/2021</t>
  </si>
  <si>
    <t>07/17/2026</t>
  </si>
  <si>
    <t>micromize.com</t>
  </si>
  <si>
    <t>EV0288</t>
  </si>
  <si>
    <t>Mohan Technologies /</t>
  </si>
  <si>
    <t>Upcycling CO2 Into Clean Acetate for Precision Fermentation. Lectrolyst is an innovative electrochemistry company that specializes in transforming carbon dioxide and water into sustainable chemical products using renewable electricity. Their technology enables onsite, scalable chemical transformation solutions ranging from benchtop synthesis to industrial processing facilities. The company focuses on converting carbon waste into essential chemicals, with applications in areas like protein production, electro-agriculture, and sustainable manufacturing, demonstrating advanced electro-chemistry solutions that can be integrated into existing systems.</t>
  </si>
  <si>
    <t>mohan.media</t>
  </si>
  <si>
    <t>EV0292</t>
  </si>
  <si>
    <t>mursla.com</t>
  </si>
  <si>
    <t>EV0315</t>
  </si>
  <si>
    <t>Creating an IL12 p70-specific antibody with potential to precisely shut down the T and B cells responsible for Th1-driven autoimmune diseases</t>
  </si>
  <si>
    <t>nouxel.com</t>
  </si>
  <si>
    <t>EV0316</t>
  </si>
  <si>
    <t>Scaled Power solutions</t>
  </si>
  <si>
    <t>oakrobotics.com</t>
  </si>
  <si>
    <t>08/06/2026</t>
  </si>
  <si>
    <t>EV0322</t>
  </si>
  <si>
    <t>EV0258</t>
  </si>
  <si>
    <t>Linque</t>
  </si>
  <si>
    <t>linque.eu</t>
  </si>
  <si>
    <t>onebiosciences.com</t>
  </si>
  <si>
    <t>EV0324</t>
  </si>
  <si>
    <t>OpTerra</t>
  </si>
  <si>
    <t>Munich</t>
  </si>
  <si>
    <t>Bavaria</t>
  </si>
  <si>
    <t>opterratechnologies.com</t>
  </si>
  <si>
    <t>EV0335</t>
  </si>
  <si>
    <t>Linque is an advanced computing technology company specializing in energy-efficient cloud and AI infrastructure. The company develops silicon-photonic integrated circuits that provide faster, greener computing solutions for next-generation algorithms and computational needs. Their hardware offers programmable circuits that reduce energy consumption while enabling rapid information processing and low-latency computing across various applications.</t>
  </si>
  <si>
    <t>phasic.ai</t>
  </si>
  <si>
    <t>06/01/2026</t>
  </si>
  <si>
    <t>EV0343</t>
  </si>
  <si>
    <t>Tools for developing biological neural networks. Harnessing the efficiency of cellular intelligence for the next era of computation.</t>
  </si>
  <si>
    <t>05/20/2026</t>
  </si>
  <si>
    <t>porpoisepower.com</t>
  </si>
  <si>
    <t>EV0346</t>
  </si>
  <si>
    <t>powerdrivethermal.com</t>
  </si>
  <si>
    <t>EV0353</t>
  </si>
  <si>
    <t>qant.de</t>
  </si>
  <si>
    <t>EV0367</t>
  </si>
  <si>
    <t>Red Metal Co</t>
  </si>
  <si>
    <t>manabattery.us</t>
  </si>
  <si>
    <t>EV0373</t>
  </si>
  <si>
    <t>Renewal Metals</t>
  </si>
  <si>
    <t>EV0381</t>
  </si>
  <si>
    <t>rockzero.com</t>
  </si>
  <si>
    <t>EV0388</t>
  </si>
  <si>
    <t>EV0390</t>
  </si>
  <si>
    <t>EV0270</t>
  </si>
  <si>
    <t>marmot.energy</t>
  </si>
  <si>
    <t>scaledpowersolutions.com</t>
  </si>
  <si>
    <t>EV0439</t>
  </si>
  <si>
    <t>terabora.com</t>
  </si>
  <si>
    <t>EV0453</t>
  </si>
  <si>
    <t>marmot energy is a uk-based energy technology company that develops software for manufacturers to run their own virtual power plants. we enable our customers to significantly reduce their energy costs without worrying about their production being interrupted. marmot integrates local operational intelligence with raw data from electricity assets and live energy market data to decide when and how energy should be used. the software guides energy optimisation under customer oversight and control, helping customers reduce costs, cut carbon and earn revenue. interested in partnering or joining us? drop us a line at hello@marmot.energy</t>
  </si>
  <si>
    <t>traversetx.com</t>
  </si>
  <si>
    <t>EV0478</t>
  </si>
  <si>
    <t>WASE</t>
  </si>
  <si>
    <t>wase.co.uk</t>
  </si>
  <si>
    <t>11/06/2025</t>
  </si>
  <si>
    <t>Synteny</t>
  </si>
  <si>
    <t>Physical AI power infrastructure. Next generation solid state, 800VDC protection and control for data centers, EV charging and the utility grid.</t>
  </si>
  <si>
    <t>12/03/2025</t>
  </si>
  <si>
    <t>Orpheus Ocean</t>
  </si>
  <si>
    <t>A venture capital-backed startup developing ultra-miniaturized electronics for mobile and wearable devices. The company focuses on creating lighter, more compact electronic components that extend battery life and reduce electronic waste. Supported by NSF funding, Micromize utilizes advanced semiconductor technology to enhance energy efficiency, with a product line including the E2CAM device designed for wearable and healthcare applications.</t>
  </si>
  <si>
    <t>EV0284</t>
  </si>
  <si>
    <t>mintneuro.com</t>
  </si>
  <si>
    <t>Health; Systems</t>
  </si>
  <si>
    <t>MintNeuro is a pioneering semiconductor technology company specializing in developing advanced neural implant technologies. The company designs innovative, low-power, and compact integrated circuits for minimally invasive medical applications targeting neurological disorders. By creating scalable and cost-effective electronic components, MintNeuro partners with medical device companies, researchers, and institutions to enhance patient outcomes. Their technology supports critical functions like neural signal acquisition, processing, and power management, with a mission to provide high-performance solutions that minimize surgical invasiveness in neurological treatments.</t>
  </si>
  <si>
    <t>06/23/2026</t>
  </si>
  <si>
    <t>Mohan Technologies | Mohan</t>
  </si>
  <si>
    <t>The world model for the subsurface. Once a region is known to host mineralization, the goal is to define the ore body with fewer holes, more hits, less time, and less capital. We are building a subsurface world model to answer that. Generative AI for resource definition. Built by researchers from MIT EAPS, CSAIL, and the Media Lab.</t>
  </si>
  <si>
    <t>EV0291</t>
  </si>
  <si>
    <t>mueon.com</t>
  </si>
  <si>
    <t>Hillsboro</t>
  </si>
  <si>
    <t>Oregon</t>
  </si>
  <si>
    <t>03/25/2026</t>
  </si>
  <si>
    <t>The Next Exponential</t>
  </si>
  <si>
    <t>06/09/2026</t>
  </si>
  <si>
    <t>09/26/2025</t>
  </si>
  <si>
    <t>06/05/2026</t>
  </si>
  <si>
    <t>Mursla Bio is an AI-powered precision diagnostics company specializing in extracellular vesicle (EV) research and liquid biopsy technologies. Spun out of Cambridge University, the company has developed a proprietary platform for non-invasive organ-specific blood tests. Their flagship product, EvoLiver™, focuses on early liver cancer detection, utilizing AI-enabled multiomics workflows to analyze EV particles from blood. The company aims to revolutionize disease detection and monitoring through advanced biomarker identification and organ-specific diagnostic technologies.</t>
  </si>
  <si>
    <t>EV0300</t>
  </si>
  <si>
    <t>neologicvlsi.com</t>
  </si>
  <si>
    <t>Netanya</t>
  </si>
  <si>
    <t>Center District</t>
  </si>
  <si>
    <t>04/17/2024</t>
  </si>
  <si>
    <t>NeoLogic is a semiconductor technology company developing innovative microprocessor designs that challenge traditional CMOS technology. Their AI-driven Quasi-CMOS platform aims to revolutionize processor design by reducing transistor count up to 3x across various technology nodes. Focused on addressing increasing computational demands in artificial intelligence, machine learning, video processing, and data analytics, the company provides a technology platform that improves performance, reduces power consumption, and enhances circuit efficiency for cloud and edge computing applications.</t>
  </si>
  <si>
    <t>EV0303</t>
  </si>
  <si>
    <t>netpreme.com</t>
  </si>
  <si>
    <t>09/17/2024</t>
  </si>
  <si>
    <t>03/24/2026</t>
  </si>
  <si>
    <t>Netpreme is a technology company focused on photonic networking solutions specifically designed for AI infrastructure. The company specializes in developing advanced optical interconnect technologies that enhance AI computing capabilities. Their key offerings include high-bandwidth photonic networks supporting XPU memory expansion, enabling more efficient data transfer and processing for AI systems. Netpreme's solutions are targeted at improving computational performance through cutting-edge optical networking technologies, supporting the growing demands of AI and high-performance computing environments.</t>
  </si>
  <si>
    <t>03/05/2026</t>
  </si>
  <si>
    <t>03/20/2026</t>
  </si>
  <si>
    <t>AIFS</t>
  </si>
  <si>
    <t>Orpheus</t>
  </si>
  <si>
    <t>03/04/2026</t>
  </si>
  <si>
    <t>EV0317</t>
  </si>
  <si>
    <t>oceanbitenergy.com</t>
  </si>
  <si>
    <t>Honolulu</t>
  </si>
  <si>
    <t>Hawaii</t>
  </si>
  <si>
    <t>09/18/2025</t>
  </si>
  <si>
    <t>09/30/2025</t>
  </si>
  <si>
    <t>OceanBit is a renewable energy company focused on developing innovative ocean thermal energy solutions for coastal and island communities. Their primary mission is to create carbon-free power plants that deliver continuous, 24/7 renewable energy. The company aims to replace outdated diesel generators with sustainable ocean thermal energy technology, supporting the transition to zero-carbon energy grids. By providing clean, reliable, and accessible energy solutions, OceanBit seeks to revolutionize the renewable energy sector and support environmentally sustainable power generation for remote locations.</t>
  </si>
  <si>
    <t>EV0318</t>
  </si>
  <si>
    <t>Oleo</t>
  </si>
  <si>
    <t>oleo.earth</t>
  </si>
  <si>
    <t>Palo Alto</t>
  </si>
  <si>
    <t>07/01/2026</t>
  </si>
  <si>
    <t>OLEO</t>
  </si>
  <si>
    <t>Oleo is a biomanufacturing platform that transforms biomass waste into sustainable, low-carbon feedstock for advanced fuel production. The company focuses on halting palm oil-driven deforestation by converting underutilized biomass into sustainable oil inputs for biofuels and consumer goods industries. Oleo's technology enables the production of various feedstocks including cellulosic sugars, renewable diesel, and sustainable aviation fuel (SAF), with a mission to decarbonize corporate supply chains and provide environmentally friendly alternatives to traditional fuel and oil production methods.</t>
  </si>
  <si>
    <t>Dallas</t>
  </si>
  <si>
    <t>04/13/2026</t>
  </si>
  <si>
    <t>One Biosciences is a precision medicine company leveraging single-cell technologies and AI-driven analysis for advanced cancer research. The company develops innovative platforms for high-resolution molecular profiling of clinical specimens, helping to identify new therapeutics and improve patient selection for clinical trials. Their key technologies include OneMapTM for optimizing trial matching, OneCureTM for patient population selection, and computational capabilities that aim to transform cancer care by uncovering complex biological insights through advanced data analysis.</t>
  </si>
  <si>
    <t>Mohan</t>
  </si>
  <si>
    <t>07/02/2026</t>
  </si>
  <si>
    <t>EV0327</t>
  </si>
  <si>
    <t>orpheusocean.com</t>
  </si>
  <si>
    <t>Thermal</t>
  </si>
  <si>
    <t>New Bedford</t>
  </si>
  <si>
    <t>06/05/2025</t>
  </si>
  <si>
    <t>Orpheus Ocean is an innovative deep ocean intelligence company developing autonomous underwater vehicles (AUVs) for advanced marine exploration. Their customizable unmanned vehicles are designed for scalable seafloor access, conducting geophysical surveys, and collecting environmental data through advanced sensor technologies. The company aims to revolutionize ocean exploration by providing efficient, AI-powered solutions for marine research, environmental monitoring, and supporting the emerging blue economy through autonomous seafloor interaction and high-resolution survey capabilities.</t>
  </si>
  <si>
    <t>EV0329</t>
  </si>
  <si>
    <t>ovo-labs.com</t>
  </si>
  <si>
    <t>Oberschleißheim</t>
  </si>
  <si>
    <t>09/04/2025</t>
  </si>
  <si>
    <t>10/02/2025</t>
  </si>
  <si>
    <t>Ovo Labs is a fertility technology company specializing in developing therapeutic treatments to improve IVF success rates, particularly for women aged 35-42. The company focuses on groundbreaking research in mammalian egg biology, aiming to protect eggs from age-related defects. Their innovative approach potentially increases IVF success rates by 20-30% for younger women and up to 3-5 times for women over 35, with multiple therapeutic treatments currently in clinical development.</t>
  </si>
  <si>
    <t>parallel.bio</t>
  </si>
  <si>
    <t>05/23/2024</t>
  </si>
  <si>
    <t>12/12/2025</t>
  </si>
  <si>
    <t>Phasic Energy is an AI-powered technology company specializing in waste heat recovery and thermal optimization solutions. Their core offerings include energy-efficient thermal systems that capture and convert low-grade waste heat into usable energy and cooling solutions. The company serves various industries including industrial, commercial, and defense sectors, with products such as heat engines, heat exchangers, and thermal coolers designed to enhance energy efficiency and reduce carbon emissions.</t>
  </si>
  <si>
    <t>plaidsemi.com</t>
  </si>
  <si>
    <t>Mohan Technologies</t>
  </si>
  <si>
    <t>Potenix</t>
  </si>
  <si>
    <t>Stac12</t>
  </si>
  <si>
    <t>Porpoise Power is an innovative renewable energy company developing bio-inspired tidal energy generators that utilize whale tail movement principles to generate sustainable electricity. The technology aims to produce reliable, cost-effective power in coastal regions, particularly around the UK, North Atlantic, and Pacific coasts. Designed to be environmentally friendly and scalable, their generator can potentially generate up to 250GW of tidal energy globally by 2050, offering a low-impact alternative to traditional offshore energy production.</t>
  </si>
  <si>
    <t>EV0345</t>
  </si>
  <si>
    <t>potenix.com</t>
  </si>
  <si>
    <t>08/31/2026</t>
  </si>
  <si>
    <t>Potenix is a sustainability-focused technology company that transforms waste into clean, reliable energy. Utilizing synthetic biology and artificial intelligence, they develop innovative biotech solutions to convert food waste into sustainable energy sources, helping businesses reduce waste and lower energy costs while contributing to environmental conservation.</t>
  </si>
  <si>
    <t>Powerdrive Thermal; Thermal</t>
  </si>
  <si>
    <t>RoughneckAI</t>
  </si>
  <si>
    <t>AI infrastructure is power constrained. Grid connections take 3-7 years. Behind-the-meter generation is the default. But at every prime-power data center, up to 16-30% of generator output goes to cooling instead of compute. In a power-constrained world, that's stranded capacity. PowerDrive Thermal is building critical cooling infrastructure that converts generator waste heat into cooling capacity — freeing power for revenue-generating compute. No additional fuel. The fastest path to more megawatts per site. * Technology development backed by a decade of federally funded R&amp;D (DOE, ARPA-E, DOD) * Chevron Studio scale-up program * Schneider Electric Ventures Accelerator Cohort 2</t>
  </si>
  <si>
    <t>EV0350</t>
  </si>
  <si>
    <t>pseudolithic.com</t>
  </si>
  <si>
    <t>Santa Barbara</t>
  </si>
  <si>
    <t>02/27/2026</t>
  </si>
  <si>
    <t>PseudolithIC is a semiconductor technology company specializing in developing next-generation RF and millimeter-wave chipsets. The company uses proprietary heterogeneous integration technology to combine semiconductor materials, creating high-performance silicon RFIC solutions, power amplifiers, and low-noise amplifiers. Focused on innovation in wireless communications, PseudolithIC aims to enhance chip performance and cost-effectiveness through advanced semiconductor integration techniques.</t>
  </si>
  <si>
    <t>Q.ANT is a cutting-edge technology company specializing in photonic quantum computing solutions for industrial applications. They develop advanced quantum technology processors that utilize light-based computing to enhance AI performance, focusing on creating high-quality photonic circuits and specialized sensors for magnetic field measurement and particle metrology. Their core technology, the ParaDigm framework, optimizes optical and electronic processes to deliver precise and efficient computational solutions for complex technological challenges.</t>
  </si>
  <si>
    <t>EV0361</t>
  </si>
  <si>
    <t>radifymetals.com</t>
  </si>
  <si>
    <t>Adiabatic machines</t>
  </si>
  <si>
    <t>Campbell</t>
  </si>
  <si>
    <t>04/16/2026</t>
  </si>
  <si>
    <t>Radify is a deep-tech, venture-backed company tackling one of the largest and most overlooked gaps in our industrial economy: modern metalmaking. Metal is a critical input to trillion-dollar industries – and today, our nation is almost entirely dependent on foreign supply of critical minerals and outdated technology. We’re here to change that. To make metal modern. To make it here.</t>
  </si>
  <si>
    <t>EV0366</t>
  </si>
  <si>
    <t>recupere-metals.com</t>
  </si>
  <si>
    <t>10/21/2025</t>
  </si>
  <si>
    <t>Recupere Metals is an innovative metal recycling company specializing in manufacturing electrical copper wire using 100% recycled scrap materials. The company employs a proprietary conductivity-enhancing process that helps reduce greenhouse gas emissions and supports more resilient supply chains. By utilizing recycled copper without traditional mining or smelting, Recupere Metals addresses primary copper supply challenges in the energy and mining sectors while promoting sustainable manufacturing practices.</t>
  </si>
  <si>
    <t>06/04/2026</t>
  </si>
  <si>
    <t>06/03/2026</t>
  </si>
  <si>
    <t>06/16/2026</t>
  </si>
  <si>
    <t>StaC12</t>
  </si>
  <si>
    <t>11/25/2025</t>
  </si>
  <si>
    <t>11/04/2024</t>
  </si>
  <si>
    <t>Rock Zero is a cleantech company focused on revolutionizing lithium refining through sustainable mining technologies. The company has developed a proprietary low-temperature hardrock refining process that significantly reduces the environmental and economic costs of lithium production. Utilizing innovative chemistry developed at MIT, Rock Zero creates a closed-loop process that reduces CO2 emissions, minimizes chemical waste, and aims to supply low-cost battery materials to the growing battery industry.</t>
  </si>
  <si>
    <t>WAVR</t>
  </si>
  <si>
    <t>WAVR Technologies</t>
  </si>
  <si>
    <t>EV0383</t>
  </si>
  <si>
    <t>roughneck.ai</t>
  </si>
  <si>
    <t>Samara Aerospace</t>
  </si>
  <si>
    <t>06/25/2026</t>
  </si>
  <si>
    <t>Roughneck AI is a multidimensional real-world data platform focused on enhancing deep learning models. The platform leverages advanced sensors including haptic sensors, inertial measurement units, visual imaging, and spatial mapping to provide detailed insights into human interactions. It supports seamless integration with various deep learning applications, enabling precise analysis of complex data sources and offering more authentic and comprehensive insights beyond traditional video datasets.</t>
  </si>
  <si>
    <t>Yondu AI</t>
  </si>
  <si>
    <t>EV0386</t>
  </si>
  <si>
    <t>samaraaerospace.com</t>
  </si>
  <si>
    <t>Samara Aerospace is a technology company specializing in innovative satellite system design, particularly focused on developing the Hummingbird satellite bus. Their core innovation is the MSAC (Modular Satellite Attitude Control) technology, which enables the creation of thinner, lighter, and more rapidly producible satellites with superior pointing performance. The company aims to revolutionize satellite design by reducing launch costs and improving satellite capabilities for Earth observation, space-based internet, and commercial orbital markets. Their technology allows for enhanced image quality, higher data transmission rates, and more efficient satellite deployment.</t>
  </si>
  <si>
    <t>04/14/2026</t>
  </si>
  <si>
    <t>EV0391</t>
  </si>
  <si>
    <t>scenix.ai</t>
  </si>
  <si>
    <t>07/26/2018</t>
  </si>
  <si>
    <t>SceniX is an advanced AI technology company developing a specialized game engine for robotic learning systems. Founded by experts in computer graphics, physical simulation, and robotics, the platform focuses on creating comprehensive world models that capture object geometry, appearance, and dynamics. Their innovative approach aims to advance 3D generative models by providing a robust understanding of physics and object interactions, enabling more sophisticated and efficient robotic training and evaluation capabilities.</t>
  </si>
  <si>
    <t>EV0393</t>
  </si>
  <si>
    <t>seamoretech.com</t>
  </si>
  <si>
    <t>Matosinhos</t>
  </si>
  <si>
    <t>Porto District</t>
  </si>
  <si>
    <t>Portugal</t>
  </si>
  <si>
    <t>SeamoreTech is a water technology startup founded in 2021 that specializes in innovative brine purification systems for desalination plants. The company develops zero liquid discharge solutions that transform waste brine into valuable resources, extracting critical minerals while reducing ocean pollution. Their technology aims to create a more sustainable water infrastructure by improving desalination processes, promoting circular economy principles, and providing innovative solutions for water treatment and mineral extraction in industrial sectors.</t>
  </si>
  <si>
    <t>EV0396</t>
  </si>
  <si>
    <t>sensorium.co.uk</t>
  </si>
  <si>
    <t>Dunfermline</t>
  </si>
  <si>
    <t>Scotland</t>
  </si>
  <si>
    <t>Sensorium Limited is an information technology and services company specializing in assistive technology solutions for healthcare and estate management sectors. Established in 1994, the company provides advanced call systems, bed management systems, and integrated technology solutions primarily for healthcare organizations. Their product range includes innovative passive monitoring devices designed to support individuals with special needs such as Dementia, Alzheimer's, Epilepsy, and Learning Difficulties, with a focus on enhancing safety and independence through customizable technological interventions.</t>
  </si>
  <si>
    <t>EV0397</t>
  </si>
  <si>
    <t>sention.io</t>
  </si>
  <si>
    <t>Sention Technologies provides advanced diagnostic solutions for the electrochemical industry, specializing in cell performance optimization through ultrasound and machine learning technologies. Their platform enables real-time analysis of battery cells, fuel cells, and supercapacitors, offering insights into cell health across production, usage, and recycling stages. By applying AI-powered diagnostics, Sention helps reduce waste, improve safety, and accelerate sustainable energy transitions for electric vehicles, mobile devices, and energy storage solutions.</t>
  </si>
  <si>
    <t>EV0415</t>
  </si>
  <si>
    <t>stac12.com</t>
  </si>
  <si>
    <t>Integrated single-crystal diamond for quantum and semiconductor technologies</t>
  </si>
  <si>
    <t>Drug discovery that Sticks.</t>
  </si>
  <si>
    <t>EV0427</t>
  </si>
  <si>
    <t>synteny.ai</t>
  </si>
  <si>
    <t>05/08/2026</t>
  </si>
  <si>
    <t>05/19/2026</t>
  </si>
  <si>
    <t>Powerdrive Thermal</t>
  </si>
  <si>
    <t>Synteny is a techbio company leveraging AI and machine learning to advance disease discovery through immune repertoire analysis. The company specializes in developing precision immunotherapies, particularly focusing on T-cell receptor (TCR) bispecific therapies. Its platform combines high-diversity TCR library generation with generative AI to design potent and safe therapeutic approaches, with a primary emphasis on oncological applications. By decoding signals from immune repertoires, Synteny aims to create innovative treatments and support clinical development in precision medicine.</t>
  </si>
  <si>
    <t>03/18/2026</t>
  </si>
  <si>
    <t>03/13/2026</t>
  </si>
  <si>
    <t>our solution makes ground-source heat pumps easier, cheaper, and less disruptive to install, enabling a mass transition into electric heating. traditional methods require deep drilling, which is expensive, damages landscapes, and slows the adoption process. our worm-like digging machine moves through the soil without major excavation, efficiently creating underground boreholes for the heat pump pipes to be installed. by lowering installation costs and reducing disruption, we remove a key barrier to gshp adoption. if more homes and buildings switch to gshps, we can significantly cut heating-related co₂ emissions, which currently account for 2.5 billion tonnes per year globally.</t>
  </si>
  <si>
    <t>EV0450</t>
  </si>
  <si>
    <t>tierraclimate.com</t>
  </si>
  <si>
    <t>Houston</t>
  </si>
  <si>
    <t>02/11/2026</t>
  </si>
  <si>
    <t>Tierra Climate is a technology platform designed to optimize grid-scale battery deployment and decarbonization services. The company provides AI-powered tools for corporations and developers to maximize financial returns and sustainability targets for energy storage assets. Their platform offers real-time and day-ahead optimization of energy prices, ancillary service prices, and emissions tracking, helping users make informed decisions about renewable energy investments across various industries.</t>
  </si>
  <si>
    <t>Developing an AAV delivered CRISPR activation therapy for heart disease caused by TTN truncating mutations, a leading genetic cause of heart failure.</t>
  </si>
  <si>
    <t>03/02/2026</t>
  </si>
  <si>
    <t>12/22/2025</t>
  </si>
  <si>
    <t>06/11/2026</t>
  </si>
  <si>
    <t>EV0454</t>
  </si>
  <si>
    <t>travertinetech.com</t>
  </si>
  <si>
    <t>Boulder</t>
  </si>
  <si>
    <t>12/05/2025</t>
  </si>
  <si>
    <t>Travertine is a carbon dioxide removal (CDR) and critical element production technology company based in Boulder, CO. The company develops a cost-effective, gigaton-scale carbon removal solution that simultaneously produces sulfuric acid and green hydrogen. Their innovative process focuses on direct air capture technology to remove CO2, transforming gypsum into carbon-negative building materials and producing critical elements for mining, fertilizer, and industrial applications. By combining carbon sequestration with sustainable chemical production, Travertine aims to reduce waste and carbon emissions while supporting green energy solutions.</t>
  </si>
  <si>
    <t>tyce.ai</t>
  </si>
  <si>
    <t>voya.energy</t>
  </si>
  <si>
    <t>Bristol</t>
  </si>
  <si>
    <t>08/24/2026</t>
  </si>
  <si>
    <t>08/27/2026</t>
  </si>
  <si>
    <t>Wase is a UK-based startup focused on transforming wastewater management through innovative waste-to-energy solutions. The company develops decentralized wastewater treatment technologies that convert organic waste into biogas, reusable water, and agricultural inputs. Using electro-active microbes, Wase aims to address global environmental challenges by reducing untreated wastewater discharge, generating renewable energy, and providing sustainable waste management solutions for manufacturers and communities facing resource constraints.</t>
  </si>
  <si>
    <t>EV0479</t>
  </si>
  <si>
    <t>wavrtechnologies.com</t>
  </si>
  <si>
    <t>Las Vegas</t>
  </si>
  <si>
    <t>Nevada</t>
  </si>
  <si>
    <t>07/22/2026</t>
  </si>
  <si>
    <t>WAVR Technologies develops innovative atmospheric water harvesting systems designed to extract water from air in low-humidity environments. Their patent-pending technology can produce pure, distilled water for commercial, medical, and residential applications, with output ranging from 10 to 10,000 gallons per week. The company collaborates with Fortune 1000 companies and regional water agencies to address water scarcity challenges, offering systems that extract water up to 10 times more efficiently than current market solutions, at a reduced cost and footprint.</t>
  </si>
  <si>
    <t>EV0490</t>
  </si>
  <si>
    <t>yonduai.com</t>
  </si>
  <si>
    <t>Gardena</t>
  </si>
  <si>
    <t>07/29/2026</t>
  </si>
  <si>
    <t>Yondu is a technology company specializing in AI-driven solutions for warehousing and logistics. The company develops autonomous robots designed to perform critical warehouse tasks such as picking, stocking, and managing shelf operations. Their solutions focus on enhancing operational efficiency and productivity through advanced robotics and artificial intelligence technologies, with a commitment to transforming warehouse management through innovative automation.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</si>
</sst>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
  </numFmts>
  <fonts count="15">
    <font>
      <sz val="11.0"/>
      <color theme="1"/>
      <name val="Calibri"/>
      <scheme val="minor"/>
    </font>
    <font>
      <b/>
      <sz val="16.0"/>
      <color rgb="FF1F3864"/>
      <name val="Arial"/>
    </font>
    <font>
      <b/>
      <sz val="10.0"/>
      <color rgb="FFFFFFFF"/>
      <name val="Arial"/>
    </font>
    <font>
      <sz val="10.0"/>
      <color rgb="FF000000"/>
      <name val="Arial"/>
    </font>
    <font>
      <b/>
      <sz val="14.0"/>
      <color rgb="FF1F3864"/>
      <name val="Arial"/>
    </font>
    <font>
      <b/>
      <sz val="12.0"/>
      <color rgb="FF1F3864"/>
      <name val="Arial"/>
    </font>
    <font>
      <sz val="11.0"/>
      <color theme="1"/>
      <name val="Calibri"/>
    </font>
    <font>
      <i/>
      <sz val="9.0"/>
      <color rgb="FF808080"/>
      <name val="Arial"/>
    </font>
    <font>
      <sz val="10.0"/>
      <color theme="1"/>
      <name val="Arial"/>
    </font>
    <font>
      <b/>
      <sz val="12.0"/>
      <color rgb="FFC00000"/>
      <name val="Arial"/>
    </font>
    <font>
      <b/>
      <sz val="10.0"/>
      <color theme="1"/>
      <name val="Arial"/>
    </font>
    <font>
      <u/>
      <sz val="10.0"/>
      <color rgb="FF0000FF"/>
      <name val="Arial"/>
    </font>
    <font>
      <sz val="9.0"/>
      <color rgb="FF000000"/>
      <name val="Arial"/>
    </font>
    <font>
      <u/>
      <sz val="10.0"/>
      <color rgb="FF0000FF"/>
      <name val="Arial"/>
    </font>
    <font>
      <color theme="1"/>
      <name val="Calibri"/>
      <scheme val="minor"/>
    </font>
  </fonts>
  <fills count="5">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1"/>
    </xf>
    <xf borderId="0" fillId="0" fontId="3"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0" fillId="0" fontId="6" numFmtId="0" xfId="0" applyAlignment="1" applyFont="1">
      <alignment shrinkToFit="0" vertical="bottom" wrapText="0"/>
    </xf>
    <xf borderId="0" fillId="0" fontId="7" numFmtId="0" xfId="0" applyAlignment="1" applyFont="1">
      <alignment shrinkToFit="0" vertical="bottom" wrapText="0"/>
    </xf>
    <xf borderId="1" fillId="0" fontId="8" numFmtId="0" xfId="0" applyAlignment="1" applyBorder="1" applyFont="1">
      <alignment shrinkToFit="0" vertical="top" wrapText="0"/>
    </xf>
    <xf borderId="1" fillId="0" fontId="8" numFmtId="164" xfId="0" applyAlignment="1" applyBorder="1" applyFont="1" applyNumberFormat="1">
      <alignment shrinkToFit="0" vertical="top" wrapText="0"/>
    </xf>
    <xf borderId="1" fillId="0" fontId="8" numFmtId="0" xfId="0" applyAlignment="1" applyBorder="1" applyFont="1">
      <alignment shrinkToFit="0" vertical="top" wrapText="1"/>
    </xf>
    <xf borderId="1" fillId="2" fontId="2" numFmtId="0" xfId="0" applyAlignment="1" applyBorder="1" applyFill="1" applyFont="1">
      <alignment horizontal="left" shrinkToFit="0" vertical="bottom" wrapText="1"/>
    </xf>
    <xf borderId="0" fillId="0" fontId="9" numFmtId="0" xfId="0" applyAlignment="1" applyFont="1">
      <alignment shrinkToFit="0" vertical="bottom" wrapText="0"/>
    </xf>
    <xf borderId="1" fillId="0" fontId="8" numFmtId="165" xfId="0" applyAlignment="1" applyBorder="1" applyFont="1" applyNumberFormat="1">
      <alignment shrinkToFit="0" vertical="top" wrapText="0"/>
    </xf>
    <xf borderId="1" fillId="2" fontId="2" numFmtId="0" xfId="0" applyAlignment="1" applyBorder="1" applyFill="1" applyFont="1">
      <alignment horizontal="center" shrinkToFit="0" vertical="bottom" wrapText="1"/>
    </xf>
    <xf borderId="1" fillId="3" fontId="10" numFmtId="0" xfId="0" applyAlignment="1" applyBorder="1" applyFill="1" applyFont="1">
      <alignment shrinkToFit="0" vertical="bottom" wrapText="0"/>
    </xf>
    <xf borderId="1" fillId="3" fontId="10" numFmtId="0" xfId="0" applyAlignment="1" applyBorder="1" applyFill="1" applyFont="1">
      <alignment horizontal="center" shrinkToFit="0" vertical="bottom" wrapText="0"/>
    </xf>
    <xf borderId="1" fillId="0" fontId="7" numFmtId="0" xfId="0" applyAlignment="1" applyBorder="1" applyFont="1">
      <alignment shrinkToFit="0" vertical="bottom" wrapText="0"/>
    </xf>
    <xf borderId="1" fillId="4" fontId="10" numFmtId="0" xfId="0" applyAlignment="1" applyBorder="1" applyFill="1" applyFont="1">
      <alignment shrinkToFit="0" vertical="bottom" wrapText="0"/>
    </xf>
    <xf borderId="1" fillId="4" fontId="10" numFmtId="0" xfId="0" applyAlignment="1" applyBorder="1" applyFill="1" applyFont="1">
      <alignment horizontal="center" shrinkToFit="0" vertical="bottom" wrapText="0"/>
    </xf>
    <xf borderId="1" fillId="0" fontId="8" numFmtId="0" xfId="0" applyAlignment="1" applyBorder="1" applyFont="1">
      <alignment shrinkToFit="0" vertical="bottom" wrapText="0"/>
    </xf>
    <xf borderId="1" fillId="0" fontId="8" numFmtId="0" xfId="0" applyAlignment="1" applyBorder="1" applyFont="1">
      <alignment horizontal="center" shrinkToFit="0" vertical="bottom" wrapText="0"/>
    </xf>
    <xf borderId="0" fillId="0" fontId="6" numFmtId="164" xfId="0" applyAlignment="1" applyFont="1" applyNumberFormat="1">
      <alignment shrinkToFit="0" vertical="bottom" wrapText="0"/>
    </xf>
    <xf borderId="1" fillId="3" fontId="8" numFmtId="0" xfId="0" applyAlignment="1" applyBorder="1" applyFill="1" applyFont="1">
      <alignment shrinkToFit="0" vertical="bottom" wrapText="0"/>
    </xf>
    <xf borderId="1" fillId="3" fontId="8" numFmtId="0" xfId="0" applyAlignment="1" applyBorder="1" applyFill="1" applyFont="1">
      <alignment horizontal="center" shrinkToFit="0" vertical="bottom" wrapText="0"/>
    </xf>
    <xf borderId="1" fillId="0" fontId="10" numFmtId="0" xfId="0" applyAlignment="1" applyBorder="1" applyFont="1">
      <alignment shrinkToFit="0" vertical="bottom" wrapText="0"/>
    </xf>
    <xf borderId="1" fillId="0" fontId="10" numFmtId="0" xfId="0" applyAlignment="1" applyBorder="1" applyFont="1">
      <alignment horizontal="center" shrinkToFit="0" vertical="bottom" wrapText="0"/>
    </xf>
    <xf borderId="1" fillId="0" fontId="8" numFmtId="9" xfId="0" applyAlignment="1" applyBorder="1" applyFont="1" applyNumberFormat="1">
      <alignment horizontal="center" shrinkToFit="0" vertical="bottom" wrapText="0"/>
    </xf>
    <xf borderId="1" fillId="0" fontId="11" numFmtId="0" xfId="0" applyAlignment="1" applyBorder="1" applyFont="1">
      <alignment readingOrder="0" shrinkToFit="0" vertical="top" wrapText="0"/>
    </xf>
    <xf borderId="0" fillId="0" fontId="12" numFmtId="0" xfId="0" applyAlignment="1" applyFont="1">
      <alignment shrinkToFit="0" vertical="top" wrapText="1"/>
    </xf>
    <xf borderId="1" fillId="0" fontId="8" numFmtId="0" xfId="0" applyAlignment="1" applyBorder="1" applyFont="1">
      <alignment readingOrder="0" shrinkToFit="0" vertical="top" wrapText="0"/>
    </xf>
    <xf borderId="1" fillId="0" fontId="13" numFmtId="0" xfId="0" applyAlignment="1" applyBorder="1" applyFont="1">
      <alignment readingOrder="0" shrinkToFit="0" vertical="top" wrapText="0"/>
    </xf>
    <xf borderId="0" fillId="0" fontId="14" numFmtId="0" xfId="0" applyFont="1"/>
  </cellXfs>
  <cellStyles count="1">
    <cellStyle xfId="0" name="Normal" builtinId="0"/>
  </cellStyles>
  <dxfs count="3">
    <dxf>
      <font/>
      <fill>
        <patternFill patternType="solid">
          <fgColor rgb="FFE2EFDA"/>
          <bgColor rgb="FFE2EFDA"/>
        </patternFill>
      </fill>
      <border/>
    </dxf>
    <dxf>
      <font>
        <b/>
        <sz val="10.0"/>
        <name val="Arial"/>
      </font>
      <fill>
        <patternFill patternType="solid">
          <fgColor rgb="FFE2EFDA"/>
          <bgColor rgb="FFE2EFDA"/>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fluix.ai/" TargetMode="External"/><Relationship Id="rId10" Type="http://schemas.openxmlformats.org/officeDocument/2006/relationships/hyperlink" Target="http://elementium.io/" TargetMode="External"/><Relationship Id="rId13" Type="http://schemas.openxmlformats.org/officeDocument/2006/relationships/hyperlink" Target="http://inlyteenergy.com/" TargetMode="External"/><Relationship Id="rId12" Type="http://schemas.openxmlformats.org/officeDocument/2006/relationships/hyperlink" Target="http://hydram.is/" TargetMode="External"/><Relationship Id="rId1" Type="http://schemas.openxmlformats.org/officeDocument/2006/relationships/hyperlink" Target="http://1autechnologies.com/" TargetMode="External"/><Relationship Id="rId2" Type="http://schemas.openxmlformats.org/officeDocument/2006/relationships/hyperlink" Target="http://aepnus.com/" TargetMode="External"/><Relationship Id="rId3" Type="http://schemas.openxmlformats.org/officeDocument/2006/relationships/hyperlink" Target="http://alkalilabs.com/" TargetMode="External"/><Relationship Id="rId4" Type="http://schemas.openxmlformats.org/officeDocument/2006/relationships/hyperlink" Target="http://arinna.xyz/" TargetMode="External"/><Relationship Id="rId9" Type="http://schemas.openxmlformats.org/officeDocument/2006/relationships/hyperlink" Target="http://ekion.com.au" TargetMode="External"/><Relationship Id="rId15" Type="http://schemas.openxmlformats.org/officeDocument/2006/relationships/hyperlink" Target="http://plaidsemi.com/" TargetMode="External"/><Relationship Id="rId14" Type="http://schemas.openxmlformats.org/officeDocument/2006/relationships/hyperlink" Target="http://manabattery.us/" TargetMode="External"/><Relationship Id="rId17" Type="http://schemas.openxmlformats.org/officeDocument/2006/relationships/drawing" Target="../drawings/drawing2.xml"/><Relationship Id="rId16" Type="http://schemas.openxmlformats.org/officeDocument/2006/relationships/hyperlink" Target="http://tyce.ai/" TargetMode="External"/><Relationship Id="rId5" Type="http://schemas.openxmlformats.org/officeDocument/2006/relationships/hyperlink" Target="http://attuneneuro.com/" TargetMode="External"/><Relationship Id="rId6" Type="http://schemas.openxmlformats.org/officeDocument/2006/relationships/hyperlink" Target="http://calasystems.com/" TargetMode="External"/><Relationship Id="rId7" Type="http://schemas.openxmlformats.org/officeDocument/2006/relationships/hyperlink" Target="http://cetoswater.com/" TargetMode="External"/><Relationship Id="rId8" Type="http://schemas.openxmlformats.org/officeDocument/2006/relationships/hyperlink" Target="http://dunia.ai/"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0"/>
    <col customWidth="1" min="2" max="26" width="8.71"/>
  </cols>
  <sheetData>
    <row r="1" ht="19.5" customHeight="1">
      <c r="A1" s="1" t="s">
        <v>0</v>
      </c>
    </row>
    <row r="2" ht="15.0" customHeight="1">
      <c r="A2" s="3"/>
    </row>
    <row r="3" ht="15.0" customHeight="1">
      <c r="A3" s="3" t="s">
        <v>6</v>
      </c>
    </row>
    <row r="4" ht="15.0" customHeight="1">
      <c r="A4" s="3" t="s">
        <v>8</v>
      </c>
    </row>
    <row r="5" ht="15.0" customHeight="1">
      <c r="A5" s="3"/>
    </row>
    <row r="6" ht="15.0" customHeight="1">
      <c r="A6" s="5" t="s">
        <v>13</v>
      </c>
    </row>
    <row r="7" ht="15.0" customHeight="1">
      <c r="A7" s="3" t="s">
        <v>17</v>
      </c>
    </row>
    <row r="8" ht="15.0" customHeight="1">
      <c r="A8" s="3" t="s">
        <v>20</v>
      </c>
    </row>
    <row r="9" ht="15.0" customHeight="1">
      <c r="A9" s="3" t="s">
        <v>22</v>
      </c>
    </row>
    <row r="10" ht="15.0" customHeight="1">
      <c r="A10" s="3"/>
    </row>
    <row r="11" ht="15.0" customHeight="1">
      <c r="A11" s="3" t="s">
        <v>25</v>
      </c>
    </row>
    <row r="12" ht="15.0" customHeight="1">
      <c r="A12" s="3" t="s">
        <v>26</v>
      </c>
    </row>
    <row r="13" ht="15.0" customHeight="1">
      <c r="A13" s="3" t="s">
        <v>27</v>
      </c>
    </row>
    <row r="14" ht="15.0" customHeight="1">
      <c r="A14" s="3"/>
    </row>
    <row r="15" ht="15.0" customHeight="1">
      <c r="A15" s="5" t="s">
        <v>31</v>
      </c>
    </row>
    <row r="16" ht="15.0" customHeight="1">
      <c r="A16" s="3" t="s">
        <v>32</v>
      </c>
    </row>
    <row r="17" ht="15.0" customHeight="1">
      <c r="A17" s="3" t="s">
        <v>35</v>
      </c>
    </row>
    <row r="18" ht="15.0" customHeight="1">
      <c r="A18" s="3" t="s">
        <v>36</v>
      </c>
    </row>
    <row r="19" ht="15.0" customHeight="1">
      <c r="A19" s="3" t="s">
        <v>37</v>
      </c>
    </row>
    <row r="20" ht="15.0" customHeight="1">
      <c r="A20" s="3" t="s">
        <v>39</v>
      </c>
    </row>
    <row r="21" ht="15.0" customHeight="1">
      <c r="A21" s="3"/>
    </row>
    <row r="22" ht="15.0" customHeight="1">
      <c r="A22" s="5" t="s">
        <v>41</v>
      </c>
    </row>
    <row r="23" ht="15.0" customHeight="1">
      <c r="A23" s="3" t="s">
        <v>44</v>
      </c>
    </row>
    <row r="24" ht="15.0" customHeight="1">
      <c r="A24" s="3" t="s">
        <v>47</v>
      </c>
    </row>
    <row r="25" ht="15.0" customHeight="1">
      <c r="A25" s="3" t="s">
        <v>50</v>
      </c>
    </row>
    <row r="26" ht="15.0" customHeight="1">
      <c r="A26" s="3" t="s">
        <v>52</v>
      </c>
    </row>
    <row r="27" ht="15.0" customHeight="1">
      <c r="A27" s="3"/>
    </row>
    <row r="28" ht="15.0" customHeight="1">
      <c r="A28" s="12" t="s">
        <v>58</v>
      </c>
    </row>
    <row r="29" ht="15.0" customHeight="1">
      <c r="A29" s="3" t="s">
        <v>63</v>
      </c>
    </row>
    <row r="30" ht="15.0" customHeight="1">
      <c r="A30" s="3" t="s">
        <v>65</v>
      </c>
    </row>
    <row r="31" ht="15.0" customHeight="1">
      <c r="A31" s="3" t="s">
        <v>69</v>
      </c>
    </row>
    <row r="32" ht="15.0" customHeight="1">
      <c r="A32" s="3" t="s">
        <v>73</v>
      </c>
    </row>
    <row r="33" ht="15.0" customHeight="1">
      <c r="A33" s="3" t="s">
        <v>75</v>
      </c>
    </row>
    <row r="34" ht="15.0" customHeight="1">
      <c r="A34" s="3" t="s">
        <v>79</v>
      </c>
    </row>
    <row r="35" ht="15.0" customHeight="1">
      <c r="A35" s="6" t="s">
        <v>80</v>
      </c>
    </row>
    <row r="36" ht="15.0" customHeight="1">
      <c r="A36" s="6" t="s">
        <v>84</v>
      </c>
    </row>
    <row r="37" ht="15.0" customHeight="1">
      <c r="A37" s="6" t="s">
        <v>88</v>
      </c>
    </row>
    <row r="38" ht="15.0" customHeight="1">
      <c r="A38" s="6"/>
    </row>
    <row r="39" ht="15.0" customHeight="1">
      <c r="A39" s="6" t="s">
        <v>94</v>
      </c>
    </row>
    <row r="40" ht="15.0" customHeight="1">
      <c r="A40" s="6" t="s">
        <v>97</v>
      </c>
    </row>
    <row r="41" ht="15.0" customHeight="1">
      <c r="A41" s="6" t="s">
        <v>99</v>
      </c>
    </row>
    <row r="42" ht="15.0" customHeight="1">
      <c r="A42" s="6" t="s">
        <v>102</v>
      </c>
    </row>
    <row r="43" ht="15.0" customHeight="1">
      <c r="A43" s="6" t="s">
        <v>106</v>
      </c>
    </row>
    <row r="44" ht="15.0" customHeight="1">
      <c r="A44" s="6" t="s">
        <v>110</v>
      </c>
    </row>
    <row r="45" ht="15.0" customHeight="1">
      <c r="A45" s="6" t="s">
        <v>113</v>
      </c>
    </row>
    <row r="46" ht="15.0" customHeight="1">
      <c r="A46" s="6" t="s">
        <v>117</v>
      </c>
    </row>
    <row r="47" ht="15.0" customHeight="1">
      <c r="A47" s="6" t="s">
        <v>120</v>
      </c>
    </row>
    <row r="48" ht="15.0" customHeight="1">
      <c r="A48" s="6" t="s">
        <v>124</v>
      </c>
    </row>
    <row r="49" ht="15.75" customHeight="1">
      <c r="A49" s="6"/>
    </row>
    <row r="50" ht="15.0" customHeight="1">
      <c r="A50" s="6" t="s">
        <v>129</v>
      </c>
    </row>
    <row r="51" ht="15.0" customHeight="1">
      <c r="A51" s="6" t="s">
        <v>133</v>
      </c>
    </row>
    <row r="52" ht="15.0" customHeight="1">
      <c r="A52" s="6" t="s">
        <v>136</v>
      </c>
    </row>
    <row r="53" ht="15.0" customHeight="1">
      <c r="A53" s="6" t="s">
        <v>138</v>
      </c>
    </row>
    <row r="54" ht="15.0" customHeight="1">
      <c r="A54" s="6" t="s">
        <v>142</v>
      </c>
    </row>
    <row r="55" ht="15.0" customHeight="1">
      <c r="A55" s="6" t="s">
        <v>147</v>
      </c>
    </row>
    <row r="56" ht="15.0" customHeight="1">
      <c r="A56" s="6" t="s">
        <v>150</v>
      </c>
    </row>
    <row r="57" ht="15.0" customHeight="1">
      <c r="A57" s="6" t="s">
        <v>152</v>
      </c>
    </row>
    <row r="58" ht="15.0" customHeight="1">
      <c r="A58" s="6" t="s">
        <v>153</v>
      </c>
    </row>
    <row r="59" ht="15.75" customHeight="1">
      <c r="A59" s="6"/>
    </row>
    <row r="60" ht="15.0" customHeight="1">
      <c r="A60" s="6" t="s">
        <v>155</v>
      </c>
    </row>
    <row r="61" ht="15.0" customHeight="1">
      <c r="A61" s="6" t="s">
        <v>159</v>
      </c>
    </row>
    <row r="62" ht="15.0" customHeight="1">
      <c r="A62" s="6" t="s">
        <v>162</v>
      </c>
    </row>
    <row r="63" ht="15.0" customHeight="1">
      <c r="A63" s="6" t="s">
        <v>163</v>
      </c>
    </row>
    <row r="64" ht="15.0" customHeight="1">
      <c r="A64" s="6" t="s">
        <v>165</v>
      </c>
    </row>
    <row r="65" ht="15.0" customHeight="1">
      <c r="A65" s="6" t="s">
        <v>168</v>
      </c>
    </row>
    <row r="66" ht="15.0" customHeight="1">
      <c r="A66" s="6" t="s">
        <v>172</v>
      </c>
    </row>
    <row r="67" ht="15.0" customHeight="1">
      <c r="A67" s="6" t="s">
        <v>174</v>
      </c>
    </row>
    <row r="68" ht="15.75" customHeight="1">
      <c r="A68" s="6" t="s">
        <v>175</v>
      </c>
    </row>
    <row r="69" ht="15.75" customHeight="1">
      <c r="A69" s="6" t="s">
        <v>176</v>
      </c>
    </row>
    <row r="70" ht="15.75" customHeight="1">
      <c r="A70" s="6" t="s">
        <v>177</v>
      </c>
    </row>
    <row r="71" ht="15.75" customHeight="1">
      <c r="A71" s="6" t="s">
        <v>178</v>
      </c>
    </row>
    <row r="72" ht="15.75" customHeight="1">
      <c r="A72" s="6" t="s">
        <v>179</v>
      </c>
    </row>
    <row r="73" ht="15.75" customHeight="1">
      <c r="A73" s="6"/>
    </row>
    <row r="74" ht="15.75" customHeight="1">
      <c r="A74" s="3"/>
    </row>
    <row r="75" ht="15.75" customHeight="1">
      <c r="A75" s="5" t="s">
        <v>180</v>
      </c>
    </row>
    <row r="76" ht="15.75" customHeight="1">
      <c r="A76" s="3" t="s">
        <v>181</v>
      </c>
    </row>
    <row r="77" ht="15.75" customHeight="1">
      <c r="A77" s="3" t="s">
        <v>184</v>
      </c>
    </row>
    <row r="78" ht="15.75" customHeight="1">
      <c r="A78" s="3" t="s">
        <v>186</v>
      </c>
    </row>
    <row r="79" ht="15.75" customHeight="1">
      <c r="A79" s="3" t="s">
        <v>189</v>
      </c>
    </row>
    <row r="80" ht="15.75" customHeight="1">
      <c r="A80" s="3" t="s">
        <v>191</v>
      </c>
    </row>
    <row r="81" ht="15.75" customHeight="1">
      <c r="A81" s="3" t="s">
        <v>192</v>
      </c>
    </row>
    <row r="82" ht="15.75" customHeight="1">
      <c r="A82" s="6"/>
    </row>
    <row r="83" ht="15.75" customHeight="1">
      <c r="A83" s="6"/>
    </row>
    <row r="84" ht="15.75" customHeight="1">
      <c r="A84" s="6"/>
    </row>
    <row r="85" ht="15.75" customHeight="1">
      <c r="A85" s="6"/>
    </row>
    <row r="86" ht="15.75" customHeight="1">
      <c r="A86" s="6"/>
    </row>
    <row r="87" ht="15.75" customHeight="1">
      <c r="A87" s="6"/>
    </row>
    <row r="88" ht="15.75" customHeight="1">
      <c r="A88" s="6"/>
    </row>
    <row r="89" ht="15.75" customHeight="1">
      <c r="A89" s="6"/>
    </row>
    <row r="90" ht="15.75" customHeight="1">
      <c r="A90" s="6"/>
    </row>
    <row r="91" ht="15.75" customHeight="1">
      <c r="A91" s="6"/>
    </row>
    <row r="92" ht="15.75" customHeight="1">
      <c r="A92" s="6"/>
    </row>
    <row r="93" ht="15.75" customHeight="1">
      <c r="A93" s="6"/>
    </row>
    <row r="94" ht="15.75" customHeight="1">
      <c r="A94" s="6"/>
    </row>
    <row r="95" ht="15.75" customHeight="1">
      <c r="A95" s="6"/>
    </row>
    <row r="96" ht="15.75" customHeight="1">
      <c r="A96" s="6"/>
    </row>
    <row r="97" ht="15.75" customHeight="1">
      <c r="A97" s="6"/>
    </row>
    <row r="98" ht="15.75" customHeight="1">
      <c r="A98" s="6"/>
    </row>
    <row r="99" ht="15.75" customHeight="1">
      <c r="A99" s="6"/>
    </row>
    <row r="100" ht="15.75" customHeight="1">
      <c r="A100" s="6"/>
    </row>
    <row r="101" ht="15.75" customHeight="1">
      <c r="A101" s="6"/>
    </row>
    <row r="102" ht="15.75" customHeight="1">
      <c r="A102" s="6"/>
    </row>
    <row r="103" ht="15.75" customHeight="1">
      <c r="A103" s="6"/>
    </row>
    <row r="104" ht="15.75" customHeight="1">
      <c r="A104" s="6"/>
    </row>
    <row r="105" ht="15.75" customHeight="1">
      <c r="A105" s="6"/>
    </row>
    <row r="106" ht="15.75" customHeight="1">
      <c r="A106" s="6"/>
    </row>
    <row r="107" ht="15.75" customHeight="1">
      <c r="A107" s="6"/>
    </row>
    <row r="108" ht="15.75" customHeight="1">
      <c r="A108" s="6"/>
    </row>
    <row r="109" ht="15.75" customHeight="1">
      <c r="A109" s="6"/>
    </row>
    <row r="110" ht="15.75" customHeight="1">
      <c r="A110" s="6"/>
    </row>
    <row r="111" ht="15.75" customHeight="1">
      <c r="A111" s="6"/>
    </row>
    <row r="112" ht="15.75" customHeight="1">
      <c r="A112" s="6"/>
    </row>
    <row r="113" ht="15.75" customHeight="1">
      <c r="A113" s="6"/>
    </row>
    <row r="114" ht="15.75" customHeight="1">
      <c r="A114" s="6"/>
    </row>
    <row r="115" ht="15.75" customHeight="1">
      <c r="A115" s="6"/>
    </row>
    <row r="116" ht="15.75" customHeight="1">
      <c r="A116" s="6"/>
    </row>
    <row r="117" ht="15.75" customHeight="1">
      <c r="A117" s="6"/>
    </row>
    <row r="118" ht="15.75" customHeight="1">
      <c r="A118" s="6"/>
    </row>
    <row r="119" ht="15.75" customHeight="1">
      <c r="A119" s="6"/>
    </row>
    <row r="120" ht="15.75" customHeight="1">
      <c r="A120" s="6"/>
    </row>
    <row r="121" ht="15.75" customHeight="1">
      <c r="A121" s="6"/>
    </row>
    <row r="122" ht="15.75" customHeight="1">
      <c r="A122" s="6"/>
    </row>
    <row r="123" ht="15.75" customHeight="1">
      <c r="A123" s="6"/>
    </row>
    <row r="124" ht="15.75" customHeight="1">
      <c r="A124" s="6"/>
    </row>
    <row r="125" ht="15.75" customHeight="1">
      <c r="A125" s="6"/>
    </row>
    <row r="126" ht="15.75" customHeight="1">
      <c r="A126" s="6"/>
    </row>
    <row r="127" ht="15.75" customHeight="1">
      <c r="A127" s="6"/>
    </row>
    <row r="128" ht="15.75" customHeight="1">
      <c r="A128" s="6"/>
    </row>
    <row r="129" ht="15.75" customHeight="1">
      <c r="A129" s="6"/>
    </row>
    <row r="130" ht="15.75" customHeight="1">
      <c r="A130" s="6"/>
    </row>
    <row r="131" ht="15.75" customHeight="1">
      <c r="A131" s="6"/>
    </row>
    <row r="132" ht="15.75" customHeight="1">
      <c r="A132" s="6"/>
    </row>
    <row r="133" ht="15.75" customHeight="1">
      <c r="A133" s="6"/>
    </row>
    <row r="134" ht="15.75" customHeight="1">
      <c r="A134" s="6"/>
    </row>
    <row r="135" ht="15.75" customHeight="1">
      <c r="A135" s="6"/>
    </row>
    <row r="136" ht="15.75" customHeight="1">
      <c r="A136" s="6"/>
    </row>
    <row r="137" ht="15.75" customHeight="1">
      <c r="A137" s="6"/>
    </row>
    <row r="138" ht="15.75" customHeight="1">
      <c r="A138" s="6"/>
    </row>
    <row r="139" ht="15.75" customHeight="1">
      <c r="A139" s="6"/>
    </row>
    <row r="140" ht="15.75" customHeight="1">
      <c r="A140" s="6"/>
    </row>
    <row r="141" ht="15.75" customHeight="1">
      <c r="A141" s="6"/>
    </row>
    <row r="142" ht="15.75" customHeight="1">
      <c r="A142" s="6"/>
    </row>
    <row r="143" ht="15.75" customHeight="1">
      <c r="A143" s="6"/>
    </row>
    <row r="144" ht="15.75" customHeight="1">
      <c r="A144" s="6"/>
    </row>
    <row r="145" ht="15.75" customHeight="1">
      <c r="A145" s="6"/>
    </row>
    <row r="146" ht="15.75" customHeight="1">
      <c r="A146" s="6"/>
    </row>
    <row r="147" ht="15.75" customHeight="1">
      <c r="A147" s="6"/>
    </row>
    <row r="148" ht="15.75" customHeight="1">
      <c r="A148" s="6"/>
    </row>
    <row r="149" ht="15.75" customHeight="1">
      <c r="A149" s="6"/>
    </row>
    <row r="150" ht="15.75" customHeight="1">
      <c r="A150" s="6"/>
    </row>
    <row r="151" ht="15.75" customHeight="1">
      <c r="A151" s="6"/>
    </row>
    <row r="152" ht="15.75" customHeight="1">
      <c r="A152" s="6"/>
    </row>
    <row r="153" ht="15.75" customHeight="1">
      <c r="A153" s="6"/>
    </row>
    <row r="154" ht="15.75" customHeight="1">
      <c r="A154" s="6"/>
    </row>
    <row r="155" ht="15.75" customHeight="1">
      <c r="A155" s="6"/>
    </row>
    <row r="156" ht="15.75" customHeight="1">
      <c r="A156" s="6"/>
    </row>
    <row r="157" ht="15.75" customHeight="1">
      <c r="A157" s="6"/>
    </row>
    <row r="158" ht="15.75" customHeight="1">
      <c r="A158" s="6"/>
    </row>
    <row r="159" ht="15.75" customHeight="1">
      <c r="A159" s="6"/>
    </row>
    <row r="160" ht="15.75" customHeight="1">
      <c r="A160" s="6"/>
    </row>
    <row r="161" ht="15.75" customHeight="1">
      <c r="A161" s="6"/>
    </row>
    <row r="162" ht="15.75" customHeight="1">
      <c r="A162" s="6"/>
    </row>
    <row r="163" ht="15.75" customHeight="1">
      <c r="A163" s="6"/>
    </row>
    <row r="164" ht="15.75" customHeight="1">
      <c r="A164" s="6"/>
    </row>
    <row r="165" ht="15.75" customHeight="1">
      <c r="A165" s="6"/>
    </row>
    <row r="166" ht="15.75" customHeight="1">
      <c r="A166" s="6"/>
    </row>
    <row r="167" ht="15.75" customHeight="1">
      <c r="A167" s="6"/>
    </row>
    <row r="168" ht="15.75" customHeight="1">
      <c r="A168" s="6"/>
    </row>
    <row r="169" ht="15.75" customHeight="1">
      <c r="A169" s="6"/>
    </row>
    <row r="170" ht="15.75" customHeight="1">
      <c r="A170" s="6"/>
    </row>
    <row r="171" ht="15.75" customHeight="1">
      <c r="A171" s="6"/>
    </row>
    <row r="172" ht="15.75" customHeight="1">
      <c r="A172" s="6"/>
    </row>
    <row r="173" ht="15.75" customHeight="1">
      <c r="A173" s="6"/>
    </row>
    <row r="174" ht="15.75" customHeight="1">
      <c r="A174" s="6"/>
    </row>
    <row r="175" ht="15.75" customHeight="1">
      <c r="A175" s="6"/>
    </row>
    <row r="176" ht="15.75" customHeight="1">
      <c r="A176" s="6"/>
    </row>
    <row r="177" ht="15.75" customHeight="1">
      <c r="A177" s="6"/>
    </row>
    <row r="178" ht="15.75" customHeight="1">
      <c r="A178" s="6"/>
    </row>
    <row r="179" ht="15.75" customHeight="1">
      <c r="A179" s="6"/>
    </row>
    <row r="180" ht="15.75" customHeight="1">
      <c r="A180" s="6"/>
    </row>
    <row r="181" ht="15.75" customHeight="1">
      <c r="A181" s="6"/>
    </row>
    <row r="182" ht="15.75" customHeight="1">
      <c r="A182" s="6"/>
    </row>
    <row r="183" ht="15.75" customHeight="1">
      <c r="A183" s="6"/>
    </row>
    <row r="184" ht="15.75" customHeight="1">
      <c r="A184" s="6"/>
    </row>
    <row r="185" ht="15.75" customHeight="1">
      <c r="A185" s="6"/>
    </row>
    <row r="186" ht="15.75" customHeight="1">
      <c r="A186" s="6"/>
    </row>
    <row r="187" ht="15.75" customHeight="1">
      <c r="A187" s="6"/>
    </row>
    <row r="188" ht="15.75" customHeight="1">
      <c r="A188" s="6"/>
    </row>
    <row r="189" ht="15.75" customHeight="1">
      <c r="A189" s="6"/>
    </row>
    <row r="190" ht="15.75" customHeight="1">
      <c r="A190" s="6"/>
    </row>
    <row r="191" ht="15.75" customHeight="1">
      <c r="A191" s="6"/>
    </row>
    <row r="192" ht="15.75" customHeight="1">
      <c r="A192" s="6"/>
    </row>
    <row r="193" ht="15.75" customHeight="1">
      <c r="A193" s="6"/>
    </row>
    <row r="194" ht="15.75" customHeight="1">
      <c r="A194" s="6"/>
    </row>
    <row r="195" ht="15.75" customHeight="1">
      <c r="A195" s="6"/>
    </row>
    <row r="196" ht="15.75" customHeight="1">
      <c r="A196" s="6"/>
    </row>
    <row r="197" ht="15.75" customHeight="1">
      <c r="A197" s="6"/>
    </row>
    <row r="198" ht="15.75" customHeight="1">
      <c r="A198" s="6"/>
    </row>
    <row r="199" ht="15.75" customHeight="1">
      <c r="A199" s="6"/>
    </row>
    <row r="200" ht="15.75" customHeight="1">
      <c r="A200" s="6"/>
    </row>
    <row r="201" ht="15.75" customHeight="1">
      <c r="A201" s="6"/>
    </row>
    <row r="202" ht="15.75" customHeight="1">
      <c r="A202" s="6"/>
    </row>
    <row r="203" ht="15.75" customHeight="1">
      <c r="A203" s="6"/>
    </row>
    <row r="204" ht="15.75" customHeight="1">
      <c r="A204" s="6"/>
    </row>
    <row r="205" ht="15.75" customHeight="1">
      <c r="A205" s="6"/>
    </row>
    <row r="206" ht="15.75" customHeight="1">
      <c r="A206" s="6"/>
    </row>
    <row r="207" ht="15.75" customHeight="1">
      <c r="A207" s="6"/>
    </row>
    <row r="208" ht="15.75" customHeight="1">
      <c r="A208" s="6"/>
    </row>
    <row r="209" ht="15.75" customHeight="1">
      <c r="A209" s="6"/>
    </row>
    <row r="210" ht="15.75" customHeight="1">
      <c r="A210" s="6"/>
    </row>
    <row r="211" ht="15.75" customHeight="1">
      <c r="A211" s="6"/>
    </row>
    <row r="212" ht="15.75" customHeight="1">
      <c r="A212" s="6"/>
    </row>
    <row r="213" ht="15.75" customHeight="1">
      <c r="A213" s="6"/>
    </row>
    <row r="214" ht="15.75" customHeight="1">
      <c r="A214" s="6"/>
    </row>
    <row r="215" ht="15.75" customHeight="1">
      <c r="A215" s="6"/>
    </row>
    <row r="216" ht="15.75" customHeight="1">
      <c r="A216" s="6"/>
    </row>
    <row r="217" ht="15.75" customHeight="1">
      <c r="A217" s="6"/>
    </row>
    <row r="218" ht="15.75" customHeight="1">
      <c r="A218" s="6"/>
    </row>
    <row r="219" ht="15.75" customHeight="1">
      <c r="A219" s="6"/>
    </row>
    <row r="220" ht="15.75" customHeight="1">
      <c r="A220" s="6"/>
    </row>
    <row r="221" ht="15.75" customHeight="1">
      <c r="A221" s="6"/>
    </row>
    <row r="222" ht="15.75" customHeight="1">
      <c r="A222" s="6"/>
    </row>
    <row r="223" ht="15.75" customHeight="1">
      <c r="A223" s="6"/>
    </row>
    <row r="224" ht="15.75" customHeight="1">
      <c r="A224" s="6"/>
    </row>
    <row r="225" ht="15.75" customHeight="1">
      <c r="A225" s="6"/>
    </row>
    <row r="226" ht="15.75" customHeight="1">
      <c r="A226" s="6"/>
    </row>
    <row r="227" ht="15.75" customHeight="1">
      <c r="A227" s="6"/>
    </row>
    <row r="228" ht="15.75" customHeight="1">
      <c r="A228" s="6"/>
    </row>
    <row r="229" ht="15.75" customHeight="1">
      <c r="A229" s="6"/>
    </row>
    <row r="230" ht="15.75" customHeight="1">
      <c r="A230" s="6"/>
    </row>
    <row r="231" ht="15.75" customHeight="1">
      <c r="A231" s="6"/>
    </row>
    <row r="232" ht="15.75" customHeight="1">
      <c r="A232" s="6"/>
    </row>
    <row r="233" ht="15.75" customHeight="1">
      <c r="A233" s="6"/>
    </row>
    <row r="234" ht="15.75" customHeight="1">
      <c r="A234" s="6"/>
    </row>
    <row r="235" ht="15.75" customHeight="1">
      <c r="A235" s="6"/>
    </row>
    <row r="236" ht="15.75" customHeight="1">
      <c r="A236" s="6"/>
    </row>
    <row r="237" ht="15.75" customHeight="1">
      <c r="A237" s="6"/>
    </row>
    <row r="238" ht="15.75" customHeight="1">
      <c r="A238" s="6"/>
    </row>
    <row r="239" ht="15.75" customHeight="1">
      <c r="A239" s="6"/>
    </row>
    <row r="240" ht="15.75" customHeight="1">
      <c r="A240" s="6"/>
    </row>
    <row r="241" ht="15.75" customHeight="1">
      <c r="A241" s="6"/>
    </row>
    <row r="242" ht="15.75" customHeight="1">
      <c r="A242" s="6"/>
    </row>
    <row r="243" ht="15.75" customHeight="1">
      <c r="A243" s="6"/>
    </row>
    <row r="244" ht="15.75" customHeight="1">
      <c r="A244" s="6"/>
    </row>
    <row r="245" ht="15.75" customHeight="1">
      <c r="A245" s="6"/>
    </row>
    <row r="246" ht="15.75" customHeight="1">
      <c r="A246" s="6"/>
    </row>
    <row r="247" ht="15.75" customHeight="1">
      <c r="A247" s="6"/>
    </row>
    <row r="248" ht="15.75" customHeight="1">
      <c r="A248" s="6"/>
    </row>
    <row r="249" ht="15.75" customHeight="1">
      <c r="A249" s="6"/>
    </row>
    <row r="250" ht="15.75" customHeight="1">
      <c r="A250" s="6"/>
    </row>
    <row r="251" ht="15.75" customHeight="1">
      <c r="A251" s="6"/>
    </row>
    <row r="252" ht="15.75" customHeight="1">
      <c r="A252" s="6"/>
    </row>
    <row r="253" ht="15.75" customHeight="1">
      <c r="A253" s="6"/>
    </row>
    <row r="254" ht="15.75" customHeight="1">
      <c r="A254" s="6"/>
    </row>
    <row r="255" ht="15.75" customHeight="1">
      <c r="A255" s="6"/>
    </row>
    <row r="256" ht="15.75" customHeight="1">
      <c r="A256" s="6"/>
    </row>
    <row r="257" ht="15.75" customHeight="1">
      <c r="A257" s="6"/>
    </row>
    <row r="258" ht="15.75" customHeight="1">
      <c r="A258" s="6"/>
    </row>
    <row r="259" ht="15.75" customHeight="1">
      <c r="A259" s="6"/>
    </row>
    <row r="260" ht="15.75" customHeight="1">
      <c r="A260" s="6"/>
    </row>
    <row r="261" ht="15.75" customHeight="1">
      <c r="A261" s="6"/>
    </row>
    <row r="262" ht="15.75" customHeight="1">
      <c r="A262" s="6"/>
    </row>
    <row r="263" ht="15.75" customHeight="1">
      <c r="A263" s="6"/>
    </row>
    <row r="264" ht="15.75" customHeight="1">
      <c r="A264" s="6"/>
    </row>
    <row r="265" ht="15.75" customHeight="1">
      <c r="A265" s="6"/>
    </row>
    <row r="266" ht="15.75" customHeight="1">
      <c r="A266" s="6"/>
    </row>
    <row r="267" ht="15.75" customHeight="1">
      <c r="A267" s="6"/>
    </row>
    <row r="268" ht="15.75" customHeight="1">
      <c r="A268" s="6"/>
    </row>
    <row r="269" ht="15.75" customHeight="1">
      <c r="A269" s="6"/>
    </row>
    <row r="270" ht="15.75" customHeight="1">
      <c r="A270" s="6"/>
    </row>
    <row r="271" ht="15.75" customHeight="1">
      <c r="A271" s="6"/>
    </row>
    <row r="272" ht="15.75" customHeight="1">
      <c r="A272" s="6"/>
    </row>
    <row r="273" ht="15.75" customHeight="1">
      <c r="A273" s="6"/>
    </row>
    <row r="274" ht="15.75" customHeight="1">
      <c r="A274" s="6"/>
    </row>
    <row r="275" ht="15.75" customHeight="1">
      <c r="A275" s="6"/>
    </row>
    <row r="276" ht="15.75" customHeight="1">
      <c r="A276" s="6"/>
    </row>
    <row r="277" ht="15.75" customHeight="1">
      <c r="A277" s="6"/>
    </row>
    <row r="278" ht="15.75" customHeight="1">
      <c r="A278" s="6"/>
    </row>
    <row r="279" ht="15.75" customHeight="1">
      <c r="A279" s="6"/>
    </row>
    <row r="280" ht="15.75" customHeight="1">
      <c r="A280" s="6"/>
    </row>
    <row r="281" ht="15.75" customHeight="1">
      <c r="A281" s="6"/>
    </row>
    <row r="282" ht="15.75" customHeight="1">
      <c r="A282" s="6"/>
    </row>
    <row r="283" ht="15.75" customHeight="1">
      <c r="A283" s="6"/>
    </row>
    <row r="284" ht="15.75" customHeight="1">
      <c r="A284" s="6"/>
    </row>
    <row r="285" ht="15.75" customHeight="1">
      <c r="A285" s="6"/>
    </row>
    <row r="286" ht="15.75" customHeight="1">
      <c r="A286" s="6"/>
    </row>
    <row r="287" ht="15.75" customHeight="1">
      <c r="A287" s="6"/>
    </row>
    <row r="288" ht="15.75" customHeight="1">
      <c r="A288" s="6"/>
    </row>
    <row r="289" ht="15.75" customHeight="1">
      <c r="A289" s="6"/>
    </row>
    <row r="290" ht="15.75" customHeight="1">
      <c r="A290" s="6"/>
    </row>
    <row r="291" ht="15.75" customHeight="1">
      <c r="A291" s="6"/>
    </row>
    <row r="292" ht="15.75" customHeight="1">
      <c r="A292" s="6"/>
    </row>
    <row r="293" ht="15.75" customHeight="1">
      <c r="A293" s="6"/>
    </row>
    <row r="294" ht="15.75" customHeight="1">
      <c r="A294" s="6"/>
    </row>
    <row r="295" ht="15.75" customHeight="1">
      <c r="A295" s="6"/>
    </row>
    <row r="296" ht="15.75" customHeight="1">
      <c r="A296" s="6"/>
    </row>
    <row r="297" ht="15.75" customHeight="1">
      <c r="A297" s="6"/>
    </row>
    <row r="298" ht="15.75" customHeight="1">
      <c r="A298" s="6"/>
    </row>
    <row r="299" ht="15.75" customHeight="1">
      <c r="A299" s="6"/>
    </row>
    <row r="300" ht="15.75" customHeight="1">
      <c r="A300" s="6"/>
    </row>
    <row r="301" ht="15.75" customHeight="1">
      <c r="A301" s="6"/>
    </row>
    <row r="302" ht="15.75" customHeight="1">
      <c r="A302" s="6"/>
    </row>
    <row r="303" ht="15.75" customHeight="1">
      <c r="A303" s="6"/>
    </row>
    <row r="304" ht="15.75" customHeight="1">
      <c r="A304" s="6"/>
    </row>
    <row r="305" ht="15.75" customHeight="1">
      <c r="A305" s="6"/>
    </row>
    <row r="306" ht="15.75" customHeight="1">
      <c r="A306" s="6"/>
    </row>
    <row r="307" ht="15.75" customHeight="1">
      <c r="A307" s="6"/>
    </row>
    <row r="308" ht="15.75" customHeight="1">
      <c r="A308" s="6"/>
    </row>
    <row r="309" ht="15.75" customHeight="1">
      <c r="A309" s="6"/>
    </row>
    <row r="310" ht="15.75" customHeight="1">
      <c r="A310" s="6"/>
    </row>
    <row r="311" ht="15.75" customHeight="1">
      <c r="A311" s="6"/>
    </row>
    <row r="312" ht="15.75" customHeight="1">
      <c r="A312" s="6"/>
    </row>
    <row r="313" ht="15.75" customHeight="1">
      <c r="A313" s="6"/>
    </row>
    <row r="314" ht="15.75" customHeight="1">
      <c r="A314" s="6"/>
    </row>
    <row r="315" ht="15.75" customHeight="1">
      <c r="A315" s="6"/>
    </row>
    <row r="316" ht="15.75" customHeight="1">
      <c r="A316" s="6"/>
    </row>
    <row r="317" ht="15.75" customHeight="1">
      <c r="A317" s="6"/>
    </row>
    <row r="318" ht="15.75" customHeight="1">
      <c r="A318" s="6"/>
    </row>
    <row r="319" ht="15.75" customHeight="1">
      <c r="A319" s="6"/>
    </row>
    <row r="320" ht="15.75" customHeight="1">
      <c r="A320" s="6"/>
    </row>
    <row r="321" ht="15.75" customHeight="1">
      <c r="A321" s="6"/>
    </row>
    <row r="322" ht="15.75" customHeight="1">
      <c r="A322" s="6"/>
    </row>
    <row r="323" ht="15.75" customHeight="1">
      <c r="A323" s="6"/>
    </row>
    <row r="324" ht="15.75" customHeight="1">
      <c r="A324" s="6"/>
    </row>
    <row r="325" ht="15.75" customHeight="1">
      <c r="A325" s="6"/>
    </row>
    <row r="326" ht="15.75" customHeight="1">
      <c r="A326" s="6"/>
    </row>
    <row r="327" ht="15.75" customHeight="1">
      <c r="A327" s="6"/>
    </row>
    <row r="328" ht="15.75" customHeight="1">
      <c r="A328" s="6"/>
    </row>
    <row r="329" ht="15.75" customHeight="1">
      <c r="A329" s="6"/>
    </row>
    <row r="330" ht="15.75" customHeight="1">
      <c r="A330" s="6"/>
    </row>
    <row r="331" ht="15.75" customHeight="1">
      <c r="A331" s="6"/>
    </row>
    <row r="332" ht="15.75" customHeight="1">
      <c r="A332" s="6"/>
    </row>
    <row r="333" ht="15.75" customHeight="1">
      <c r="A333" s="6"/>
    </row>
    <row r="334" ht="15.75" customHeight="1">
      <c r="A334" s="6"/>
    </row>
    <row r="335" ht="15.75" customHeight="1">
      <c r="A335" s="6"/>
    </row>
    <row r="336" ht="15.75" customHeight="1">
      <c r="A336" s="6"/>
    </row>
    <row r="337" ht="15.75" customHeight="1">
      <c r="A337" s="6"/>
    </row>
    <row r="338" ht="15.75" customHeight="1">
      <c r="A338" s="6"/>
    </row>
    <row r="339" ht="15.75" customHeight="1">
      <c r="A339" s="6"/>
    </row>
    <row r="340" ht="15.75" customHeight="1">
      <c r="A340" s="6"/>
    </row>
    <row r="341" ht="15.75" customHeight="1">
      <c r="A341" s="6"/>
    </row>
    <row r="342" ht="15.75" customHeight="1">
      <c r="A342" s="6"/>
    </row>
    <row r="343" ht="15.75" customHeight="1">
      <c r="A343" s="6"/>
    </row>
    <row r="344" ht="15.75" customHeight="1">
      <c r="A344" s="6"/>
    </row>
    <row r="345" ht="15.75" customHeight="1">
      <c r="A345" s="6"/>
    </row>
    <row r="346" ht="15.75" customHeight="1">
      <c r="A346" s="6"/>
    </row>
    <row r="347" ht="15.75" customHeight="1">
      <c r="A347" s="6"/>
    </row>
    <row r="348" ht="15.75" customHeight="1">
      <c r="A348" s="6"/>
    </row>
    <row r="349" ht="15.75" customHeight="1">
      <c r="A349" s="6"/>
    </row>
    <row r="350" ht="15.75" customHeight="1">
      <c r="A350" s="6"/>
    </row>
    <row r="351" ht="15.75" customHeight="1">
      <c r="A351" s="6"/>
    </row>
    <row r="352" ht="15.75" customHeight="1">
      <c r="A352" s="6"/>
    </row>
    <row r="353" ht="15.75" customHeight="1">
      <c r="A353" s="6"/>
    </row>
    <row r="354" ht="15.75" customHeight="1">
      <c r="A354" s="6"/>
    </row>
    <row r="355" ht="15.75" customHeight="1">
      <c r="A355" s="6"/>
    </row>
    <row r="356" ht="15.75" customHeight="1">
      <c r="A356" s="6"/>
    </row>
    <row r="357" ht="15.75" customHeight="1">
      <c r="A357" s="6"/>
    </row>
    <row r="358" ht="15.75" customHeight="1">
      <c r="A358" s="6"/>
    </row>
    <row r="359" ht="15.75" customHeight="1">
      <c r="A359" s="6"/>
    </row>
    <row r="360" ht="15.75" customHeight="1">
      <c r="A360" s="6"/>
    </row>
    <row r="361" ht="15.75" customHeight="1">
      <c r="A361" s="6"/>
    </row>
    <row r="362" ht="15.75" customHeight="1">
      <c r="A362" s="6"/>
    </row>
    <row r="363" ht="15.75" customHeight="1">
      <c r="A363" s="6"/>
    </row>
    <row r="364" ht="15.75" customHeight="1">
      <c r="A364" s="6"/>
    </row>
    <row r="365" ht="15.75" customHeight="1">
      <c r="A365" s="6"/>
    </row>
    <row r="366" ht="15.75" customHeight="1">
      <c r="A366" s="6"/>
    </row>
    <row r="367" ht="15.75" customHeight="1">
      <c r="A367" s="6"/>
    </row>
    <row r="368" ht="15.75" customHeight="1">
      <c r="A368" s="6"/>
    </row>
    <row r="369" ht="15.75" customHeight="1">
      <c r="A369" s="6"/>
    </row>
    <row r="370" ht="15.75" customHeight="1">
      <c r="A370" s="6"/>
    </row>
    <row r="371" ht="15.75" customHeight="1">
      <c r="A371" s="6"/>
    </row>
    <row r="372" ht="15.75" customHeight="1">
      <c r="A372" s="6"/>
    </row>
    <row r="373" ht="15.75" customHeight="1">
      <c r="A373" s="6"/>
    </row>
    <row r="374" ht="15.75" customHeight="1">
      <c r="A374" s="6"/>
    </row>
    <row r="375" ht="15.75" customHeight="1">
      <c r="A375" s="6"/>
    </row>
    <row r="376" ht="15.75" customHeight="1">
      <c r="A376" s="6"/>
    </row>
    <row r="377" ht="15.75" customHeight="1">
      <c r="A377" s="6"/>
    </row>
    <row r="378" ht="15.75" customHeight="1">
      <c r="A378" s="6"/>
    </row>
    <row r="379" ht="15.75" customHeight="1">
      <c r="A379" s="6"/>
    </row>
    <row r="380" ht="15.75" customHeight="1">
      <c r="A380" s="6"/>
    </row>
    <row r="381" ht="15.75" customHeight="1">
      <c r="A381" s="6"/>
    </row>
    <row r="382" ht="15.75" customHeight="1">
      <c r="A382" s="6"/>
    </row>
    <row r="383" ht="15.75" customHeight="1">
      <c r="A383" s="6"/>
    </row>
    <row r="384" ht="15.75" customHeight="1">
      <c r="A384" s="6"/>
    </row>
    <row r="385" ht="15.75" customHeight="1">
      <c r="A385" s="6"/>
    </row>
    <row r="386" ht="15.75" customHeight="1">
      <c r="A386" s="6"/>
    </row>
    <row r="387" ht="15.75" customHeight="1">
      <c r="A387" s="6"/>
    </row>
    <row r="388" ht="15.75" customHeight="1">
      <c r="A388" s="6"/>
    </row>
    <row r="389" ht="15.75" customHeight="1">
      <c r="A389" s="6"/>
    </row>
    <row r="390" ht="15.75" customHeight="1">
      <c r="A390" s="6"/>
    </row>
    <row r="391" ht="15.75" customHeight="1">
      <c r="A391" s="6"/>
    </row>
    <row r="392" ht="15.75" customHeight="1">
      <c r="A392" s="6"/>
    </row>
    <row r="393" ht="15.75" customHeight="1">
      <c r="A393" s="6"/>
    </row>
    <row r="394" ht="15.75" customHeight="1">
      <c r="A394" s="6"/>
    </row>
    <row r="395" ht="15.75" customHeight="1">
      <c r="A395" s="6"/>
    </row>
    <row r="396" ht="15.75" customHeight="1">
      <c r="A396" s="6"/>
    </row>
    <row r="397" ht="15.75" customHeight="1">
      <c r="A397" s="6"/>
    </row>
    <row r="398" ht="15.75" customHeight="1">
      <c r="A398" s="6"/>
    </row>
    <row r="399" ht="15.75" customHeight="1">
      <c r="A399" s="6"/>
    </row>
    <row r="400" ht="15.75" customHeight="1">
      <c r="A400" s="6"/>
    </row>
    <row r="401" ht="15.75" customHeight="1">
      <c r="A401" s="6"/>
    </row>
    <row r="402" ht="15.75" customHeight="1">
      <c r="A402" s="6"/>
    </row>
    <row r="403" ht="15.75" customHeight="1">
      <c r="A403" s="6"/>
    </row>
    <row r="404" ht="15.75" customHeight="1">
      <c r="A404" s="6"/>
    </row>
    <row r="405" ht="15.75" customHeight="1">
      <c r="A405" s="6"/>
    </row>
    <row r="406" ht="15.75" customHeight="1">
      <c r="A406" s="6"/>
    </row>
    <row r="407" ht="15.75" customHeight="1">
      <c r="A407" s="6"/>
    </row>
    <row r="408" ht="15.75" customHeight="1">
      <c r="A408" s="6"/>
    </row>
    <row r="409" ht="15.75" customHeight="1">
      <c r="A409" s="6"/>
    </row>
    <row r="410" ht="15.75" customHeight="1">
      <c r="A410" s="6"/>
    </row>
    <row r="411" ht="15.75" customHeight="1">
      <c r="A411" s="6"/>
    </row>
    <row r="412" ht="15.75" customHeight="1">
      <c r="A412" s="6"/>
    </row>
    <row r="413" ht="15.75" customHeight="1">
      <c r="A413" s="6"/>
    </row>
    <row r="414" ht="15.75" customHeight="1">
      <c r="A414" s="6"/>
    </row>
    <row r="415" ht="15.75" customHeight="1">
      <c r="A415" s="6"/>
    </row>
    <row r="416" ht="15.75" customHeight="1">
      <c r="A416" s="6"/>
    </row>
    <row r="417" ht="15.75" customHeight="1">
      <c r="A417" s="6"/>
    </row>
    <row r="418" ht="15.75" customHeight="1">
      <c r="A418" s="6"/>
    </row>
    <row r="419" ht="15.75" customHeight="1">
      <c r="A419" s="6"/>
    </row>
    <row r="420" ht="15.75" customHeight="1">
      <c r="A420" s="6"/>
    </row>
    <row r="421" ht="15.75" customHeight="1">
      <c r="A421" s="6"/>
    </row>
    <row r="422" ht="15.75" customHeight="1">
      <c r="A422" s="6"/>
    </row>
    <row r="423" ht="15.75" customHeight="1">
      <c r="A423" s="6"/>
    </row>
    <row r="424" ht="15.75" customHeight="1">
      <c r="A424" s="6"/>
    </row>
    <row r="425" ht="15.75" customHeight="1">
      <c r="A425" s="6"/>
    </row>
    <row r="426" ht="15.75" customHeight="1">
      <c r="A426" s="6"/>
    </row>
    <row r="427" ht="15.75" customHeight="1">
      <c r="A427" s="6"/>
    </row>
    <row r="428" ht="15.75" customHeight="1">
      <c r="A428" s="6"/>
    </row>
    <row r="429" ht="15.75" customHeight="1">
      <c r="A429" s="6"/>
    </row>
    <row r="430" ht="15.75" customHeight="1">
      <c r="A430" s="6"/>
    </row>
    <row r="431" ht="15.75" customHeight="1">
      <c r="A431" s="6"/>
    </row>
    <row r="432" ht="15.75" customHeight="1">
      <c r="A432" s="6"/>
    </row>
    <row r="433" ht="15.75" customHeight="1">
      <c r="A433" s="6"/>
    </row>
    <row r="434" ht="15.75" customHeight="1">
      <c r="A434" s="6"/>
    </row>
    <row r="435" ht="15.75" customHeight="1">
      <c r="A435" s="6"/>
    </row>
    <row r="436" ht="15.75" customHeight="1">
      <c r="A436" s="6"/>
    </row>
    <row r="437" ht="15.75" customHeight="1">
      <c r="A437" s="6"/>
    </row>
    <row r="438" ht="15.75" customHeight="1">
      <c r="A438" s="6"/>
    </row>
    <row r="439" ht="15.75" customHeight="1">
      <c r="A439" s="6"/>
    </row>
    <row r="440" ht="15.75" customHeight="1">
      <c r="A440" s="6"/>
    </row>
    <row r="441" ht="15.75" customHeight="1">
      <c r="A441" s="6"/>
    </row>
    <row r="442" ht="15.75" customHeight="1">
      <c r="A442" s="6"/>
    </row>
    <row r="443" ht="15.75" customHeight="1">
      <c r="A443" s="6"/>
    </row>
    <row r="444" ht="15.75" customHeight="1">
      <c r="A444" s="6"/>
    </row>
    <row r="445" ht="15.75" customHeight="1">
      <c r="A445" s="6"/>
    </row>
    <row r="446" ht="15.75" customHeight="1">
      <c r="A446" s="6"/>
    </row>
    <row r="447" ht="15.75" customHeight="1">
      <c r="A447" s="6"/>
    </row>
    <row r="448" ht="15.75" customHeight="1">
      <c r="A448" s="6"/>
    </row>
    <row r="449" ht="15.75" customHeight="1">
      <c r="A449" s="6"/>
    </row>
    <row r="450" ht="15.75" customHeight="1">
      <c r="A450" s="6"/>
    </row>
    <row r="451" ht="15.75" customHeight="1">
      <c r="A451" s="6"/>
    </row>
    <row r="452" ht="15.75" customHeight="1">
      <c r="A452" s="6"/>
    </row>
    <row r="453" ht="15.75" customHeight="1">
      <c r="A453" s="6"/>
    </row>
    <row r="454" ht="15.75" customHeight="1">
      <c r="A454" s="6"/>
    </row>
    <row r="455" ht="15.75" customHeight="1">
      <c r="A455" s="6"/>
    </row>
    <row r="456" ht="15.75" customHeight="1">
      <c r="A456" s="6"/>
    </row>
    <row r="457" ht="15.75" customHeight="1">
      <c r="A457" s="6"/>
    </row>
    <row r="458" ht="15.75" customHeight="1">
      <c r="A458" s="6"/>
    </row>
    <row r="459" ht="15.75" customHeight="1">
      <c r="A459" s="6"/>
    </row>
    <row r="460" ht="15.75" customHeight="1">
      <c r="A460" s="6"/>
    </row>
    <row r="461" ht="15.75" customHeight="1">
      <c r="A461" s="6"/>
    </row>
    <row r="462" ht="15.75" customHeight="1">
      <c r="A462" s="6"/>
    </row>
    <row r="463" ht="15.75" customHeight="1">
      <c r="A463" s="6"/>
    </row>
    <row r="464" ht="15.75" customHeight="1">
      <c r="A464" s="6"/>
    </row>
    <row r="465" ht="15.75" customHeight="1">
      <c r="A465" s="6"/>
    </row>
    <row r="466" ht="15.75" customHeight="1">
      <c r="A466" s="6"/>
    </row>
    <row r="467" ht="15.75" customHeight="1">
      <c r="A467" s="6"/>
    </row>
    <row r="468" ht="15.75" customHeight="1">
      <c r="A468" s="6"/>
    </row>
    <row r="469" ht="15.75" customHeight="1">
      <c r="A469" s="6"/>
    </row>
    <row r="470" ht="15.75" customHeight="1">
      <c r="A470" s="6"/>
    </row>
    <row r="471" ht="15.75" customHeight="1">
      <c r="A471" s="6"/>
    </row>
    <row r="472" ht="15.75" customHeight="1">
      <c r="A472" s="6"/>
    </row>
    <row r="473" ht="15.75" customHeight="1">
      <c r="A473" s="6"/>
    </row>
    <row r="474" ht="15.75" customHeight="1">
      <c r="A474" s="6"/>
    </row>
    <row r="475" ht="15.75" customHeight="1">
      <c r="A475" s="6"/>
    </row>
    <row r="476" ht="15.75" customHeight="1">
      <c r="A476" s="6"/>
    </row>
    <row r="477" ht="15.75" customHeight="1">
      <c r="A477" s="6"/>
    </row>
    <row r="478" ht="15.75" customHeight="1">
      <c r="A478" s="6"/>
    </row>
    <row r="479" ht="15.75" customHeight="1">
      <c r="A479" s="6"/>
    </row>
    <row r="480" ht="15.75" customHeight="1">
      <c r="A480" s="6"/>
    </row>
    <row r="481" ht="15.75" customHeight="1">
      <c r="A481" s="6"/>
    </row>
    <row r="482" ht="15.75" customHeight="1">
      <c r="A482" s="6"/>
    </row>
    <row r="483" ht="15.75" customHeight="1">
      <c r="A483" s="6"/>
    </row>
    <row r="484" ht="15.75" customHeight="1">
      <c r="A484" s="6"/>
    </row>
    <row r="485" ht="15.75" customHeight="1">
      <c r="A485" s="6"/>
    </row>
    <row r="486" ht="15.75" customHeight="1">
      <c r="A486" s="6"/>
    </row>
    <row r="487" ht="15.75" customHeight="1">
      <c r="A487" s="6"/>
    </row>
    <row r="488" ht="15.75" customHeight="1">
      <c r="A488" s="6"/>
    </row>
    <row r="489" ht="15.75" customHeight="1">
      <c r="A489" s="6"/>
    </row>
    <row r="490" ht="15.75" customHeight="1">
      <c r="A490" s="6"/>
    </row>
    <row r="491" ht="15.75" customHeight="1">
      <c r="A491" s="6"/>
    </row>
    <row r="492" ht="15.75" customHeight="1">
      <c r="A492" s="6"/>
    </row>
    <row r="493" ht="15.75" customHeight="1">
      <c r="A493" s="6"/>
    </row>
    <row r="494" ht="15.75" customHeight="1">
      <c r="A494" s="6"/>
    </row>
    <row r="495" ht="15.75" customHeight="1">
      <c r="A495" s="6"/>
    </row>
    <row r="496" ht="15.75" customHeight="1">
      <c r="A496" s="6"/>
    </row>
    <row r="497" ht="15.75" customHeight="1">
      <c r="A497" s="6"/>
    </row>
    <row r="498" ht="15.75" customHeight="1">
      <c r="A498" s="6"/>
    </row>
    <row r="499" ht="15.75" customHeight="1">
      <c r="A499" s="6"/>
    </row>
    <row r="500" ht="15.75" customHeight="1">
      <c r="A500" s="6"/>
    </row>
    <row r="501" ht="15.75" customHeight="1">
      <c r="A501" s="6"/>
    </row>
    <row r="502" ht="15.75" customHeight="1">
      <c r="A502" s="6"/>
    </row>
    <row r="503" ht="15.75" customHeight="1">
      <c r="A503" s="6"/>
    </row>
    <row r="504" ht="15.75" customHeight="1">
      <c r="A504" s="6"/>
    </row>
    <row r="505" ht="15.75" customHeight="1">
      <c r="A505" s="6"/>
    </row>
    <row r="506" ht="15.75" customHeight="1">
      <c r="A506" s="6"/>
    </row>
    <row r="507" ht="15.75" customHeight="1">
      <c r="A507" s="6"/>
    </row>
    <row r="508" ht="15.75" customHeight="1">
      <c r="A508" s="6"/>
    </row>
    <row r="509" ht="15.75" customHeight="1">
      <c r="A509" s="6"/>
    </row>
    <row r="510" ht="15.75" customHeight="1">
      <c r="A510" s="6"/>
    </row>
    <row r="511" ht="15.75" customHeight="1">
      <c r="A511" s="6"/>
    </row>
    <row r="512" ht="15.75" customHeight="1">
      <c r="A512" s="6"/>
    </row>
    <row r="513" ht="15.75" customHeight="1">
      <c r="A513" s="6"/>
    </row>
    <row r="514" ht="15.75" customHeight="1">
      <c r="A514" s="6"/>
    </row>
    <row r="515" ht="15.75" customHeight="1">
      <c r="A515" s="6"/>
    </row>
    <row r="516" ht="15.75" customHeight="1">
      <c r="A516" s="6"/>
    </row>
    <row r="517" ht="15.75" customHeight="1">
      <c r="A517" s="6"/>
    </row>
    <row r="518" ht="15.75" customHeight="1">
      <c r="A518" s="6"/>
    </row>
    <row r="519" ht="15.75" customHeight="1">
      <c r="A519" s="6"/>
    </row>
    <row r="520" ht="15.75" customHeight="1">
      <c r="A520" s="6"/>
    </row>
    <row r="521" ht="15.75" customHeight="1">
      <c r="A521" s="6"/>
    </row>
    <row r="522" ht="15.75" customHeight="1">
      <c r="A522" s="6"/>
    </row>
    <row r="523" ht="15.75" customHeight="1">
      <c r="A523" s="6"/>
    </row>
    <row r="524" ht="15.75" customHeight="1">
      <c r="A524" s="6"/>
    </row>
    <row r="525" ht="15.75" customHeight="1">
      <c r="A525" s="6"/>
    </row>
    <row r="526" ht="15.75" customHeight="1">
      <c r="A526" s="6"/>
    </row>
    <row r="527" ht="15.75" customHeight="1">
      <c r="A527" s="6"/>
    </row>
    <row r="528" ht="15.75" customHeight="1">
      <c r="A528" s="6"/>
    </row>
    <row r="529" ht="15.75" customHeight="1">
      <c r="A529" s="6"/>
    </row>
    <row r="530" ht="15.75" customHeight="1">
      <c r="A530" s="6"/>
    </row>
    <row r="531" ht="15.75" customHeight="1">
      <c r="A531" s="6"/>
    </row>
    <row r="532" ht="15.75" customHeight="1">
      <c r="A532" s="6"/>
    </row>
    <row r="533" ht="15.75" customHeight="1">
      <c r="A533" s="6"/>
    </row>
    <row r="534" ht="15.75" customHeight="1">
      <c r="A534" s="6"/>
    </row>
    <row r="535" ht="15.75" customHeight="1">
      <c r="A535" s="6"/>
    </row>
    <row r="536" ht="15.75" customHeight="1">
      <c r="A536" s="6"/>
    </row>
    <row r="537" ht="15.75" customHeight="1">
      <c r="A537" s="6"/>
    </row>
    <row r="538" ht="15.75" customHeight="1">
      <c r="A538" s="6"/>
    </row>
    <row r="539" ht="15.75" customHeight="1">
      <c r="A539" s="6"/>
    </row>
    <row r="540" ht="15.75" customHeight="1">
      <c r="A540" s="6"/>
    </row>
    <row r="541" ht="15.75" customHeight="1">
      <c r="A541" s="6"/>
    </row>
    <row r="542" ht="15.75" customHeight="1">
      <c r="A542" s="6"/>
    </row>
    <row r="543" ht="15.75" customHeight="1">
      <c r="A543" s="6"/>
    </row>
    <row r="544" ht="15.75" customHeight="1">
      <c r="A544" s="6"/>
    </row>
    <row r="545" ht="15.75" customHeight="1">
      <c r="A545" s="6"/>
    </row>
    <row r="546" ht="15.75" customHeight="1">
      <c r="A546" s="6"/>
    </row>
    <row r="547" ht="15.75" customHeight="1">
      <c r="A547" s="6"/>
    </row>
    <row r="548" ht="15.75" customHeight="1">
      <c r="A548" s="6"/>
    </row>
    <row r="549" ht="15.75" customHeight="1">
      <c r="A549" s="6"/>
    </row>
    <row r="550" ht="15.75" customHeight="1">
      <c r="A550" s="6"/>
    </row>
    <row r="551" ht="15.75" customHeight="1">
      <c r="A551" s="6"/>
    </row>
    <row r="552" ht="15.75" customHeight="1">
      <c r="A552" s="6"/>
    </row>
    <row r="553" ht="15.75" customHeight="1">
      <c r="A553" s="6"/>
    </row>
    <row r="554" ht="15.75" customHeight="1">
      <c r="A554" s="6"/>
    </row>
    <row r="555" ht="15.75" customHeight="1">
      <c r="A555" s="6"/>
    </row>
    <row r="556" ht="15.75" customHeight="1">
      <c r="A556" s="6"/>
    </row>
    <row r="557" ht="15.75" customHeight="1">
      <c r="A557" s="6"/>
    </row>
    <row r="558" ht="15.75" customHeight="1">
      <c r="A558" s="6"/>
    </row>
    <row r="559" ht="15.75" customHeight="1">
      <c r="A559" s="6"/>
    </row>
    <row r="560" ht="15.75" customHeight="1">
      <c r="A560" s="6"/>
    </row>
    <row r="561" ht="15.75" customHeight="1">
      <c r="A561" s="6"/>
    </row>
    <row r="562" ht="15.75" customHeight="1">
      <c r="A562" s="6"/>
    </row>
    <row r="563" ht="15.75" customHeight="1">
      <c r="A563" s="6"/>
    </row>
    <row r="564" ht="15.75" customHeight="1">
      <c r="A564" s="6"/>
    </row>
    <row r="565" ht="15.75" customHeight="1">
      <c r="A565" s="6"/>
    </row>
    <row r="566" ht="15.75" customHeight="1">
      <c r="A566" s="6"/>
    </row>
    <row r="567" ht="15.75" customHeight="1">
      <c r="A567" s="6"/>
    </row>
    <row r="568" ht="15.75" customHeight="1">
      <c r="A568" s="6"/>
    </row>
    <row r="569" ht="15.75" customHeight="1">
      <c r="A569" s="6"/>
    </row>
    <row r="570" ht="15.75" customHeight="1">
      <c r="A570" s="6"/>
    </row>
    <row r="571" ht="15.75" customHeight="1">
      <c r="A571" s="6"/>
    </row>
    <row r="572" ht="15.75" customHeight="1">
      <c r="A572" s="6"/>
    </row>
    <row r="573" ht="15.75" customHeight="1">
      <c r="A573" s="6"/>
    </row>
    <row r="574" ht="15.75" customHeight="1">
      <c r="A574" s="6"/>
    </row>
    <row r="575" ht="15.75" customHeight="1">
      <c r="A575" s="6"/>
    </row>
    <row r="576" ht="15.75" customHeight="1">
      <c r="A576" s="6"/>
    </row>
    <row r="577" ht="15.75" customHeight="1">
      <c r="A577" s="6"/>
    </row>
    <row r="578" ht="15.75" customHeight="1">
      <c r="A578" s="6"/>
    </row>
    <row r="579" ht="15.75" customHeight="1">
      <c r="A579" s="6"/>
    </row>
    <row r="580" ht="15.75" customHeight="1">
      <c r="A580" s="6"/>
    </row>
    <row r="581" ht="15.75" customHeight="1">
      <c r="A581" s="6"/>
    </row>
    <row r="582" ht="15.75" customHeight="1">
      <c r="A582" s="6"/>
    </row>
    <row r="583" ht="15.75" customHeight="1">
      <c r="A583" s="6"/>
    </row>
    <row r="584" ht="15.75" customHeight="1">
      <c r="A584" s="6"/>
    </row>
    <row r="585" ht="15.75" customHeight="1">
      <c r="A585" s="6"/>
    </row>
    <row r="586" ht="15.75" customHeight="1">
      <c r="A586" s="6"/>
    </row>
    <row r="587" ht="15.75" customHeight="1">
      <c r="A587" s="6"/>
    </row>
    <row r="588" ht="15.75" customHeight="1">
      <c r="A588" s="6"/>
    </row>
    <row r="589" ht="15.75" customHeight="1">
      <c r="A589" s="6"/>
    </row>
    <row r="590" ht="15.75" customHeight="1">
      <c r="A590" s="6"/>
    </row>
    <row r="591" ht="15.75" customHeight="1">
      <c r="A591" s="6"/>
    </row>
    <row r="592" ht="15.75" customHeight="1">
      <c r="A592" s="6"/>
    </row>
    <row r="593" ht="15.75" customHeight="1">
      <c r="A593" s="6"/>
    </row>
    <row r="594" ht="15.75" customHeight="1">
      <c r="A594" s="6"/>
    </row>
    <row r="595" ht="15.75" customHeight="1">
      <c r="A595" s="6"/>
    </row>
    <row r="596" ht="15.75" customHeight="1">
      <c r="A596" s="6"/>
    </row>
    <row r="597" ht="15.75" customHeight="1">
      <c r="A597" s="6"/>
    </row>
    <row r="598" ht="15.75" customHeight="1">
      <c r="A598" s="6"/>
    </row>
    <row r="599" ht="15.75" customHeight="1">
      <c r="A599" s="6"/>
    </row>
    <row r="600" ht="15.75" customHeight="1">
      <c r="A600" s="6"/>
    </row>
    <row r="601" ht="15.75" customHeight="1">
      <c r="A601" s="6"/>
    </row>
    <row r="602" ht="15.75" customHeight="1">
      <c r="A602" s="6"/>
    </row>
    <row r="603" ht="15.75" customHeight="1">
      <c r="A603" s="6"/>
    </row>
    <row r="604" ht="15.75" customHeight="1">
      <c r="A604" s="6"/>
    </row>
    <row r="605" ht="15.75" customHeight="1">
      <c r="A605" s="6"/>
    </row>
    <row r="606" ht="15.75" customHeight="1">
      <c r="A606" s="6"/>
    </row>
    <row r="607" ht="15.75" customHeight="1">
      <c r="A607" s="6"/>
    </row>
    <row r="608" ht="15.75" customHeight="1">
      <c r="A608" s="6"/>
    </row>
    <row r="609" ht="15.75" customHeight="1">
      <c r="A609" s="6"/>
    </row>
    <row r="610" ht="15.75" customHeight="1">
      <c r="A610" s="6"/>
    </row>
    <row r="611" ht="15.75" customHeight="1">
      <c r="A611" s="6"/>
    </row>
    <row r="612" ht="15.75" customHeight="1">
      <c r="A612" s="6"/>
    </row>
    <row r="613" ht="15.75" customHeight="1">
      <c r="A613" s="6"/>
    </row>
    <row r="614" ht="15.75" customHeight="1">
      <c r="A614" s="6"/>
    </row>
    <row r="615" ht="15.75" customHeight="1">
      <c r="A615" s="6"/>
    </row>
    <row r="616" ht="15.75" customHeight="1">
      <c r="A616" s="6"/>
    </row>
    <row r="617" ht="15.75" customHeight="1">
      <c r="A617" s="6"/>
    </row>
    <row r="618" ht="15.75" customHeight="1">
      <c r="A618" s="6"/>
    </row>
    <row r="619" ht="15.75" customHeight="1">
      <c r="A619" s="6"/>
    </row>
    <row r="620" ht="15.75" customHeight="1">
      <c r="A620" s="6"/>
    </row>
    <row r="621" ht="15.75" customHeight="1">
      <c r="A621" s="6"/>
    </row>
    <row r="622" ht="15.75" customHeight="1">
      <c r="A622" s="6"/>
    </row>
    <row r="623" ht="15.75" customHeight="1">
      <c r="A623" s="6"/>
    </row>
    <row r="624" ht="15.75" customHeight="1">
      <c r="A624" s="6"/>
    </row>
    <row r="625" ht="15.75" customHeight="1">
      <c r="A625" s="6"/>
    </row>
    <row r="626" ht="15.75" customHeight="1">
      <c r="A626" s="6"/>
    </row>
    <row r="627" ht="15.75" customHeight="1">
      <c r="A627" s="6"/>
    </row>
    <row r="628" ht="15.75" customHeight="1">
      <c r="A628" s="6"/>
    </row>
    <row r="629" ht="15.75" customHeight="1">
      <c r="A629" s="6"/>
    </row>
    <row r="630" ht="15.75" customHeight="1">
      <c r="A630" s="6"/>
    </row>
    <row r="631" ht="15.75" customHeight="1">
      <c r="A631" s="6"/>
    </row>
    <row r="632" ht="15.75" customHeight="1">
      <c r="A632" s="6"/>
    </row>
    <row r="633" ht="15.75" customHeight="1">
      <c r="A633" s="6"/>
    </row>
    <row r="634" ht="15.75" customHeight="1">
      <c r="A634" s="6"/>
    </row>
    <row r="635" ht="15.75" customHeight="1">
      <c r="A635" s="6"/>
    </row>
    <row r="636" ht="15.75" customHeight="1">
      <c r="A636" s="6"/>
    </row>
    <row r="637" ht="15.75" customHeight="1">
      <c r="A637" s="6"/>
    </row>
    <row r="638" ht="15.75" customHeight="1">
      <c r="A638" s="6"/>
    </row>
    <row r="639" ht="15.75" customHeight="1">
      <c r="A639" s="6"/>
    </row>
    <row r="640" ht="15.75" customHeight="1">
      <c r="A640" s="6"/>
    </row>
    <row r="641" ht="15.75" customHeight="1">
      <c r="A641" s="6"/>
    </row>
    <row r="642" ht="15.75" customHeight="1">
      <c r="A642" s="6"/>
    </row>
    <row r="643" ht="15.75" customHeight="1">
      <c r="A643" s="6"/>
    </row>
    <row r="644" ht="15.75" customHeight="1">
      <c r="A644" s="6"/>
    </row>
    <row r="645" ht="15.75" customHeight="1">
      <c r="A645" s="6"/>
    </row>
    <row r="646" ht="15.75" customHeight="1">
      <c r="A646" s="6"/>
    </row>
    <row r="647" ht="15.75" customHeight="1">
      <c r="A647" s="6"/>
    </row>
    <row r="648" ht="15.75" customHeight="1">
      <c r="A648" s="6"/>
    </row>
    <row r="649" ht="15.75" customHeight="1">
      <c r="A649" s="6"/>
    </row>
    <row r="650" ht="15.75" customHeight="1">
      <c r="A650" s="6"/>
    </row>
    <row r="651" ht="15.75" customHeight="1">
      <c r="A651" s="6"/>
    </row>
    <row r="652" ht="15.75" customHeight="1">
      <c r="A652" s="6"/>
    </row>
    <row r="653" ht="15.75" customHeight="1">
      <c r="A653" s="6"/>
    </row>
    <row r="654" ht="15.75" customHeight="1">
      <c r="A654" s="6"/>
    </row>
    <row r="655" ht="15.75" customHeight="1">
      <c r="A655" s="6"/>
    </row>
    <row r="656" ht="15.75" customHeight="1">
      <c r="A656" s="6"/>
    </row>
    <row r="657" ht="15.75" customHeight="1">
      <c r="A657" s="6"/>
    </row>
    <row r="658" ht="15.75" customHeight="1">
      <c r="A658" s="6"/>
    </row>
    <row r="659" ht="15.75" customHeight="1">
      <c r="A659" s="6"/>
    </row>
    <row r="660" ht="15.75" customHeight="1">
      <c r="A660" s="6"/>
    </row>
    <row r="661" ht="15.75" customHeight="1">
      <c r="A661" s="6"/>
    </row>
    <row r="662" ht="15.75" customHeight="1">
      <c r="A662" s="6"/>
    </row>
    <row r="663" ht="15.75" customHeight="1">
      <c r="A663" s="6"/>
    </row>
    <row r="664" ht="15.75" customHeight="1">
      <c r="A664" s="6"/>
    </row>
    <row r="665" ht="15.75" customHeight="1">
      <c r="A665" s="6"/>
    </row>
    <row r="666" ht="15.75" customHeight="1">
      <c r="A666" s="6"/>
    </row>
    <row r="667" ht="15.75" customHeight="1">
      <c r="A667" s="6"/>
    </row>
    <row r="668" ht="15.75" customHeight="1">
      <c r="A668" s="6"/>
    </row>
    <row r="669" ht="15.75" customHeight="1">
      <c r="A669" s="6"/>
    </row>
    <row r="670" ht="15.75" customHeight="1">
      <c r="A670" s="6"/>
    </row>
    <row r="671" ht="15.75" customHeight="1">
      <c r="A671" s="6"/>
    </row>
    <row r="672" ht="15.75" customHeight="1">
      <c r="A672" s="6"/>
    </row>
    <row r="673" ht="15.75" customHeight="1">
      <c r="A673" s="6"/>
    </row>
    <row r="674" ht="15.75" customHeight="1">
      <c r="A674" s="6"/>
    </row>
    <row r="675" ht="15.75" customHeight="1">
      <c r="A675" s="6"/>
    </row>
    <row r="676" ht="15.75" customHeight="1">
      <c r="A676" s="6"/>
    </row>
    <row r="677" ht="15.75" customHeight="1">
      <c r="A677" s="6"/>
    </row>
    <row r="678" ht="15.75" customHeight="1">
      <c r="A678" s="6"/>
    </row>
    <row r="679" ht="15.75" customHeight="1">
      <c r="A679" s="6"/>
    </row>
    <row r="680" ht="15.75" customHeight="1">
      <c r="A680" s="6"/>
    </row>
    <row r="681" ht="15.75" customHeight="1">
      <c r="A681" s="6"/>
    </row>
    <row r="682" ht="15.75" customHeight="1">
      <c r="A682" s="6"/>
    </row>
    <row r="683" ht="15.75" customHeight="1">
      <c r="A683" s="6"/>
    </row>
    <row r="684" ht="15.75" customHeight="1">
      <c r="A684" s="6"/>
    </row>
    <row r="685" ht="15.75" customHeight="1">
      <c r="A685" s="6"/>
    </row>
    <row r="686" ht="15.75" customHeight="1">
      <c r="A686" s="6"/>
    </row>
    <row r="687" ht="15.75" customHeight="1">
      <c r="A687" s="6"/>
    </row>
    <row r="688" ht="15.75" customHeight="1">
      <c r="A688" s="6"/>
    </row>
    <row r="689" ht="15.75" customHeight="1">
      <c r="A689" s="6"/>
    </row>
    <row r="690" ht="15.75" customHeight="1">
      <c r="A690" s="6"/>
    </row>
    <row r="691" ht="15.75" customHeight="1">
      <c r="A691" s="6"/>
    </row>
    <row r="692" ht="15.75" customHeight="1">
      <c r="A692" s="6"/>
    </row>
    <row r="693" ht="15.75" customHeight="1">
      <c r="A693" s="6"/>
    </row>
    <row r="694" ht="15.75" customHeight="1">
      <c r="A694" s="6"/>
    </row>
    <row r="695" ht="15.75" customHeight="1">
      <c r="A695" s="6"/>
    </row>
    <row r="696" ht="15.75" customHeight="1">
      <c r="A696" s="6"/>
    </row>
    <row r="697" ht="15.75" customHeight="1">
      <c r="A697" s="6"/>
    </row>
    <row r="698" ht="15.75" customHeight="1">
      <c r="A698" s="6"/>
    </row>
    <row r="699" ht="15.75" customHeight="1">
      <c r="A699" s="6"/>
    </row>
    <row r="700" ht="15.75" customHeight="1">
      <c r="A700" s="6"/>
    </row>
    <row r="701" ht="15.75" customHeight="1">
      <c r="A701" s="6"/>
    </row>
    <row r="702" ht="15.75" customHeight="1">
      <c r="A702" s="6"/>
    </row>
    <row r="703" ht="15.75" customHeight="1">
      <c r="A703" s="6"/>
    </row>
    <row r="704" ht="15.75" customHeight="1">
      <c r="A704" s="6"/>
    </row>
    <row r="705" ht="15.75" customHeight="1">
      <c r="A705" s="6"/>
    </row>
    <row r="706" ht="15.75" customHeight="1">
      <c r="A706" s="6"/>
    </row>
    <row r="707" ht="15.75" customHeight="1">
      <c r="A707" s="6"/>
    </row>
    <row r="708" ht="15.75" customHeight="1">
      <c r="A708" s="6"/>
    </row>
    <row r="709" ht="15.75" customHeight="1">
      <c r="A709" s="6"/>
    </row>
    <row r="710" ht="15.75" customHeight="1">
      <c r="A710" s="6"/>
    </row>
    <row r="711" ht="15.75" customHeight="1">
      <c r="A711" s="6"/>
    </row>
    <row r="712" ht="15.75" customHeight="1">
      <c r="A712" s="6"/>
    </row>
    <row r="713" ht="15.75" customHeight="1">
      <c r="A713" s="6"/>
    </row>
    <row r="714" ht="15.75" customHeight="1">
      <c r="A714" s="6"/>
    </row>
    <row r="715" ht="15.75" customHeight="1">
      <c r="A715" s="6"/>
    </row>
    <row r="716" ht="15.75" customHeight="1">
      <c r="A716" s="6"/>
    </row>
    <row r="717" ht="15.75" customHeight="1">
      <c r="A717" s="6"/>
    </row>
    <row r="718" ht="15.75" customHeight="1">
      <c r="A718" s="6"/>
    </row>
    <row r="719" ht="15.75" customHeight="1">
      <c r="A719" s="6"/>
    </row>
    <row r="720" ht="15.75" customHeight="1">
      <c r="A720" s="6"/>
    </row>
    <row r="721" ht="15.75" customHeight="1">
      <c r="A721" s="6"/>
    </row>
    <row r="722" ht="15.75" customHeight="1">
      <c r="A722" s="6"/>
    </row>
    <row r="723" ht="15.75" customHeight="1">
      <c r="A723" s="6"/>
    </row>
    <row r="724" ht="15.75" customHeight="1">
      <c r="A724" s="6"/>
    </row>
    <row r="725" ht="15.75" customHeight="1">
      <c r="A725" s="6"/>
    </row>
    <row r="726" ht="15.75" customHeight="1">
      <c r="A726" s="6"/>
    </row>
    <row r="727" ht="15.75" customHeight="1">
      <c r="A727" s="6"/>
    </row>
    <row r="728" ht="15.75" customHeight="1">
      <c r="A728" s="6"/>
    </row>
    <row r="729" ht="15.75" customHeight="1">
      <c r="A729" s="6"/>
    </row>
    <row r="730" ht="15.75" customHeight="1">
      <c r="A730" s="6"/>
    </row>
    <row r="731" ht="15.75" customHeight="1">
      <c r="A731" s="6"/>
    </row>
    <row r="732" ht="15.75" customHeight="1">
      <c r="A732" s="6"/>
    </row>
    <row r="733" ht="15.75" customHeight="1">
      <c r="A733" s="6"/>
    </row>
    <row r="734" ht="15.75" customHeight="1">
      <c r="A734" s="6"/>
    </row>
    <row r="735" ht="15.75" customHeight="1">
      <c r="A735" s="6"/>
    </row>
    <row r="736" ht="15.75" customHeight="1">
      <c r="A736" s="6"/>
    </row>
    <row r="737" ht="15.75" customHeight="1">
      <c r="A737" s="6"/>
    </row>
    <row r="738" ht="15.75" customHeight="1">
      <c r="A738" s="6"/>
    </row>
    <row r="739" ht="15.75" customHeight="1">
      <c r="A739" s="6"/>
    </row>
    <row r="740" ht="15.75" customHeight="1">
      <c r="A740" s="6"/>
    </row>
    <row r="741" ht="15.75" customHeight="1">
      <c r="A741" s="6"/>
    </row>
    <row r="742" ht="15.75" customHeight="1">
      <c r="A742" s="6"/>
    </row>
    <row r="743" ht="15.75" customHeight="1">
      <c r="A743" s="6"/>
    </row>
    <row r="744" ht="15.75" customHeight="1">
      <c r="A744" s="6"/>
    </row>
    <row r="745" ht="15.75" customHeight="1">
      <c r="A745" s="6"/>
    </row>
    <row r="746" ht="15.75" customHeight="1">
      <c r="A746" s="6"/>
    </row>
    <row r="747" ht="15.75" customHeight="1">
      <c r="A747" s="6"/>
    </row>
    <row r="748" ht="15.75" customHeight="1">
      <c r="A748" s="6"/>
    </row>
    <row r="749" ht="15.75" customHeight="1">
      <c r="A749" s="6"/>
    </row>
    <row r="750" ht="15.75" customHeight="1">
      <c r="A750" s="6"/>
    </row>
    <row r="751" ht="15.75" customHeight="1">
      <c r="A751" s="6"/>
    </row>
    <row r="752" ht="15.75" customHeight="1">
      <c r="A752" s="6"/>
    </row>
    <row r="753" ht="15.75" customHeight="1">
      <c r="A753" s="6"/>
    </row>
    <row r="754" ht="15.75" customHeight="1">
      <c r="A754" s="6"/>
    </row>
    <row r="755" ht="15.75" customHeight="1">
      <c r="A755" s="6"/>
    </row>
    <row r="756" ht="15.75" customHeight="1">
      <c r="A756" s="6"/>
    </row>
    <row r="757" ht="15.75" customHeight="1">
      <c r="A757" s="6"/>
    </row>
    <row r="758" ht="15.75" customHeight="1">
      <c r="A758" s="6"/>
    </row>
    <row r="759" ht="15.75" customHeight="1">
      <c r="A759" s="6"/>
    </row>
    <row r="760" ht="15.75" customHeight="1">
      <c r="A760" s="6"/>
    </row>
    <row r="761" ht="15.75" customHeight="1">
      <c r="A761" s="6"/>
    </row>
    <row r="762" ht="15.75" customHeight="1">
      <c r="A762" s="6"/>
    </row>
    <row r="763" ht="15.75" customHeight="1">
      <c r="A763" s="6"/>
    </row>
    <row r="764" ht="15.75" customHeight="1">
      <c r="A764" s="6"/>
    </row>
    <row r="765" ht="15.75" customHeight="1">
      <c r="A765" s="6"/>
    </row>
    <row r="766" ht="15.75" customHeight="1">
      <c r="A766" s="6"/>
    </row>
    <row r="767" ht="15.75" customHeight="1">
      <c r="A767" s="6"/>
    </row>
    <row r="768" ht="15.75" customHeight="1">
      <c r="A768" s="6"/>
    </row>
    <row r="769" ht="15.75" customHeight="1">
      <c r="A769" s="6"/>
    </row>
    <row r="770" ht="15.75" customHeight="1">
      <c r="A770" s="6"/>
    </row>
    <row r="771" ht="15.75" customHeight="1">
      <c r="A771" s="6"/>
    </row>
    <row r="772" ht="15.75" customHeight="1">
      <c r="A772" s="6"/>
    </row>
    <row r="773" ht="15.75" customHeight="1">
      <c r="A773" s="6"/>
    </row>
    <row r="774" ht="15.75" customHeight="1">
      <c r="A774" s="6"/>
    </row>
    <row r="775" ht="15.75" customHeight="1">
      <c r="A775" s="6"/>
    </row>
    <row r="776" ht="15.75" customHeight="1">
      <c r="A776" s="6"/>
    </row>
    <row r="777" ht="15.75" customHeight="1">
      <c r="A777" s="6"/>
    </row>
    <row r="778" ht="15.75" customHeight="1">
      <c r="A778" s="6"/>
    </row>
    <row r="779" ht="15.75" customHeight="1">
      <c r="A779" s="6"/>
    </row>
    <row r="780" ht="15.75" customHeight="1">
      <c r="A780" s="6"/>
    </row>
    <row r="781" ht="15.75" customHeight="1">
      <c r="A781" s="6"/>
    </row>
    <row r="782" ht="15.75" customHeight="1">
      <c r="A782" s="6"/>
    </row>
    <row r="783" ht="15.75" customHeight="1">
      <c r="A783" s="6"/>
    </row>
    <row r="784" ht="15.75" customHeight="1">
      <c r="A784" s="6"/>
    </row>
    <row r="785" ht="15.75" customHeight="1">
      <c r="A785" s="6"/>
    </row>
    <row r="786" ht="15.75" customHeight="1">
      <c r="A786" s="6"/>
    </row>
    <row r="787" ht="15.75" customHeight="1">
      <c r="A787" s="6"/>
    </row>
    <row r="788" ht="15.75" customHeight="1">
      <c r="A788" s="6"/>
    </row>
    <row r="789" ht="15.75" customHeight="1">
      <c r="A789" s="6"/>
    </row>
    <row r="790" ht="15.75" customHeight="1">
      <c r="A790" s="6"/>
    </row>
    <row r="791" ht="15.75" customHeight="1">
      <c r="A791" s="6"/>
    </row>
    <row r="792" ht="15.75" customHeight="1">
      <c r="A792" s="6"/>
    </row>
    <row r="793" ht="15.75" customHeight="1">
      <c r="A793" s="6"/>
    </row>
    <row r="794" ht="15.75" customHeight="1">
      <c r="A794" s="6"/>
    </row>
    <row r="795" ht="15.75" customHeight="1">
      <c r="A795" s="6"/>
    </row>
    <row r="796" ht="15.75" customHeight="1">
      <c r="A796" s="6"/>
    </row>
    <row r="797" ht="15.75" customHeight="1">
      <c r="A797" s="6"/>
    </row>
    <row r="798" ht="15.75" customHeight="1">
      <c r="A798" s="6"/>
    </row>
    <row r="799" ht="15.75" customHeight="1">
      <c r="A799" s="6"/>
    </row>
    <row r="800" ht="15.75" customHeight="1">
      <c r="A800" s="6"/>
    </row>
    <row r="801" ht="15.75" customHeight="1">
      <c r="A801" s="6"/>
    </row>
    <row r="802" ht="15.75" customHeight="1">
      <c r="A802" s="6"/>
    </row>
    <row r="803" ht="15.75" customHeight="1">
      <c r="A803" s="6"/>
    </row>
    <row r="804" ht="15.75" customHeight="1">
      <c r="A804" s="6"/>
    </row>
    <row r="805" ht="15.75" customHeight="1">
      <c r="A805" s="6"/>
    </row>
    <row r="806" ht="15.75" customHeight="1">
      <c r="A806" s="6"/>
    </row>
    <row r="807" ht="15.75" customHeight="1">
      <c r="A807" s="6"/>
    </row>
    <row r="808" ht="15.75" customHeight="1">
      <c r="A808" s="6"/>
    </row>
    <row r="809" ht="15.75" customHeight="1">
      <c r="A809" s="6"/>
    </row>
    <row r="810" ht="15.75" customHeight="1">
      <c r="A810" s="6"/>
    </row>
    <row r="811" ht="15.75" customHeight="1">
      <c r="A811" s="6"/>
    </row>
    <row r="812" ht="15.75" customHeight="1">
      <c r="A812" s="6"/>
    </row>
    <row r="813" ht="15.75" customHeight="1">
      <c r="A813" s="6"/>
    </row>
    <row r="814" ht="15.75" customHeight="1">
      <c r="A814" s="6"/>
    </row>
    <row r="815" ht="15.75" customHeight="1">
      <c r="A815" s="6"/>
    </row>
    <row r="816" ht="15.75" customHeight="1">
      <c r="A816" s="6"/>
    </row>
    <row r="817" ht="15.75" customHeight="1">
      <c r="A817" s="6"/>
    </row>
    <row r="818" ht="15.75" customHeight="1">
      <c r="A818" s="6"/>
    </row>
    <row r="819" ht="15.75" customHeight="1">
      <c r="A819" s="6"/>
    </row>
    <row r="820" ht="15.75" customHeight="1">
      <c r="A820" s="6"/>
    </row>
    <row r="821" ht="15.75" customHeight="1">
      <c r="A821" s="6"/>
    </row>
    <row r="822" ht="15.75" customHeight="1">
      <c r="A822" s="6"/>
    </row>
    <row r="823" ht="15.75" customHeight="1">
      <c r="A823" s="6"/>
    </row>
    <row r="824" ht="15.75" customHeight="1">
      <c r="A824" s="6"/>
    </row>
    <row r="825" ht="15.75" customHeight="1">
      <c r="A825" s="6"/>
    </row>
    <row r="826" ht="15.75" customHeight="1">
      <c r="A826" s="6"/>
    </row>
    <row r="827" ht="15.75" customHeight="1">
      <c r="A827" s="6"/>
    </row>
    <row r="828" ht="15.75" customHeight="1">
      <c r="A828" s="6"/>
    </row>
    <row r="829" ht="15.75" customHeight="1">
      <c r="A829" s="6"/>
    </row>
    <row r="830" ht="15.75" customHeight="1">
      <c r="A830" s="6"/>
    </row>
    <row r="831" ht="15.75" customHeight="1">
      <c r="A831" s="6"/>
    </row>
    <row r="832" ht="15.75" customHeight="1">
      <c r="A832" s="6"/>
    </row>
    <row r="833" ht="15.75" customHeight="1">
      <c r="A833" s="6"/>
    </row>
    <row r="834" ht="15.75" customHeight="1">
      <c r="A834" s="6"/>
    </row>
    <row r="835" ht="15.75" customHeight="1">
      <c r="A835" s="6"/>
    </row>
    <row r="836" ht="15.75" customHeight="1">
      <c r="A836" s="6"/>
    </row>
    <row r="837" ht="15.75" customHeight="1">
      <c r="A837" s="6"/>
    </row>
    <row r="838" ht="15.75" customHeight="1">
      <c r="A838" s="6"/>
    </row>
    <row r="839" ht="15.75" customHeight="1">
      <c r="A839" s="6"/>
    </row>
    <row r="840" ht="15.75" customHeight="1">
      <c r="A840" s="6"/>
    </row>
    <row r="841" ht="15.75" customHeight="1">
      <c r="A841" s="6"/>
    </row>
    <row r="842" ht="15.75" customHeight="1">
      <c r="A842" s="6"/>
    </row>
    <row r="843" ht="15.75" customHeight="1">
      <c r="A843" s="6"/>
    </row>
    <row r="844" ht="15.75" customHeight="1">
      <c r="A844" s="6"/>
    </row>
    <row r="845" ht="15.75" customHeight="1">
      <c r="A845" s="6"/>
    </row>
    <row r="846" ht="15.75" customHeight="1">
      <c r="A846" s="6"/>
    </row>
    <row r="847" ht="15.75" customHeight="1">
      <c r="A847" s="6"/>
    </row>
    <row r="848" ht="15.75" customHeight="1">
      <c r="A848" s="6"/>
    </row>
    <row r="849" ht="15.75" customHeight="1">
      <c r="A849" s="6"/>
    </row>
    <row r="850" ht="15.75" customHeight="1">
      <c r="A850" s="6"/>
    </row>
    <row r="851" ht="15.75" customHeight="1">
      <c r="A851" s="6"/>
    </row>
    <row r="852" ht="15.75" customHeight="1">
      <c r="A852" s="6"/>
    </row>
    <row r="853" ht="15.75" customHeight="1">
      <c r="A853" s="6"/>
    </row>
    <row r="854" ht="15.75" customHeight="1">
      <c r="A854" s="6"/>
    </row>
    <row r="855" ht="15.75" customHeight="1">
      <c r="A855" s="6"/>
    </row>
    <row r="856" ht="15.75" customHeight="1">
      <c r="A856" s="6"/>
    </row>
    <row r="857" ht="15.75" customHeight="1">
      <c r="A857" s="6"/>
    </row>
    <row r="858" ht="15.75" customHeight="1">
      <c r="A858" s="6"/>
    </row>
    <row r="859" ht="15.75" customHeight="1">
      <c r="A859" s="6"/>
    </row>
    <row r="860" ht="15.75" customHeight="1">
      <c r="A860" s="6"/>
    </row>
    <row r="861" ht="15.75" customHeight="1">
      <c r="A861" s="6"/>
    </row>
    <row r="862" ht="15.75" customHeight="1">
      <c r="A862" s="6"/>
    </row>
    <row r="863" ht="15.75" customHeight="1">
      <c r="A863" s="6"/>
    </row>
    <row r="864" ht="15.75" customHeight="1">
      <c r="A864" s="6"/>
    </row>
    <row r="865" ht="15.75" customHeight="1">
      <c r="A865" s="6"/>
    </row>
    <row r="866" ht="15.75" customHeight="1">
      <c r="A866" s="6"/>
    </row>
    <row r="867" ht="15.75" customHeight="1">
      <c r="A867" s="6"/>
    </row>
    <row r="868" ht="15.75" customHeight="1">
      <c r="A868" s="6"/>
    </row>
    <row r="869" ht="15.75" customHeight="1">
      <c r="A869" s="6"/>
    </row>
    <row r="870" ht="15.75" customHeight="1">
      <c r="A870" s="6"/>
    </row>
    <row r="871" ht="15.75" customHeight="1">
      <c r="A871" s="6"/>
    </row>
    <row r="872" ht="15.75" customHeight="1">
      <c r="A872" s="6"/>
    </row>
    <row r="873" ht="15.75" customHeight="1">
      <c r="A873" s="6"/>
    </row>
    <row r="874" ht="15.75" customHeight="1">
      <c r="A874" s="6"/>
    </row>
    <row r="875" ht="15.75" customHeight="1">
      <c r="A875" s="6"/>
    </row>
    <row r="876" ht="15.75" customHeight="1">
      <c r="A876" s="6"/>
    </row>
    <row r="877" ht="15.75" customHeight="1">
      <c r="A877" s="6"/>
    </row>
    <row r="878" ht="15.75" customHeight="1">
      <c r="A878" s="6"/>
    </row>
    <row r="879" ht="15.75" customHeight="1">
      <c r="A879" s="6"/>
    </row>
    <row r="880" ht="15.75" customHeight="1">
      <c r="A880" s="6"/>
    </row>
    <row r="881" ht="15.75" customHeight="1">
      <c r="A881" s="6"/>
    </row>
    <row r="882" ht="15.75" customHeight="1">
      <c r="A882" s="6"/>
    </row>
    <row r="883" ht="15.75" customHeight="1">
      <c r="A883" s="6"/>
    </row>
    <row r="884" ht="15.75" customHeight="1">
      <c r="A884" s="6"/>
    </row>
    <row r="885" ht="15.75" customHeight="1">
      <c r="A885" s="6"/>
    </row>
    <row r="886" ht="15.75" customHeight="1">
      <c r="A886" s="6"/>
    </row>
    <row r="887" ht="15.75" customHeight="1">
      <c r="A887" s="6"/>
    </row>
    <row r="888" ht="15.75" customHeight="1">
      <c r="A888" s="6"/>
    </row>
    <row r="889" ht="15.75" customHeight="1">
      <c r="A889" s="6"/>
    </row>
    <row r="890" ht="15.75" customHeight="1">
      <c r="A890" s="6"/>
    </row>
    <row r="891" ht="15.75" customHeight="1">
      <c r="A891" s="6"/>
    </row>
    <row r="892" ht="15.75" customHeight="1">
      <c r="A892" s="6"/>
    </row>
    <row r="893" ht="15.75" customHeight="1">
      <c r="A893" s="6"/>
    </row>
    <row r="894" ht="15.75" customHeight="1">
      <c r="A894" s="6"/>
    </row>
    <row r="895" ht="15.75" customHeight="1">
      <c r="A895" s="6"/>
    </row>
    <row r="896" ht="15.75" customHeight="1">
      <c r="A896" s="6"/>
    </row>
    <row r="897" ht="15.75" customHeight="1">
      <c r="A897" s="6"/>
    </row>
    <row r="898" ht="15.75" customHeight="1">
      <c r="A898" s="6"/>
    </row>
    <row r="899" ht="15.75" customHeight="1">
      <c r="A899" s="6"/>
    </row>
    <row r="900" ht="15.75" customHeight="1">
      <c r="A900" s="6"/>
    </row>
    <row r="901" ht="15.75" customHeight="1">
      <c r="A901" s="6"/>
    </row>
    <row r="902" ht="15.75" customHeight="1">
      <c r="A902" s="6"/>
    </row>
    <row r="903" ht="15.75" customHeight="1">
      <c r="A903" s="6"/>
    </row>
    <row r="904" ht="15.75" customHeight="1">
      <c r="A904" s="6"/>
    </row>
    <row r="905" ht="15.75" customHeight="1">
      <c r="A905" s="6"/>
    </row>
    <row r="906" ht="15.75" customHeight="1">
      <c r="A906" s="6"/>
    </row>
    <row r="907" ht="15.75" customHeight="1">
      <c r="A907" s="6"/>
    </row>
    <row r="908" ht="15.75" customHeight="1">
      <c r="A908" s="6"/>
    </row>
    <row r="909" ht="15.75" customHeight="1">
      <c r="A909" s="6"/>
    </row>
    <row r="910" ht="15.75" customHeight="1">
      <c r="A910" s="6"/>
    </row>
    <row r="911" ht="15.75" customHeight="1">
      <c r="A911" s="6"/>
    </row>
    <row r="912" ht="15.75" customHeight="1">
      <c r="A912" s="6"/>
    </row>
    <row r="913" ht="15.75" customHeight="1">
      <c r="A913" s="6"/>
    </row>
    <row r="914" ht="15.75" customHeight="1">
      <c r="A914" s="6"/>
    </row>
    <row r="915" ht="15.75" customHeight="1">
      <c r="A915" s="6"/>
    </row>
    <row r="916" ht="15.75" customHeight="1">
      <c r="A916" s="6"/>
    </row>
    <row r="917" ht="15.75" customHeight="1">
      <c r="A917" s="6"/>
    </row>
    <row r="918" ht="15.75" customHeight="1">
      <c r="A918" s="6"/>
    </row>
    <row r="919" ht="15.75" customHeight="1">
      <c r="A919" s="6"/>
    </row>
    <row r="920" ht="15.75" customHeight="1">
      <c r="A920" s="6"/>
    </row>
    <row r="921" ht="15.75" customHeight="1">
      <c r="A921" s="6"/>
    </row>
    <row r="922" ht="15.75" customHeight="1">
      <c r="A922" s="6"/>
    </row>
    <row r="923" ht="15.75" customHeight="1">
      <c r="A923" s="6"/>
    </row>
    <row r="924" ht="15.75" customHeight="1">
      <c r="A924" s="6"/>
    </row>
    <row r="925" ht="15.75" customHeight="1">
      <c r="A925" s="6"/>
    </row>
    <row r="926" ht="15.75" customHeight="1">
      <c r="A926" s="6"/>
    </row>
    <row r="927" ht="15.75" customHeight="1">
      <c r="A927" s="6"/>
    </row>
    <row r="928" ht="15.75" customHeight="1">
      <c r="A928" s="6"/>
    </row>
    <row r="929" ht="15.75" customHeight="1">
      <c r="A929" s="6"/>
    </row>
    <row r="930" ht="15.75" customHeight="1">
      <c r="A930" s="6"/>
    </row>
    <row r="931" ht="15.75" customHeight="1">
      <c r="A931" s="6"/>
    </row>
    <row r="932" ht="15.75" customHeight="1">
      <c r="A932" s="6"/>
    </row>
    <row r="933" ht="15.75" customHeight="1">
      <c r="A933" s="6"/>
    </row>
    <row r="934" ht="15.75" customHeight="1">
      <c r="A934" s="6"/>
    </row>
    <row r="935" ht="15.75" customHeight="1">
      <c r="A935" s="6"/>
    </row>
    <row r="936" ht="15.75" customHeight="1">
      <c r="A936" s="6"/>
    </row>
    <row r="937" ht="15.75" customHeight="1">
      <c r="A937" s="6"/>
    </row>
    <row r="938" ht="15.75" customHeight="1">
      <c r="A938" s="6"/>
    </row>
    <row r="939" ht="15.75" customHeight="1">
      <c r="A939" s="6"/>
    </row>
    <row r="940" ht="15.75" customHeight="1">
      <c r="A940" s="6"/>
    </row>
    <row r="941" ht="15.75" customHeight="1">
      <c r="A941" s="6"/>
    </row>
    <row r="942" ht="15.75" customHeight="1">
      <c r="A942" s="6"/>
    </row>
    <row r="943" ht="15.75" customHeight="1">
      <c r="A943" s="6"/>
    </row>
    <row r="944" ht="15.75" customHeight="1">
      <c r="A944" s="6"/>
    </row>
    <row r="945" ht="15.75" customHeight="1">
      <c r="A945" s="6"/>
    </row>
    <row r="946" ht="15.75" customHeight="1">
      <c r="A946" s="6"/>
    </row>
    <row r="947" ht="15.75" customHeight="1">
      <c r="A947" s="6"/>
    </row>
    <row r="948" ht="15.75" customHeight="1">
      <c r="A948" s="6"/>
    </row>
    <row r="949" ht="15.75" customHeight="1">
      <c r="A949" s="6"/>
    </row>
    <row r="950" ht="15.75" customHeight="1">
      <c r="A950" s="6"/>
    </row>
    <row r="951" ht="15.75" customHeight="1">
      <c r="A951" s="6"/>
    </row>
    <row r="952" ht="15.75" customHeight="1">
      <c r="A952" s="6"/>
    </row>
    <row r="953" ht="15.75" customHeight="1">
      <c r="A953" s="6"/>
    </row>
    <row r="954" ht="15.75" customHeight="1">
      <c r="A954" s="6"/>
    </row>
    <row r="955" ht="15.75" customHeight="1">
      <c r="A955" s="6"/>
    </row>
    <row r="956" ht="15.75" customHeight="1">
      <c r="A956" s="6"/>
    </row>
    <row r="957" ht="15.75" customHeight="1">
      <c r="A957" s="6"/>
    </row>
    <row r="958" ht="15.75" customHeight="1">
      <c r="A958" s="6"/>
    </row>
    <row r="959" ht="15.75" customHeight="1">
      <c r="A959" s="6"/>
    </row>
    <row r="960" ht="15.75" customHeight="1">
      <c r="A960" s="6"/>
    </row>
    <row r="961" ht="15.75" customHeight="1">
      <c r="A961" s="6"/>
    </row>
    <row r="962" ht="15.75" customHeight="1">
      <c r="A962" s="6"/>
    </row>
    <row r="963" ht="15.75" customHeight="1">
      <c r="A963" s="6"/>
    </row>
    <row r="964" ht="15.75" customHeight="1">
      <c r="A964" s="6"/>
    </row>
    <row r="965" ht="15.75" customHeight="1">
      <c r="A965" s="6"/>
    </row>
    <row r="966" ht="15.75" customHeight="1">
      <c r="A966" s="6"/>
    </row>
    <row r="967" ht="15.75" customHeight="1">
      <c r="A967" s="6"/>
    </row>
    <row r="968" ht="15.75" customHeight="1">
      <c r="A968" s="6"/>
    </row>
    <row r="969" ht="15.75" customHeight="1">
      <c r="A969" s="6"/>
    </row>
    <row r="970" ht="15.75" customHeight="1">
      <c r="A970" s="6"/>
    </row>
    <row r="971" ht="15.75" customHeight="1">
      <c r="A971" s="6"/>
    </row>
    <row r="972" ht="15.75" customHeight="1">
      <c r="A972" s="6"/>
    </row>
    <row r="973" ht="15.75" customHeight="1">
      <c r="A973" s="6"/>
    </row>
    <row r="974" ht="15.75" customHeight="1">
      <c r="A974" s="6"/>
    </row>
    <row r="975" ht="15.75" customHeight="1">
      <c r="A975" s="6"/>
    </row>
    <row r="976" ht="15.75" customHeight="1">
      <c r="A976" s="6"/>
    </row>
    <row r="977" ht="15.75" customHeight="1">
      <c r="A977" s="6"/>
    </row>
    <row r="978" ht="15.75" customHeight="1">
      <c r="A978" s="6"/>
    </row>
    <row r="979" ht="15.75" customHeight="1">
      <c r="A979" s="6"/>
    </row>
    <row r="980" ht="15.75" customHeight="1">
      <c r="A980" s="6"/>
    </row>
    <row r="981" ht="15.75" customHeight="1">
      <c r="A981" s="6"/>
    </row>
    <row r="982" ht="15.75" customHeight="1">
      <c r="A982" s="6"/>
    </row>
    <row r="983" ht="15.75" customHeight="1">
      <c r="A983" s="6"/>
    </row>
    <row r="984" ht="15.75" customHeight="1">
      <c r="A984" s="6"/>
    </row>
    <row r="985" ht="15.75" customHeight="1">
      <c r="A985" s="6"/>
    </row>
    <row r="986" ht="15.75" customHeight="1">
      <c r="A986" s="6"/>
    </row>
    <row r="987" ht="15.75" customHeight="1">
      <c r="A987" s="6"/>
    </row>
    <row r="988" ht="15.75" customHeight="1">
      <c r="A988" s="6"/>
    </row>
    <row r="989" ht="15.75" customHeight="1">
      <c r="A989" s="6"/>
    </row>
    <row r="990" ht="15.75" customHeight="1">
      <c r="A990" s="6"/>
    </row>
    <row r="991" ht="15.75" customHeight="1">
      <c r="A991" s="6"/>
    </row>
    <row r="992" ht="15.75" customHeight="1">
      <c r="A992" s="6"/>
    </row>
    <row r="993" ht="15.75" customHeight="1">
      <c r="A993" s="6"/>
    </row>
    <row r="994" ht="15.75" customHeight="1">
      <c r="A994" s="6"/>
    </row>
    <row r="995" ht="15.75" customHeight="1">
      <c r="A995" s="6"/>
    </row>
    <row r="996" ht="15.75" customHeight="1">
      <c r="A996" s="6"/>
    </row>
    <row r="997" ht="15.75" customHeight="1">
      <c r="A997" s="6"/>
    </row>
    <row r="998" ht="15.75" customHeight="1">
      <c r="A998" s="6"/>
    </row>
    <row r="999" ht="15.75" customHeight="1">
      <c r="A999" s="6"/>
    </row>
    <row r="1000" ht="15.75" customHeight="1">
      <c r="A1000" s="6"/>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26.0"/>
    <col customWidth="1" min="3" max="3" width="24.0"/>
    <col customWidth="1" min="4" max="4" width="16.0"/>
    <col customWidth="1" min="5" max="5" width="30.0"/>
    <col customWidth="1" min="6" max="8" width="8.71"/>
    <col customWidth="1" min="9" max="9" width="24.0"/>
    <col customWidth="1" min="10" max="10" width="8.71"/>
    <col customWidth="1" min="11" max="11" width="22.0"/>
    <col customWidth="1" min="12" max="22" width="8.71"/>
    <col customWidth="1" min="23" max="23" width="17.0"/>
    <col customWidth="1" min="24" max="27" width="8.71"/>
    <col customWidth="1" min="28" max="30" width="16.0"/>
    <col customWidth="1" min="31" max="31" width="8.71"/>
    <col customWidth="1" min="32" max="32" width="20.0"/>
    <col customWidth="1" min="33" max="36" width="8.71"/>
    <col customWidth="1" min="37" max="37" width="18.0"/>
    <col customWidth="1" min="38" max="38" width="26.0"/>
    <col customWidth="1" min="39" max="45" width="8.71"/>
    <col customWidth="1" min="46" max="46" width="28.0"/>
    <col customWidth="1" min="47" max="47" width="8.71"/>
    <col customWidth="1" min="48" max="48" width="40.0"/>
    <col customWidth="1" min="49" max="49" width="26.0"/>
    <col customWidth="1" min="50" max="55" width="8.71"/>
    <col customWidth="1" min="56" max="56" width="60.0"/>
  </cols>
  <sheetData>
    <row r="1" ht="33.75" customHeight="1">
      <c r="A1" s="2" t="s">
        <v>1</v>
      </c>
      <c r="B1" s="2" t="s">
        <v>3</v>
      </c>
      <c r="C1" s="2" t="s">
        <v>30</v>
      </c>
      <c r="D1" s="2" t="s">
        <v>33</v>
      </c>
      <c r="E1" s="2" t="s">
        <v>9</v>
      </c>
      <c r="F1" s="2" t="s">
        <v>5</v>
      </c>
      <c r="G1" s="2" t="s">
        <v>7</v>
      </c>
      <c r="H1" s="2" t="s">
        <v>4</v>
      </c>
      <c r="I1" s="2" t="s">
        <v>10</v>
      </c>
      <c r="J1" s="2" t="s">
        <v>40</v>
      </c>
      <c r="K1" s="2" t="s">
        <v>42</v>
      </c>
      <c r="L1" s="2" t="s">
        <v>45</v>
      </c>
      <c r="M1" s="2" t="s">
        <v>46</v>
      </c>
      <c r="N1" s="2" t="s">
        <v>48</v>
      </c>
      <c r="O1" s="2" t="s">
        <v>11</v>
      </c>
      <c r="P1" s="2" t="s">
        <v>53</v>
      </c>
      <c r="Q1" s="2" t="s">
        <v>55</v>
      </c>
      <c r="R1" s="2" t="s">
        <v>57</v>
      </c>
      <c r="S1" s="2" t="s">
        <v>12</v>
      </c>
      <c r="T1" s="2" t="s">
        <v>59</v>
      </c>
      <c r="U1" s="2" t="s">
        <v>60</v>
      </c>
      <c r="V1" s="2" t="s">
        <v>61</v>
      </c>
      <c r="W1" s="2" t="s">
        <v>16</v>
      </c>
      <c r="X1" s="2" t="s">
        <v>64</v>
      </c>
      <c r="Y1" s="2" t="s">
        <v>67</v>
      </c>
      <c r="Z1" s="2" t="s">
        <v>14</v>
      </c>
      <c r="AA1" s="2" t="s">
        <v>15</v>
      </c>
      <c r="AB1" s="2" t="s">
        <v>18</v>
      </c>
      <c r="AC1" s="2" t="s">
        <v>19</v>
      </c>
      <c r="AD1" s="2" t="s">
        <v>21</v>
      </c>
      <c r="AE1" s="2" t="s">
        <v>82</v>
      </c>
      <c r="AF1" s="2" t="s">
        <v>23</v>
      </c>
      <c r="AG1" s="2" t="s">
        <v>89</v>
      </c>
      <c r="AH1" s="2" t="s">
        <v>91</v>
      </c>
      <c r="AI1" s="2" t="s">
        <v>93</v>
      </c>
      <c r="AJ1" s="2" t="s">
        <v>95</v>
      </c>
      <c r="AK1" s="2" t="s">
        <v>24</v>
      </c>
      <c r="AL1" s="2" t="s">
        <v>98</v>
      </c>
      <c r="AM1" s="2" t="s">
        <v>100</v>
      </c>
      <c r="AN1" s="2" t="s">
        <v>104</v>
      </c>
      <c r="AO1" s="2" t="s">
        <v>105</v>
      </c>
      <c r="AP1" s="2" t="s">
        <v>108</v>
      </c>
      <c r="AQ1" s="2" t="s">
        <v>111</v>
      </c>
      <c r="AR1" s="2" t="s">
        <v>112</v>
      </c>
      <c r="AS1" s="2" t="s">
        <v>115</v>
      </c>
      <c r="AT1" s="2" t="s">
        <v>118</v>
      </c>
      <c r="AU1" s="2" t="s">
        <v>122</v>
      </c>
      <c r="AV1" s="2" t="s">
        <v>125</v>
      </c>
      <c r="AW1" s="2" t="s">
        <v>126</v>
      </c>
      <c r="AX1" s="2" t="s">
        <v>128</v>
      </c>
      <c r="AY1" s="2" t="s">
        <v>132</v>
      </c>
      <c r="AZ1" s="2" t="s">
        <v>134</v>
      </c>
      <c r="BA1" s="2" t="s">
        <v>137</v>
      </c>
      <c r="BB1" s="2" t="s">
        <v>139</v>
      </c>
      <c r="BC1" s="2" t="s">
        <v>144</v>
      </c>
      <c r="BD1" s="2" t="s">
        <v>146</v>
      </c>
    </row>
    <row r="2" ht="102.0" customHeight="1">
      <c r="A2" s="8" t="s">
        <v>28</v>
      </c>
      <c r="B2" s="8" t="s">
        <v>34</v>
      </c>
      <c r="C2" s="8" t="s">
        <v>157</v>
      </c>
      <c r="D2" s="8" t="b">
        <f t="shared" ref="D2:D34" si="2">TRUE()</f>
        <v>1</v>
      </c>
      <c r="E2" s="10" t="s">
        <v>49</v>
      </c>
      <c r="F2" s="9">
        <v>45985.0</v>
      </c>
      <c r="G2" s="9">
        <v>46160.0</v>
      </c>
      <c r="H2" s="8">
        <v>23.0</v>
      </c>
      <c r="I2" s="8" t="s">
        <v>54</v>
      </c>
      <c r="J2" s="9">
        <v>46006.0</v>
      </c>
      <c r="K2" s="8" t="s">
        <v>54</v>
      </c>
      <c r="L2" s="8" t="b">
        <f t="shared" ref="L2:L3" si="3">TRUE()</f>
        <v>1</v>
      </c>
      <c r="M2" s="9">
        <v>45957.0</v>
      </c>
      <c r="N2" s="8" t="b">
        <f t="shared" ref="N2:N8" si="4">TRUE()</f>
        <v>1</v>
      </c>
      <c r="O2" s="9">
        <v>45985.0</v>
      </c>
      <c r="P2" s="8" t="b">
        <f t="shared" ref="P2:P4" si="5">TRUE()</f>
        <v>1</v>
      </c>
      <c r="Q2" s="9">
        <v>45999.0</v>
      </c>
      <c r="R2" s="8" t="b">
        <f t="shared" ref="R2:R4" si="6">TRUE()</f>
        <v>1</v>
      </c>
      <c r="S2" s="9">
        <v>46006.0</v>
      </c>
      <c r="T2" s="8">
        <v>27.0</v>
      </c>
      <c r="U2" s="9">
        <v>45957.0</v>
      </c>
      <c r="V2" s="9">
        <v>46160.0</v>
      </c>
      <c r="W2" s="8" t="s">
        <v>66</v>
      </c>
      <c r="X2" s="8" t="s">
        <v>204</v>
      </c>
      <c r="Y2" s="8" t="s">
        <v>205</v>
      </c>
      <c r="Z2" s="8" t="s">
        <v>56</v>
      </c>
      <c r="AA2" s="13">
        <v>1.5E7</v>
      </c>
      <c r="AB2" s="8"/>
      <c r="AC2" s="8" t="s">
        <v>70</v>
      </c>
      <c r="AD2" s="8" t="s">
        <v>71</v>
      </c>
      <c r="AE2" s="8" t="s">
        <v>214</v>
      </c>
      <c r="AF2" s="8" t="s">
        <v>72</v>
      </c>
      <c r="AG2" s="8" t="s">
        <v>216</v>
      </c>
      <c r="AH2" s="8" t="s">
        <v>218</v>
      </c>
      <c r="AI2" s="8" t="s">
        <v>218</v>
      </c>
      <c r="AJ2" s="8" t="s">
        <v>220</v>
      </c>
      <c r="AK2" s="8" t="s">
        <v>74</v>
      </c>
      <c r="AL2" s="8" t="s">
        <v>223</v>
      </c>
      <c r="AM2" s="8" t="b">
        <f>TRUE()</f>
        <v>1</v>
      </c>
      <c r="AN2" s="8" t="s">
        <v>227</v>
      </c>
      <c r="AO2" s="8">
        <v>2.85295012E8</v>
      </c>
      <c r="AP2" s="8">
        <v>2.22880477E8</v>
      </c>
      <c r="AQ2" s="8" t="s">
        <v>228</v>
      </c>
      <c r="AR2" s="8" t="s">
        <v>228</v>
      </c>
      <c r="AS2" s="8" t="s">
        <v>229</v>
      </c>
      <c r="AT2" s="10"/>
      <c r="AU2" s="8" t="b">
        <f>FALSE()</f>
        <v>0</v>
      </c>
      <c r="AV2" s="10"/>
      <c r="AW2" s="8" t="s">
        <v>233</v>
      </c>
      <c r="AX2" s="8">
        <v>0.0</v>
      </c>
      <c r="AY2" s="8" t="b">
        <f t="shared" ref="AY2:BC2" si="1">FALSE()</f>
        <v>0</v>
      </c>
      <c r="AZ2" s="8" t="b">
        <f t="shared" si="1"/>
        <v>0</v>
      </c>
      <c r="BA2" s="8" t="b">
        <f t="shared" si="1"/>
        <v>0</v>
      </c>
      <c r="BB2" s="8" t="b">
        <f t="shared" si="1"/>
        <v>0</v>
      </c>
      <c r="BC2" s="8" t="b">
        <f t="shared" si="1"/>
        <v>0</v>
      </c>
      <c r="BD2" s="10" t="s">
        <v>245</v>
      </c>
    </row>
    <row r="3" ht="90.75" customHeight="1">
      <c r="A3" s="8" t="s">
        <v>77</v>
      </c>
      <c r="B3" s="8" t="s">
        <v>78</v>
      </c>
      <c r="C3" s="8" t="s">
        <v>248</v>
      </c>
      <c r="D3" s="8" t="b">
        <f t="shared" si="2"/>
        <v>1</v>
      </c>
      <c r="E3" s="10" t="s">
        <v>81</v>
      </c>
      <c r="F3" s="9">
        <v>45944.0</v>
      </c>
      <c r="G3" s="9">
        <v>46230.0</v>
      </c>
      <c r="H3" s="8">
        <v>21.0</v>
      </c>
      <c r="I3" s="8" t="s">
        <v>54</v>
      </c>
      <c r="J3" s="9">
        <v>46153.0</v>
      </c>
      <c r="K3" s="8" t="s">
        <v>54</v>
      </c>
      <c r="L3" s="8" t="b">
        <f t="shared" si="3"/>
        <v>1</v>
      </c>
      <c r="M3" s="9">
        <v>46055.0</v>
      </c>
      <c r="N3" s="8" t="b">
        <f t="shared" si="4"/>
        <v>1</v>
      </c>
      <c r="O3" s="9">
        <v>45944.0</v>
      </c>
      <c r="P3" s="8" t="b">
        <f t="shared" si="5"/>
        <v>1</v>
      </c>
      <c r="Q3" s="9">
        <v>46146.0</v>
      </c>
      <c r="R3" s="8" t="b">
        <f t="shared" si="6"/>
        <v>1</v>
      </c>
      <c r="S3" s="9">
        <v>46153.0</v>
      </c>
      <c r="T3" s="8">
        <v>40.0</v>
      </c>
      <c r="U3" s="9">
        <v>45944.0</v>
      </c>
      <c r="V3" s="9">
        <v>46258.0</v>
      </c>
      <c r="W3" s="8" t="s">
        <v>83</v>
      </c>
      <c r="X3" s="8" t="s">
        <v>266</v>
      </c>
      <c r="Y3" s="8" t="s">
        <v>205</v>
      </c>
      <c r="Z3" s="8" t="s">
        <v>56</v>
      </c>
      <c r="AA3" s="13"/>
      <c r="AB3" s="8" t="s">
        <v>85</v>
      </c>
      <c r="AC3" s="8" t="s">
        <v>86</v>
      </c>
      <c r="AD3" s="8" t="s">
        <v>87</v>
      </c>
      <c r="AE3" s="8" t="s">
        <v>87</v>
      </c>
      <c r="AF3" s="8"/>
      <c r="AG3" s="8"/>
      <c r="AH3" s="8"/>
      <c r="AI3" s="8"/>
      <c r="AJ3" s="8"/>
      <c r="AK3" s="8"/>
      <c r="AL3" s="8"/>
      <c r="AM3" s="8" t="b">
        <f t="shared" ref="AM3:AM4" si="7">FALSE()</f>
        <v>0</v>
      </c>
      <c r="AN3" s="8"/>
      <c r="AO3" s="8"/>
      <c r="AP3" s="8"/>
      <c r="AQ3" s="8"/>
      <c r="AR3" s="8"/>
      <c r="AS3" s="8"/>
      <c r="AT3" s="10" t="s">
        <v>282</v>
      </c>
      <c r="AU3" s="8">
        <v>1.0</v>
      </c>
      <c r="AV3" s="10" t="s">
        <v>285</v>
      </c>
      <c r="AW3" s="8" t="s">
        <v>286</v>
      </c>
      <c r="AX3" s="8">
        <v>2.0</v>
      </c>
      <c r="AY3" s="8">
        <v>0.0</v>
      </c>
      <c r="AZ3" s="8">
        <v>0.0</v>
      </c>
      <c r="BA3" s="8">
        <v>0.0</v>
      </c>
      <c r="BB3" s="8">
        <v>1.0</v>
      </c>
      <c r="BC3" s="8">
        <v>1.0</v>
      </c>
      <c r="BD3" s="10"/>
    </row>
    <row r="4" ht="79.5" customHeight="1">
      <c r="A4" s="8" t="s">
        <v>90</v>
      </c>
      <c r="B4" s="8" t="s">
        <v>92</v>
      </c>
      <c r="C4" s="8" t="s">
        <v>291</v>
      </c>
      <c r="D4" s="8" t="b">
        <f t="shared" si="2"/>
        <v>1</v>
      </c>
      <c r="E4" s="10" t="s">
        <v>96</v>
      </c>
      <c r="F4" s="9">
        <v>45944.0</v>
      </c>
      <c r="G4" s="9">
        <v>46070.0</v>
      </c>
      <c r="H4" s="8">
        <v>17.0</v>
      </c>
      <c r="I4" s="8" t="s">
        <v>54</v>
      </c>
      <c r="J4" s="9">
        <v>45992.0</v>
      </c>
      <c r="K4" s="8" t="s">
        <v>54</v>
      </c>
      <c r="L4" s="8" t="b">
        <f>FALSE()</f>
        <v>0</v>
      </c>
      <c r="M4" s="9"/>
      <c r="N4" s="8" t="b">
        <f t="shared" si="4"/>
        <v>1</v>
      </c>
      <c r="O4" s="9">
        <v>45944.0</v>
      </c>
      <c r="P4" s="8" t="b">
        <f t="shared" si="5"/>
        <v>1</v>
      </c>
      <c r="Q4" s="9">
        <v>45950.0</v>
      </c>
      <c r="R4" s="8" t="b">
        <f t="shared" si="6"/>
        <v>1</v>
      </c>
      <c r="S4" s="9">
        <v>45992.0</v>
      </c>
      <c r="T4" s="8">
        <v>17.0</v>
      </c>
      <c r="U4" s="9">
        <v>45944.0</v>
      </c>
      <c r="V4" s="9">
        <v>46070.0</v>
      </c>
      <c r="W4" s="8"/>
      <c r="X4" s="8" t="s">
        <v>301</v>
      </c>
      <c r="Y4" s="8"/>
      <c r="Z4" s="8" t="s">
        <v>56</v>
      </c>
      <c r="AA4" s="13">
        <v>6.0E7</v>
      </c>
      <c r="AB4" s="8" t="s">
        <v>101</v>
      </c>
      <c r="AC4" s="8" t="s">
        <v>103</v>
      </c>
      <c r="AD4" s="8" t="s">
        <v>87</v>
      </c>
      <c r="AE4" s="8" t="s">
        <v>87</v>
      </c>
      <c r="AF4" s="8"/>
      <c r="AG4" s="8"/>
      <c r="AH4" s="8"/>
      <c r="AI4" s="8"/>
      <c r="AJ4" s="8"/>
      <c r="AK4" s="8" t="s">
        <v>305</v>
      </c>
      <c r="AL4" s="8"/>
      <c r="AM4" s="8" t="b">
        <f t="shared" si="7"/>
        <v>0</v>
      </c>
      <c r="AN4" s="8"/>
      <c r="AO4" s="8"/>
      <c r="AP4" s="8"/>
      <c r="AQ4" s="8"/>
      <c r="AR4" s="8"/>
      <c r="AS4" s="8"/>
      <c r="AT4" s="10"/>
      <c r="AU4" s="8">
        <v>1.0</v>
      </c>
      <c r="AV4" s="10" t="s">
        <v>309</v>
      </c>
      <c r="AW4" s="8" t="s">
        <v>233</v>
      </c>
      <c r="AX4" s="8">
        <v>0.0</v>
      </c>
      <c r="AY4" s="8">
        <v>0.0</v>
      </c>
      <c r="AZ4" s="8">
        <v>0.0</v>
      </c>
      <c r="BA4" s="8">
        <v>0.0</v>
      </c>
      <c r="BB4" s="8">
        <v>0.0</v>
      </c>
      <c r="BC4" s="8">
        <v>0.0</v>
      </c>
      <c r="BD4" s="10"/>
    </row>
    <row r="5" ht="102.0" customHeight="1">
      <c r="A5" s="8" t="s">
        <v>107</v>
      </c>
      <c r="B5" s="8" t="s">
        <v>109</v>
      </c>
      <c r="C5" s="8" t="s">
        <v>312</v>
      </c>
      <c r="D5" s="8" t="b">
        <f t="shared" si="2"/>
        <v>1</v>
      </c>
      <c r="E5" s="10" t="s">
        <v>114</v>
      </c>
      <c r="F5" s="9">
        <v>46153.0</v>
      </c>
      <c r="G5" s="9">
        <v>46258.0</v>
      </c>
      <c r="H5" s="8">
        <v>11.0</v>
      </c>
      <c r="I5" s="8" t="s">
        <v>116</v>
      </c>
      <c r="J5" s="9">
        <v>46168.0</v>
      </c>
      <c r="K5" s="8" t="s">
        <v>313</v>
      </c>
      <c r="L5" s="8" t="b">
        <f t="shared" ref="L5:L6" si="9">TRUE()</f>
        <v>1</v>
      </c>
      <c r="M5" s="9">
        <v>46146.0</v>
      </c>
      <c r="N5" s="8" t="b">
        <f t="shared" si="4"/>
        <v>1</v>
      </c>
      <c r="O5" s="9">
        <v>46168.0</v>
      </c>
      <c r="P5" s="8" t="b">
        <f>FALSE()</f>
        <v>0</v>
      </c>
      <c r="Q5" s="9"/>
      <c r="R5" s="8" t="b">
        <f>FALSE()</f>
        <v>0</v>
      </c>
      <c r="S5" s="9"/>
      <c r="T5" s="8">
        <v>17.0</v>
      </c>
      <c r="U5" s="9">
        <v>46146.0</v>
      </c>
      <c r="V5" s="9">
        <v>46265.0</v>
      </c>
      <c r="W5" s="8" t="s">
        <v>121</v>
      </c>
      <c r="X5" s="8" t="s">
        <v>204</v>
      </c>
      <c r="Y5" s="8" t="s">
        <v>317</v>
      </c>
      <c r="Z5" s="8" t="s">
        <v>119</v>
      </c>
      <c r="AA5" s="13">
        <v>3000000.0</v>
      </c>
      <c r="AB5" s="8" t="s">
        <v>123</v>
      </c>
      <c r="AC5" s="8" t="s">
        <v>103</v>
      </c>
      <c r="AD5" s="8" t="s">
        <v>87</v>
      </c>
      <c r="AE5" s="8" t="s">
        <v>87</v>
      </c>
      <c r="AF5" s="8" t="s">
        <v>116</v>
      </c>
      <c r="AG5" s="8" t="s">
        <v>216</v>
      </c>
      <c r="AH5" s="8"/>
      <c r="AI5" s="8"/>
      <c r="AJ5" s="8"/>
      <c r="AK5" s="8" t="s">
        <v>127</v>
      </c>
      <c r="AL5" s="8" t="s">
        <v>318</v>
      </c>
      <c r="AM5" s="8" t="b">
        <f t="shared" ref="AM5:AM11" si="10">TRUE()</f>
        <v>1</v>
      </c>
      <c r="AN5" s="8" t="s">
        <v>319</v>
      </c>
      <c r="AO5" s="8">
        <v>2.92973343E8</v>
      </c>
      <c r="AP5" s="8">
        <v>2.38737706E8</v>
      </c>
      <c r="AQ5" s="8" t="s">
        <v>320</v>
      </c>
      <c r="AR5" s="8" t="s">
        <v>320</v>
      </c>
      <c r="AS5" s="8" t="s">
        <v>321</v>
      </c>
      <c r="AT5" s="10"/>
      <c r="AU5" s="8" t="b">
        <f>TRUE()</f>
        <v>1</v>
      </c>
      <c r="AV5" s="10" t="s">
        <v>323</v>
      </c>
      <c r="AW5" s="8" t="s">
        <v>233</v>
      </c>
      <c r="AX5" s="8">
        <v>0.0</v>
      </c>
      <c r="AY5" s="8" t="b">
        <f t="shared" ref="AY5:BC5" si="8">FALSE()</f>
        <v>0</v>
      </c>
      <c r="AZ5" s="8" t="b">
        <f t="shared" si="8"/>
        <v>0</v>
      </c>
      <c r="BA5" s="8" t="b">
        <f t="shared" si="8"/>
        <v>0</v>
      </c>
      <c r="BB5" s="8" t="b">
        <f t="shared" si="8"/>
        <v>0</v>
      </c>
      <c r="BC5" s="8" t="b">
        <f t="shared" si="8"/>
        <v>0</v>
      </c>
      <c r="BD5" s="10" t="s">
        <v>325</v>
      </c>
    </row>
    <row r="6" ht="90.75" customHeight="1">
      <c r="A6" s="8" t="s">
        <v>130</v>
      </c>
      <c r="B6" s="8" t="s">
        <v>131</v>
      </c>
      <c r="C6" s="8" t="s">
        <v>326</v>
      </c>
      <c r="D6" s="8" t="b">
        <f t="shared" si="2"/>
        <v>1</v>
      </c>
      <c r="E6" s="10" t="s">
        <v>135</v>
      </c>
      <c r="F6" s="9">
        <v>46076.0</v>
      </c>
      <c r="G6" s="9">
        <v>46132.0</v>
      </c>
      <c r="H6" s="8">
        <v>8.0</v>
      </c>
      <c r="I6" s="8" t="s">
        <v>54</v>
      </c>
      <c r="J6" s="9">
        <v>46111.0</v>
      </c>
      <c r="K6" s="8" t="s">
        <v>54</v>
      </c>
      <c r="L6" s="8" t="b">
        <f t="shared" si="9"/>
        <v>1</v>
      </c>
      <c r="M6" s="9">
        <v>45944.0</v>
      </c>
      <c r="N6" s="8" t="b">
        <f t="shared" si="4"/>
        <v>1</v>
      </c>
      <c r="O6" s="9">
        <v>46097.0</v>
      </c>
      <c r="P6" s="8" t="b">
        <f t="shared" ref="P6:P7" si="12">TRUE()</f>
        <v>1</v>
      </c>
      <c r="Q6" s="9">
        <v>46104.0</v>
      </c>
      <c r="R6" s="8" t="b">
        <f t="shared" ref="R6:R7" si="13">TRUE()</f>
        <v>1</v>
      </c>
      <c r="S6" s="9">
        <v>46111.0</v>
      </c>
      <c r="T6" s="8">
        <v>26.0</v>
      </c>
      <c r="U6" s="9">
        <v>45944.0</v>
      </c>
      <c r="V6" s="9">
        <v>46132.0</v>
      </c>
      <c r="W6" s="8" t="s">
        <v>140</v>
      </c>
      <c r="X6" s="8" t="s">
        <v>204</v>
      </c>
      <c r="Y6" s="8" t="s">
        <v>328</v>
      </c>
      <c r="Z6" s="8" t="s">
        <v>119</v>
      </c>
      <c r="AA6" s="13">
        <v>1.0E7</v>
      </c>
      <c r="AB6" s="8" t="s">
        <v>141</v>
      </c>
      <c r="AC6" s="8" t="s">
        <v>143</v>
      </c>
      <c r="AD6" s="8" t="s">
        <v>87</v>
      </c>
      <c r="AE6" s="8" t="s">
        <v>87</v>
      </c>
      <c r="AF6" s="8" t="s">
        <v>145</v>
      </c>
      <c r="AG6" s="8"/>
      <c r="AH6" s="8"/>
      <c r="AI6" s="8"/>
      <c r="AJ6" s="8"/>
      <c r="AK6" s="8" t="s">
        <v>74</v>
      </c>
      <c r="AL6" s="8" t="s">
        <v>223</v>
      </c>
      <c r="AM6" s="8" t="b">
        <f t="shared" si="10"/>
        <v>1</v>
      </c>
      <c r="AN6" s="8" t="s">
        <v>227</v>
      </c>
      <c r="AO6" s="8">
        <v>3.00600234E8</v>
      </c>
      <c r="AP6" s="8">
        <v>2.18554332E8</v>
      </c>
      <c r="AQ6" s="8" t="s">
        <v>329</v>
      </c>
      <c r="AR6" s="8" t="s">
        <v>329</v>
      </c>
      <c r="AS6" s="8" t="s">
        <v>330</v>
      </c>
      <c r="AT6" s="10"/>
      <c r="AU6" s="8" t="b">
        <f>FALSE()</f>
        <v>0</v>
      </c>
      <c r="AV6" s="10"/>
      <c r="AW6" s="8" t="s">
        <v>233</v>
      </c>
      <c r="AX6" s="8">
        <v>0.0</v>
      </c>
      <c r="AY6" s="8" t="b">
        <f t="shared" ref="AY6:BC6" si="11">FALSE()</f>
        <v>0</v>
      </c>
      <c r="AZ6" s="8" t="b">
        <f t="shared" si="11"/>
        <v>0</v>
      </c>
      <c r="BA6" s="8" t="b">
        <f t="shared" si="11"/>
        <v>0</v>
      </c>
      <c r="BB6" s="8" t="b">
        <f t="shared" si="11"/>
        <v>0</v>
      </c>
      <c r="BC6" s="8" t="b">
        <f t="shared" si="11"/>
        <v>0</v>
      </c>
      <c r="BD6" s="10" t="s">
        <v>333</v>
      </c>
    </row>
    <row r="7" ht="34.5" customHeight="1">
      <c r="A7" s="8" t="s">
        <v>148</v>
      </c>
      <c r="B7" s="8" t="s">
        <v>149</v>
      </c>
      <c r="C7" s="8" t="s">
        <v>334</v>
      </c>
      <c r="D7" s="8" t="b">
        <f t="shared" si="2"/>
        <v>1</v>
      </c>
      <c r="E7" s="10" t="s">
        <v>151</v>
      </c>
      <c r="F7" s="9">
        <v>46083.0</v>
      </c>
      <c r="G7" s="9">
        <v>46118.0</v>
      </c>
      <c r="H7" s="8">
        <v>6.0</v>
      </c>
      <c r="I7" s="8" t="s">
        <v>54</v>
      </c>
      <c r="J7" s="9">
        <v>46111.0</v>
      </c>
      <c r="K7" s="8" t="s">
        <v>54</v>
      </c>
      <c r="L7" s="8" t="b">
        <f>FALSE()</f>
        <v>0</v>
      </c>
      <c r="M7" s="9"/>
      <c r="N7" s="8" t="b">
        <f t="shared" si="4"/>
        <v>1</v>
      </c>
      <c r="O7" s="9">
        <v>46083.0</v>
      </c>
      <c r="P7" s="8" t="b">
        <f t="shared" si="12"/>
        <v>1</v>
      </c>
      <c r="Q7" s="9">
        <v>46090.0</v>
      </c>
      <c r="R7" s="8" t="b">
        <f t="shared" si="13"/>
        <v>1</v>
      </c>
      <c r="S7" s="9">
        <v>46111.0</v>
      </c>
      <c r="T7" s="8">
        <v>6.0</v>
      </c>
      <c r="U7" s="9">
        <v>46083.0</v>
      </c>
      <c r="V7" s="9">
        <v>46118.0</v>
      </c>
      <c r="W7" s="8" t="s">
        <v>121</v>
      </c>
      <c r="X7" s="8" t="s">
        <v>204</v>
      </c>
      <c r="Y7" s="8"/>
      <c r="Z7" s="8" t="s">
        <v>119</v>
      </c>
      <c r="AA7" s="13">
        <v>1.5E7</v>
      </c>
      <c r="AB7" s="8" t="s">
        <v>336</v>
      </c>
      <c r="AC7" s="8" t="s">
        <v>143</v>
      </c>
      <c r="AD7" s="8" t="s">
        <v>87</v>
      </c>
      <c r="AE7" s="8" t="s">
        <v>87</v>
      </c>
      <c r="AF7" s="8" t="s">
        <v>72</v>
      </c>
      <c r="AG7" s="8" t="s">
        <v>216</v>
      </c>
      <c r="AH7" s="8"/>
      <c r="AI7" s="8"/>
      <c r="AJ7" s="8"/>
      <c r="AK7" s="8" t="s">
        <v>154</v>
      </c>
      <c r="AL7" s="8" t="s">
        <v>337</v>
      </c>
      <c r="AM7" s="8" t="b">
        <f t="shared" si="10"/>
        <v>1</v>
      </c>
      <c r="AN7" s="8" t="s">
        <v>338</v>
      </c>
      <c r="AO7" s="8">
        <v>2.90076693E8</v>
      </c>
      <c r="AP7" s="8">
        <v>2.34062557E8</v>
      </c>
      <c r="AQ7" s="8" t="s">
        <v>339</v>
      </c>
      <c r="AR7" s="8" t="s">
        <v>340</v>
      </c>
      <c r="AS7" s="8" t="s">
        <v>341</v>
      </c>
      <c r="AT7" s="10"/>
      <c r="AU7" s="8">
        <v>1.0</v>
      </c>
      <c r="AV7" s="10" t="s">
        <v>343</v>
      </c>
      <c r="AW7" s="8" t="s">
        <v>233</v>
      </c>
      <c r="AX7" s="8">
        <v>0.0</v>
      </c>
      <c r="AY7" s="8">
        <v>0.0</v>
      </c>
      <c r="AZ7" s="8">
        <v>0.0</v>
      </c>
      <c r="BA7" s="8">
        <v>0.0</v>
      </c>
      <c r="BB7" s="8">
        <v>0.0</v>
      </c>
      <c r="BC7" s="8">
        <v>0.0</v>
      </c>
      <c r="BD7" s="10"/>
    </row>
    <row r="8" ht="113.25" customHeight="1">
      <c r="A8" s="8" t="s">
        <v>156</v>
      </c>
      <c r="B8" s="8" t="s">
        <v>158</v>
      </c>
      <c r="C8" s="8" t="s">
        <v>344</v>
      </c>
      <c r="D8" s="8" t="b">
        <f t="shared" si="2"/>
        <v>1</v>
      </c>
      <c r="E8" s="10" t="s">
        <v>161</v>
      </c>
      <c r="F8" s="9">
        <v>46188.0</v>
      </c>
      <c r="G8" s="9">
        <v>46265.0</v>
      </c>
      <c r="H8" s="8">
        <v>6.0</v>
      </c>
      <c r="I8" s="8" t="s">
        <v>116</v>
      </c>
      <c r="J8" s="9">
        <v>46251.0</v>
      </c>
      <c r="K8" s="8" t="s">
        <v>116</v>
      </c>
      <c r="L8" s="8" t="b">
        <f t="shared" ref="L8:L14" si="15">TRUE()</f>
        <v>1</v>
      </c>
      <c r="M8" s="9">
        <v>46153.0</v>
      </c>
      <c r="N8" s="8" t="b">
        <f t="shared" si="4"/>
        <v>1</v>
      </c>
      <c r="O8" s="9">
        <v>46251.0</v>
      </c>
      <c r="P8" s="8" t="b">
        <f t="shared" ref="P8:P186" si="16">FALSE()</f>
        <v>0</v>
      </c>
      <c r="Q8" s="9"/>
      <c r="R8" s="8" t="b">
        <f t="shared" ref="R8:R12" si="17">FALSE()</f>
        <v>0</v>
      </c>
      <c r="S8" s="9"/>
      <c r="T8" s="8">
        <v>15.0</v>
      </c>
      <c r="U8" s="9">
        <v>46146.0</v>
      </c>
      <c r="V8" s="9">
        <v>46265.0</v>
      </c>
      <c r="W8" s="8" t="s">
        <v>121</v>
      </c>
      <c r="X8" s="8" t="s">
        <v>204</v>
      </c>
      <c r="Y8" s="8" t="s">
        <v>317</v>
      </c>
      <c r="Z8" s="8" t="s">
        <v>119</v>
      </c>
      <c r="AA8" s="13">
        <v>1.0E7</v>
      </c>
      <c r="AB8" s="8" t="s">
        <v>164</v>
      </c>
      <c r="AC8" s="8" t="s">
        <v>166</v>
      </c>
      <c r="AD8" s="8" t="s">
        <v>87</v>
      </c>
      <c r="AE8" s="8" t="s">
        <v>87</v>
      </c>
      <c r="AF8" s="8" t="s">
        <v>167</v>
      </c>
      <c r="AG8" s="8" t="s">
        <v>216</v>
      </c>
      <c r="AH8" s="8"/>
      <c r="AI8" s="8"/>
      <c r="AJ8" s="8"/>
      <c r="AK8" s="8" t="s">
        <v>127</v>
      </c>
      <c r="AL8" s="8" t="s">
        <v>318</v>
      </c>
      <c r="AM8" s="8" t="b">
        <f t="shared" si="10"/>
        <v>1</v>
      </c>
      <c r="AN8" s="8" t="s">
        <v>227</v>
      </c>
      <c r="AO8" s="8">
        <v>1.56979063E8</v>
      </c>
      <c r="AP8" s="8">
        <v>2.40451326E8</v>
      </c>
      <c r="AQ8" s="8" t="s">
        <v>347</v>
      </c>
      <c r="AR8" s="8" t="s">
        <v>348</v>
      </c>
      <c r="AS8" s="8" t="s">
        <v>349</v>
      </c>
      <c r="AT8" s="10"/>
      <c r="AU8" s="8" t="b">
        <f t="shared" ref="AU8:AU11" si="18">FALSE()</f>
        <v>0</v>
      </c>
      <c r="AV8" s="10"/>
      <c r="AW8" s="8" t="s">
        <v>233</v>
      </c>
      <c r="AX8" s="8">
        <v>0.0</v>
      </c>
      <c r="AY8" s="8" t="b">
        <f t="shared" ref="AY8:BC8" si="14">FALSE()</f>
        <v>0</v>
      </c>
      <c r="AZ8" s="8" t="b">
        <f t="shared" si="14"/>
        <v>0</v>
      </c>
      <c r="BA8" s="8" t="b">
        <f t="shared" si="14"/>
        <v>0</v>
      </c>
      <c r="BB8" s="8" t="b">
        <f t="shared" si="14"/>
        <v>0</v>
      </c>
      <c r="BC8" s="8" t="b">
        <f t="shared" si="14"/>
        <v>0</v>
      </c>
      <c r="BD8" s="10" t="s">
        <v>351</v>
      </c>
    </row>
    <row r="9" ht="102.0" customHeight="1">
      <c r="A9" s="8" t="s">
        <v>169</v>
      </c>
      <c r="B9" s="8" t="s">
        <v>170</v>
      </c>
      <c r="C9" s="8" t="s">
        <v>352</v>
      </c>
      <c r="D9" s="8" t="b">
        <f t="shared" si="2"/>
        <v>1</v>
      </c>
      <c r="E9" s="10" t="s">
        <v>173</v>
      </c>
      <c r="F9" s="9">
        <v>46153.0</v>
      </c>
      <c r="G9" s="9">
        <v>46188.0</v>
      </c>
      <c r="H9" s="8">
        <v>5.0</v>
      </c>
      <c r="I9" s="8" t="s">
        <v>167</v>
      </c>
      <c r="J9" s="9">
        <v>46153.0</v>
      </c>
      <c r="K9" s="8" t="s">
        <v>167</v>
      </c>
      <c r="L9" s="8" t="b">
        <f t="shared" si="15"/>
        <v>1</v>
      </c>
      <c r="M9" s="9">
        <v>46153.0</v>
      </c>
      <c r="N9" s="8" t="b">
        <f>FALSE()</f>
        <v>0</v>
      </c>
      <c r="O9" s="9"/>
      <c r="P9" s="8" t="b">
        <f t="shared" si="16"/>
        <v>0</v>
      </c>
      <c r="Q9" s="9"/>
      <c r="R9" s="8" t="b">
        <f t="shared" si="17"/>
        <v>0</v>
      </c>
      <c r="S9" s="9"/>
      <c r="T9" s="8">
        <v>7.0</v>
      </c>
      <c r="U9" s="9">
        <v>46153.0</v>
      </c>
      <c r="V9" s="9">
        <v>46195.0</v>
      </c>
      <c r="W9" s="8" t="s">
        <v>83</v>
      </c>
      <c r="X9" s="8" t="s">
        <v>204</v>
      </c>
      <c r="Y9" s="8" t="s">
        <v>205</v>
      </c>
      <c r="Z9" s="8" t="s">
        <v>119</v>
      </c>
      <c r="AA9" s="13">
        <v>4000000.0</v>
      </c>
      <c r="AB9" s="8" t="s">
        <v>182</v>
      </c>
      <c r="AC9" s="8" t="s">
        <v>183</v>
      </c>
      <c r="AD9" s="8" t="s">
        <v>87</v>
      </c>
      <c r="AE9" s="8" t="s">
        <v>87</v>
      </c>
      <c r="AF9" s="8" t="s">
        <v>185</v>
      </c>
      <c r="AG9" s="8" t="s">
        <v>353</v>
      </c>
      <c r="AH9" s="8"/>
      <c r="AI9" s="8"/>
      <c r="AJ9" s="8"/>
      <c r="AK9" s="8" t="s">
        <v>74</v>
      </c>
      <c r="AL9" s="8" t="s">
        <v>223</v>
      </c>
      <c r="AM9" s="8" t="b">
        <f t="shared" si="10"/>
        <v>1</v>
      </c>
      <c r="AN9" s="8" t="s">
        <v>227</v>
      </c>
      <c r="AO9" s="8">
        <v>3.01369744E8</v>
      </c>
      <c r="AP9" s="8">
        <v>2.40387693E8</v>
      </c>
      <c r="AQ9" s="8" t="s">
        <v>348</v>
      </c>
      <c r="AR9" s="8" t="s">
        <v>348</v>
      </c>
      <c r="AS9" s="8" t="s">
        <v>354</v>
      </c>
      <c r="AT9" s="10"/>
      <c r="AU9" s="8" t="b">
        <f t="shared" si="18"/>
        <v>0</v>
      </c>
      <c r="AV9" s="10"/>
      <c r="AW9" s="8" t="s">
        <v>233</v>
      </c>
      <c r="AX9" s="8">
        <v>0.0</v>
      </c>
      <c r="AY9" s="8" t="b">
        <f t="shared" ref="AY9:BC9" si="19">FALSE()</f>
        <v>0</v>
      </c>
      <c r="AZ9" s="8" t="b">
        <f t="shared" si="19"/>
        <v>0</v>
      </c>
      <c r="BA9" s="8" t="b">
        <f t="shared" si="19"/>
        <v>0</v>
      </c>
      <c r="BB9" s="8" t="b">
        <f t="shared" si="19"/>
        <v>0</v>
      </c>
      <c r="BC9" s="8" t="b">
        <f t="shared" si="19"/>
        <v>0</v>
      </c>
      <c r="BD9" s="10" t="s">
        <v>357</v>
      </c>
    </row>
    <row r="10" ht="90.75" customHeight="1">
      <c r="A10" s="8" t="s">
        <v>187</v>
      </c>
      <c r="B10" s="8" t="s">
        <v>188</v>
      </c>
      <c r="C10" s="8" t="s">
        <v>358</v>
      </c>
      <c r="D10" s="8" t="b">
        <f t="shared" si="2"/>
        <v>1</v>
      </c>
      <c r="E10" s="10" t="s">
        <v>190</v>
      </c>
      <c r="F10" s="9">
        <v>46223.0</v>
      </c>
      <c r="G10" s="9">
        <v>46265.0</v>
      </c>
      <c r="H10" s="8">
        <v>5.0</v>
      </c>
      <c r="I10" s="8" t="s">
        <v>116</v>
      </c>
      <c r="J10" s="9">
        <v>46251.0</v>
      </c>
      <c r="K10" s="8" t="s">
        <v>116</v>
      </c>
      <c r="L10" s="8" t="b">
        <f t="shared" si="15"/>
        <v>1</v>
      </c>
      <c r="M10" s="9">
        <v>46216.0</v>
      </c>
      <c r="N10" s="8" t="b">
        <f t="shared" ref="N10:N12" si="21">TRUE()</f>
        <v>1</v>
      </c>
      <c r="O10" s="9">
        <v>46251.0</v>
      </c>
      <c r="P10" s="8" t="b">
        <f t="shared" si="16"/>
        <v>0</v>
      </c>
      <c r="Q10" s="9"/>
      <c r="R10" s="8" t="b">
        <f t="shared" si="17"/>
        <v>0</v>
      </c>
      <c r="S10" s="9"/>
      <c r="T10" s="8">
        <v>8.0</v>
      </c>
      <c r="U10" s="9">
        <v>46216.0</v>
      </c>
      <c r="V10" s="9">
        <v>46265.0</v>
      </c>
      <c r="W10" s="8" t="s">
        <v>66</v>
      </c>
      <c r="X10" s="8" t="s">
        <v>204</v>
      </c>
      <c r="Y10" s="8" t="s">
        <v>360</v>
      </c>
      <c r="Z10" s="8" t="s">
        <v>56</v>
      </c>
      <c r="AA10" s="13">
        <v>2.0E7</v>
      </c>
      <c r="AB10" s="8" t="s">
        <v>194</v>
      </c>
      <c r="AC10" s="8" t="s">
        <v>70</v>
      </c>
      <c r="AD10" s="8" t="s">
        <v>71</v>
      </c>
      <c r="AE10" s="8" t="s">
        <v>214</v>
      </c>
      <c r="AF10" s="8" t="s">
        <v>167</v>
      </c>
      <c r="AG10" s="8" t="s">
        <v>216</v>
      </c>
      <c r="AH10" s="8"/>
      <c r="AI10" s="8"/>
      <c r="AJ10" s="8"/>
      <c r="AK10" s="8" t="s">
        <v>127</v>
      </c>
      <c r="AL10" s="8" t="s">
        <v>318</v>
      </c>
      <c r="AM10" s="8" t="b">
        <f t="shared" si="10"/>
        <v>1</v>
      </c>
      <c r="AN10" s="8" t="s">
        <v>227</v>
      </c>
      <c r="AO10" s="8">
        <v>3.00461005E8</v>
      </c>
      <c r="AP10" s="8">
        <v>2.46051999E8</v>
      </c>
      <c r="AQ10" s="8" t="s">
        <v>362</v>
      </c>
      <c r="AR10" s="8" t="s">
        <v>363</v>
      </c>
      <c r="AS10" s="8" t="s">
        <v>363</v>
      </c>
      <c r="AT10" s="10"/>
      <c r="AU10" s="8" t="b">
        <f t="shared" si="18"/>
        <v>0</v>
      </c>
      <c r="AV10" s="10"/>
      <c r="AW10" s="8" t="s">
        <v>233</v>
      </c>
      <c r="AX10" s="8">
        <v>0.0</v>
      </c>
      <c r="AY10" s="8" t="b">
        <f t="shared" ref="AY10:BC10" si="20">FALSE()</f>
        <v>0</v>
      </c>
      <c r="AZ10" s="8" t="b">
        <f t="shared" si="20"/>
        <v>0</v>
      </c>
      <c r="BA10" s="8" t="b">
        <f t="shared" si="20"/>
        <v>0</v>
      </c>
      <c r="BB10" s="8" t="b">
        <f t="shared" si="20"/>
        <v>0</v>
      </c>
      <c r="BC10" s="8" t="b">
        <f t="shared" si="20"/>
        <v>0</v>
      </c>
      <c r="BD10" s="10" t="s">
        <v>365</v>
      </c>
    </row>
    <row r="11" ht="102.0" customHeight="1">
      <c r="A11" s="8" t="s">
        <v>196</v>
      </c>
      <c r="B11" s="8" t="s">
        <v>197</v>
      </c>
      <c r="C11" s="8" t="s">
        <v>366</v>
      </c>
      <c r="D11" s="8" t="b">
        <f t="shared" si="2"/>
        <v>1</v>
      </c>
      <c r="E11" s="10" t="s">
        <v>198</v>
      </c>
      <c r="F11" s="9">
        <v>46006.0</v>
      </c>
      <c r="G11" s="9">
        <v>46055.0</v>
      </c>
      <c r="H11" s="8">
        <v>5.0</v>
      </c>
      <c r="I11" s="8" t="s">
        <v>116</v>
      </c>
      <c r="J11" s="9">
        <v>46027.0</v>
      </c>
      <c r="K11" s="8" t="s">
        <v>116</v>
      </c>
      <c r="L11" s="8" t="b">
        <f t="shared" si="15"/>
        <v>1</v>
      </c>
      <c r="M11" s="9">
        <v>45964.0</v>
      </c>
      <c r="N11" s="8" t="b">
        <f t="shared" si="21"/>
        <v>1</v>
      </c>
      <c r="O11" s="9">
        <v>46027.0</v>
      </c>
      <c r="P11" s="8" t="b">
        <f t="shared" si="16"/>
        <v>0</v>
      </c>
      <c r="Q11" s="9"/>
      <c r="R11" s="8" t="b">
        <f t="shared" si="17"/>
        <v>0</v>
      </c>
      <c r="S11" s="9"/>
      <c r="T11" s="8">
        <v>22.0</v>
      </c>
      <c r="U11" s="9">
        <v>45957.0</v>
      </c>
      <c r="V11" s="9">
        <v>46118.0</v>
      </c>
      <c r="W11" s="8" t="s">
        <v>83</v>
      </c>
      <c r="X11" s="8" t="s">
        <v>204</v>
      </c>
      <c r="Y11" s="8" t="s">
        <v>205</v>
      </c>
      <c r="Z11" s="8" t="s">
        <v>119</v>
      </c>
      <c r="AA11" s="13">
        <v>7000000.0</v>
      </c>
      <c r="AB11" s="8" t="s">
        <v>199</v>
      </c>
      <c r="AC11" s="8" t="s">
        <v>86</v>
      </c>
      <c r="AD11" s="8" t="s">
        <v>87</v>
      </c>
      <c r="AE11" s="8" t="s">
        <v>87</v>
      </c>
      <c r="AF11" s="8" t="s">
        <v>200</v>
      </c>
      <c r="AG11" s="8" t="s">
        <v>216</v>
      </c>
      <c r="AH11" s="8" t="s">
        <v>220</v>
      </c>
      <c r="AI11" s="8" t="s">
        <v>218</v>
      </c>
      <c r="AJ11" s="8" t="s">
        <v>218</v>
      </c>
      <c r="AK11" s="8" t="s">
        <v>127</v>
      </c>
      <c r="AL11" s="8" t="s">
        <v>318</v>
      </c>
      <c r="AM11" s="8" t="b">
        <f t="shared" si="10"/>
        <v>1</v>
      </c>
      <c r="AN11" s="8" t="s">
        <v>227</v>
      </c>
      <c r="AO11" s="8">
        <v>2.96667487E8</v>
      </c>
      <c r="AP11" s="8">
        <v>2.23105565E8</v>
      </c>
      <c r="AQ11" s="8" t="s">
        <v>369</v>
      </c>
      <c r="AR11" s="8" t="s">
        <v>370</v>
      </c>
      <c r="AS11" s="8" t="s">
        <v>371</v>
      </c>
      <c r="AT11" s="10"/>
      <c r="AU11" s="8" t="b">
        <f t="shared" si="18"/>
        <v>0</v>
      </c>
      <c r="AV11" s="10"/>
      <c r="AW11" s="8" t="s">
        <v>233</v>
      </c>
      <c r="AX11" s="8">
        <v>0.0</v>
      </c>
      <c r="AY11" s="8" t="b">
        <f t="shared" ref="AY11:BC11" si="22">FALSE()</f>
        <v>0</v>
      </c>
      <c r="AZ11" s="8" t="b">
        <f t="shared" si="22"/>
        <v>0</v>
      </c>
      <c r="BA11" s="8" t="b">
        <f t="shared" si="22"/>
        <v>0</v>
      </c>
      <c r="BB11" s="8" t="b">
        <f t="shared" si="22"/>
        <v>0</v>
      </c>
      <c r="BC11" s="8" t="b">
        <f t="shared" si="22"/>
        <v>0</v>
      </c>
      <c r="BD11" s="10" t="s">
        <v>375</v>
      </c>
    </row>
    <row r="12" ht="23.25" customHeight="1">
      <c r="A12" s="8" t="s">
        <v>201</v>
      </c>
      <c r="B12" s="8" t="s">
        <v>202</v>
      </c>
      <c r="C12" s="8" t="s">
        <v>376</v>
      </c>
      <c r="D12" s="8" t="b">
        <f t="shared" si="2"/>
        <v>1</v>
      </c>
      <c r="E12" s="10" t="s">
        <v>203</v>
      </c>
      <c r="F12" s="9">
        <v>45964.0</v>
      </c>
      <c r="G12" s="9">
        <v>45992.0</v>
      </c>
      <c r="H12" s="8">
        <v>5.0</v>
      </c>
      <c r="I12" s="8" t="s">
        <v>116</v>
      </c>
      <c r="J12" s="9">
        <v>45978.0</v>
      </c>
      <c r="K12" s="8" t="s">
        <v>377</v>
      </c>
      <c r="L12" s="8" t="b">
        <f t="shared" si="15"/>
        <v>1</v>
      </c>
      <c r="M12" s="9">
        <v>45944.0</v>
      </c>
      <c r="N12" s="8" t="b">
        <f t="shared" si="21"/>
        <v>1</v>
      </c>
      <c r="O12" s="9">
        <v>45978.0</v>
      </c>
      <c r="P12" s="8" t="b">
        <f t="shared" si="16"/>
        <v>0</v>
      </c>
      <c r="Q12" s="9"/>
      <c r="R12" s="8" t="b">
        <f t="shared" si="17"/>
        <v>0</v>
      </c>
      <c r="S12" s="9"/>
      <c r="T12" s="8">
        <v>17.0</v>
      </c>
      <c r="U12" s="9">
        <v>45944.0</v>
      </c>
      <c r="V12" s="9">
        <v>46265.0</v>
      </c>
      <c r="W12" s="8" t="s">
        <v>83</v>
      </c>
      <c r="X12" s="8" t="s">
        <v>266</v>
      </c>
      <c r="Y12" s="8" t="s">
        <v>205</v>
      </c>
      <c r="Z12" s="8" t="s">
        <v>281</v>
      </c>
      <c r="AA12" s="13">
        <v>6000000.0</v>
      </c>
      <c r="AB12" s="8" t="s">
        <v>141</v>
      </c>
      <c r="AC12" s="8" t="s">
        <v>143</v>
      </c>
      <c r="AD12" s="8" t="s">
        <v>87</v>
      </c>
      <c r="AE12" s="8" t="s">
        <v>87</v>
      </c>
      <c r="AF12" s="8"/>
      <c r="AG12" s="8"/>
      <c r="AH12" s="8"/>
      <c r="AI12" s="8"/>
      <c r="AJ12" s="8"/>
      <c r="AK12" s="8"/>
      <c r="AL12" s="8"/>
      <c r="AM12" s="8" t="b">
        <f>FALSE()</f>
        <v>0</v>
      </c>
      <c r="AN12" s="8"/>
      <c r="AO12" s="8"/>
      <c r="AP12" s="8"/>
      <c r="AQ12" s="8"/>
      <c r="AR12" s="8"/>
      <c r="AS12" s="8"/>
      <c r="AT12" s="10"/>
      <c r="AU12" s="8">
        <v>1.0</v>
      </c>
      <c r="AV12" s="10" t="s">
        <v>378</v>
      </c>
      <c r="AW12" s="8" t="s">
        <v>286</v>
      </c>
      <c r="AX12" s="8">
        <v>1.0</v>
      </c>
      <c r="AY12" s="8">
        <v>0.0</v>
      </c>
      <c r="AZ12" s="8">
        <v>0.0</v>
      </c>
      <c r="BA12" s="8">
        <v>0.0</v>
      </c>
      <c r="BB12" s="8">
        <v>0.0</v>
      </c>
      <c r="BC12" s="8">
        <v>1.0</v>
      </c>
      <c r="BD12" s="10"/>
    </row>
    <row r="13" ht="113.25" customHeight="1">
      <c r="A13" s="8" t="s">
        <v>206</v>
      </c>
      <c r="B13" s="8" t="s">
        <v>207</v>
      </c>
      <c r="C13" s="8" t="s">
        <v>379</v>
      </c>
      <c r="D13" s="8" t="b">
        <f t="shared" si="2"/>
        <v>1</v>
      </c>
      <c r="E13" s="10" t="s">
        <v>208</v>
      </c>
      <c r="F13" s="9">
        <v>45985.0</v>
      </c>
      <c r="G13" s="9">
        <v>46006.0</v>
      </c>
      <c r="H13" s="8">
        <v>4.0</v>
      </c>
      <c r="I13" s="8" t="s">
        <v>54</v>
      </c>
      <c r="J13" s="9">
        <v>46006.0</v>
      </c>
      <c r="K13" s="8" t="s">
        <v>377</v>
      </c>
      <c r="L13" s="8" t="b">
        <f t="shared" si="15"/>
        <v>1</v>
      </c>
      <c r="M13" s="9">
        <v>45971.0</v>
      </c>
      <c r="N13" s="8" t="b">
        <f>FALSE()</f>
        <v>0</v>
      </c>
      <c r="O13" s="9"/>
      <c r="P13" s="8" t="b">
        <f t="shared" si="16"/>
        <v>0</v>
      </c>
      <c r="Q13" s="9"/>
      <c r="R13" s="8" t="b">
        <f>TRUE()</f>
        <v>1</v>
      </c>
      <c r="S13" s="9">
        <v>46006.0</v>
      </c>
      <c r="T13" s="8">
        <v>6.0</v>
      </c>
      <c r="U13" s="9">
        <v>45971.0</v>
      </c>
      <c r="V13" s="9">
        <v>46006.0</v>
      </c>
      <c r="W13" s="8" t="s">
        <v>121</v>
      </c>
      <c r="X13" s="8" t="s">
        <v>204</v>
      </c>
      <c r="Y13" s="8" t="s">
        <v>317</v>
      </c>
      <c r="Z13" s="8" t="s">
        <v>119</v>
      </c>
      <c r="AA13" s="13">
        <v>1.0E7</v>
      </c>
      <c r="AB13" s="8" t="s">
        <v>141</v>
      </c>
      <c r="AC13" s="8" t="s">
        <v>143</v>
      </c>
      <c r="AD13" s="8" t="s">
        <v>87</v>
      </c>
      <c r="AE13" s="8" t="s">
        <v>87</v>
      </c>
      <c r="AF13" s="8" t="s">
        <v>72</v>
      </c>
      <c r="AG13" s="8" t="s">
        <v>216</v>
      </c>
      <c r="AH13" s="8"/>
      <c r="AI13" s="8"/>
      <c r="AJ13" s="8"/>
      <c r="AK13" s="8" t="s">
        <v>154</v>
      </c>
      <c r="AL13" s="8" t="s">
        <v>337</v>
      </c>
      <c r="AM13" s="8" t="b">
        <f t="shared" ref="AM13:AM20" si="24">TRUE()</f>
        <v>1</v>
      </c>
      <c r="AN13" s="8" t="s">
        <v>227</v>
      </c>
      <c r="AO13" s="8">
        <v>2.94871569E8</v>
      </c>
      <c r="AP13" s="8">
        <v>2.24903165E8</v>
      </c>
      <c r="AQ13" s="8" t="s">
        <v>382</v>
      </c>
      <c r="AR13" s="8" t="s">
        <v>383</v>
      </c>
      <c r="AS13" s="8" t="s">
        <v>384</v>
      </c>
      <c r="AT13" s="10"/>
      <c r="AU13" s="8" t="b">
        <f t="shared" ref="AU13:AU17" si="25">FALSE()</f>
        <v>0</v>
      </c>
      <c r="AV13" s="10"/>
      <c r="AW13" s="8" t="s">
        <v>233</v>
      </c>
      <c r="AX13" s="8">
        <v>0.0</v>
      </c>
      <c r="AY13" s="8" t="b">
        <f t="shared" ref="AY13:BC13" si="23">FALSE()</f>
        <v>0</v>
      </c>
      <c r="AZ13" s="8" t="b">
        <f t="shared" si="23"/>
        <v>0</v>
      </c>
      <c r="BA13" s="8" t="b">
        <f t="shared" si="23"/>
        <v>0</v>
      </c>
      <c r="BB13" s="8" t="b">
        <f t="shared" si="23"/>
        <v>0</v>
      </c>
      <c r="BC13" s="8" t="b">
        <f t="shared" si="23"/>
        <v>0</v>
      </c>
      <c r="BD13" s="10" t="s">
        <v>388</v>
      </c>
    </row>
    <row r="14" ht="90.75" customHeight="1">
      <c r="A14" s="8" t="s">
        <v>211</v>
      </c>
      <c r="B14" s="8" t="s">
        <v>212</v>
      </c>
      <c r="C14" s="8" t="s">
        <v>389</v>
      </c>
      <c r="D14" s="8" t="b">
        <f t="shared" si="2"/>
        <v>1</v>
      </c>
      <c r="E14" s="10" t="s">
        <v>213</v>
      </c>
      <c r="F14" s="9">
        <v>45944.0</v>
      </c>
      <c r="G14" s="9">
        <v>45971.0</v>
      </c>
      <c r="H14" s="8">
        <v>4.0</v>
      </c>
      <c r="I14" s="8" t="s">
        <v>116</v>
      </c>
      <c r="J14" s="9">
        <v>45957.0</v>
      </c>
      <c r="K14" s="8" t="s">
        <v>116</v>
      </c>
      <c r="L14" s="8" t="b">
        <f t="shared" si="15"/>
        <v>1</v>
      </c>
      <c r="M14" s="9">
        <v>45944.0</v>
      </c>
      <c r="N14" s="8" t="b">
        <f t="shared" ref="N14:N15" si="27">TRUE()</f>
        <v>1</v>
      </c>
      <c r="O14" s="9">
        <v>45957.0</v>
      </c>
      <c r="P14" s="8" t="b">
        <f t="shared" si="16"/>
        <v>0</v>
      </c>
      <c r="Q14" s="9"/>
      <c r="R14" s="8" t="b">
        <f t="shared" ref="R14:R186" si="28">FALSE()</f>
        <v>0</v>
      </c>
      <c r="S14" s="9"/>
      <c r="T14" s="8">
        <v>5.0</v>
      </c>
      <c r="U14" s="9">
        <v>45944.0</v>
      </c>
      <c r="V14" s="9">
        <v>45971.0</v>
      </c>
      <c r="W14" s="8" t="s">
        <v>140</v>
      </c>
      <c r="X14" s="8" t="s">
        <v>204</v>
      </c>
      <c r="Y14" s="8" t="s">
        <v>328</v>
      </c>
      <c r="Z14" s="8" t="s">
        <v>119</v>
      </c>
      <c r="AA14" s="13">
        <v>5000000.0</v>
      </c>
      <c r="AB14" s="8" t="s">
        <v>194</v>
      </c>
      <c r="AC14" s="8" t="s">
        <v>143</v>
      </c>
      <c r="AD14" s="8" t="s">
        <v>87</v>
      </c>
      <c r="AE14" s="8" t="s">
        <v>87</v>
      </c>
      <c r="AF14" s="8" t="s">
        <v>185</v>
      </c>
      <c r="AG14" s="8"/>
      <c r="AH14" s="8"/>
      <c r="AI14" s="8"/>
      <c r="AJ14" s="8"/>
      <c r="AK14" s="8" t="s">
        <v>215</v>
      </c>
      <c r="AL14" s="8" t="s">
        <v>393</v>
      </c>
      <c r="AM14" s="8" t="b">
        <f t="shared" si="24"/>
        <v>1</v>
      </c>
      <c r="AN14" s="8" t="s">
        <v>227</v>
      </c>
      <c r="AO14" s="8">
        <v>2.9338883E8</v>
      </c>
      <c r="AP14" s="8">
        <v>2.18051781E8</v>
      </c>
      <c r="AQ14" s="8" t="s">
        <v>394</v>
      </c>
      <c r="AR14" s="8" t="s">
        <v>395</v>
      </c>
      <c r="AS14" s="8" t="s">
        <v>396</v>
      </c>
      <c r="AT14" s="10"/>
      <c r="AU14" s="8" t="b">
        <f t="shared" si="25"/>
        <v>0</v>
      </c>
      <c r="AV14" s="10"/>
      <c r="AW14" s="8" t="s">
        <v>233</v>
      </c>
      <c r="AX14" s="8">
        <v>0.0</v>
      </c>
      <c r="AY14" s="8" t="b">
        <f t="shared" ref="AY14:BC14" si="26">FALSE()</f>
        <v>0</v>
      </c>
      <c r="AZ14" s="8" t="b">
        <f t="shared" si="26"/>
        <v>0</v>
      </c>
      <c r="BA14" s="8" t="b">
        <f t="shared" si="26"/>
        <v>0</v>
      </c>
      <c r="BB14" s="8" t="b">
        <f t="shared" si="26"/>
        <v>0</v>
      </c>
      <c r="BC14" s="8" t="b">
        <f t="shared" si="26"/>
        <v>0</v>
      </c>
      <c r="BD14" s="10" t="s">
        <v>397</v>
      </c>
    </row>
    <row r="15" ht="23.25" customHeight="1">
      <c r="A15" s="8" t="s">
        <v>217</v>
      </c>
      <c r="B15" s="8" t="s">
        <v>219</v>
      </c>
      <c r="C15" s="8"/>
      <c r="D15" s="8" t="b">
        <f t="shared" si="2"/>
        <v>1</v>
      </c>
      <c r="E15" s="10" t="s">
        <v>221</v>
      </c>
      <c r="F15" s="9">
        <v>45944.0</v>
      </c>
      <c r="G15" s="9">
        <v>45964.0</v>
      </c>
      <c r="H15" s="8">
        <v>4.0</v>
      </c>
      <c r="I15" s="8" t="s">
        <v>116</v>
      </c>
      <c r="J15" s="9">
        <v>45944.0</v>
      </c>
      <c r="K15" s="8" t="s">
        <v>116</v>
      </c>
      <c r="L15" s="8" t="b">
        <f>FALSE()</f>
        <v>0</v>
      </c>
      <c r="M15" s="9"/>
      <c r="N15" s="8" t="b">
        <f t="shared" si="27"/>
        <v>1</v>
      </c>
      <c r="O15" s="9">
        <v>45944.0</v>
      </c>
      <c r="P15" s="8" t="b">
        <f t="shared" si="16"/>
        <v>0</v>
      </c>
      <c r="Q15" s="9"/>
      <c r="R15" s="8" t="b">
        <f t="shared" si="28"/>
        <v>0</v>
      </c>
      <c r="S15" s="9"/>
      <c r="T15" s="8">
        <v>4.0</v>
      </c>
      <c r="U15" s="9">
        <v>45944.0</v>
      </c>
      <c r="V15" s="9">
        <v>45964.0</v>
      </c>
      <c r="W15" s="8" t="s">
        <v>83</v>
      </c>
      <c r="X15" s="8" t="s">
        <v>204</v>
      </c>
      <c r="Y15" s="8"/>
      <c r="Z15" s="8" t="s">
        <v>119</v>
      </c>
      <c r="AA15" s="13">
        <v>1.0E7</v>
      </c>
      <c r="AB15" s="8"/>
      <c r="AC15" s="8"/>
      <c r="AD15" s="8"/>
      <c r="AE15" s="8" t="s">
        <v>367</v>
      </c>
      <c r="AF15" s="8" t="s">
        <v>145</v>
      </c>
      <c r="AG15" s="8" t="s">
        <v>216</v>
      </c>
      <c r="AH15" s="8" t="s">
        <v>218</v>
      </c>
      <c r="AI15" s="8" t="s">
        <v>218</v>
      </c>
      <c r="AJ15" s="8" t="s">
        <v>218</v>
      </c>
      <c r="AK15" s="8" t="s">
        <v>215</v>
      </c>
      <c r="AL15" s="8" t="s">
        <v>393</v>
      </c>
      <c r="AM15" s="8" t="b">
        <f t="shared" si="24"/>
        <v>1</v>
      </c>
      <c r="AN15" s="8" t="s">
        <v>227</v>
      </c>
      <c r="AO15" s="8">
        <v>3.06041385E8</v>
      </c>
      <c r="AP15" s="8">
        <v>2.18669372E8</v>
      </c>
      <c r="AQ15" s="8" t="s">
        <v>329</v>
      </c>
      <c r="AR15" s="8" t="s">
        <v>398</v>
      </c>
      <c r="AS15" s="8" t="s">
        <v>399</v>
      </c>
      <c r="AT15" s="10"/>
      <c r="AU15" s="8" t="b">
        <f t="shared" si="25"/>
        <v>0</v>
      </c>
      <c r="AV15" s="10"/>
      <c r="AW15" s="8" t="s">
        <v>286</v>
      </c>
      <c r="AX15" s="8">
        <v>2.0</v>
      </c>
      <c r="AY15" s="8" t="b">
        <f t="shared" ref="AY15:AZ15" si="29">TRUE()</f>
        <v>1</v>
      </c>
      <c r="AZ15" s="8" t="b">
        <f t="shared" si="29"/>
        <v>1</v>
      </c>
      <c r="BA15" s="8" t="b">
        <f t="shared" ref="BA15:BC15" si="30">FALSE()</f>
        <v>0</v>
      </c>
      <c r="BB15" s="8" t="b">
        <f t="shared" si="30"/>
        <v>0</v>
      </c>
      <c r="BC15" s="8" t="b">
        <f t="shared" si="30"/>
        <v>0</v>
      </c>
      <c r="BD15" s="10"/>
    </row>
    <row r="16" ht="102.0" customHeight="1">
      <c r="A16" s="8" t="s">
        <v>224</v>
      </c>
      <c r="B16" s="8" t="s">
        <v>225</v>
      </c>
      <c r="C16" s="8" t="s">
        <v>400</v>
      </c>
      <c r="D16" s="8" t="b">
        <f t="shared" si="2"/>
        <v>1</v>
      </c>
      <c r="E16" s="10" t="s">
        <v>226</v>
      </c>
      <c r="F16" s="9">
        <v>46153.0</v>
      </c>
      <c r="G16" s="9">
        <v>46174.0</v>
      </c>
      <c r="H16" s="8">
        <v>4.0</v>
      </c>
      <c r="I16" s="8" t="s">
        <v>167</v>
      </c>
      <c r="J16" s="9">
        <v>46146.0</v>
      </c>
      <c r="K16" s="8" t="s">
        <v>167</v>
      </c>
      <c r="L16" s="8" t="b">
        <f t="shared" ref="L16:L186" si="32">TRUE()</f>
        <v>1</v>
      </c>
      <c r="M16" s="9">
        <v>46146.0</v>
      </c>
      <c r="N16" s="8" t="b">
        <f t="shared" ref="N16:N17" si="33">FALSE()</f>
        <v>0</v>
      </c>
      <c r="O16" s="9"/>
      <c r="P16" s="8" t="b">
        <f t="shared" si="16"/>
        <v>0</v>
      </c>
      <c r="Q16" s="9"/>
      <c r="R16" s="8" t="b">
        <f t="shared" si="28"/>
        <v>0</v>
      </c>
      <c r="S16" s="9"/>
      <c r="T16" s="8">
        <v>5.0</v>
      </c>
      <c r="U16" s="9">
        <v>46146.0</v>
      </c>
      <c r="V16" s="9">
        <v>46174.0</v>
      </c>
      <c r="W16" s="8" t="s">
        <v>121</v>
      </c>
      <c r="X16" s="8" t="s">
        <v>204</v>
      </c>
      <c r="Y16" s="8" t="s">
        <v>317</v>
      </c>
      <c r="Z16" s="8" t="s">
        <v>56</v>
      </c>
      <c r="AA16" s="13">
        <v>2.5E8</v>
      </c>
      <c r="AB16" s="8" t="s">
        <v>194</v>
      </c>
      <c r="AC16" s="8" t="s">
        <v>143</v>
      </c>
      <c r="AD16" s="8" t="s">
        <v>87</v>
      </c>
      <c r="AE16" s="8" t="s">
        <v>87</v>
      </c>
      <c r="AF16" s="8" t="s">
        <v>185</v>
      </c>
      <c r="AG16" s="8" t="s">
        <v>353</v>
      </c>
      <c r="AH16" s="8"/>
      <c r="AI16" s="8"/>
      <c r="AJ16" s="8"/>
      <c r="AK16" s="8" t="s">
        <v>74</v>
      </c>
      <c r="AL16" s="8" t="s">
        <v>223</v>
      </c>
      <c r="AM16" s="8" t="b">
        <f t="shared" si="24"/>
        <v>1</v>
      </c>
      <c r="AN16" s="8" t="s">
        <v>227</v>
      </c>
      <c r="AO16" s="8">
        <v>3.11096645E8</v>
      </c>
      <c r="AP16" s="8">
        <v>2.39805739E8</v>
      </c>
      <c r="AQ16" s="8" t="s">
        <v>401</v>
      </c>
      <c r="AR16" s="8" t="s">
        <v>402</v>
      </c>
      <c r="AS16" s="8" t="s">
        <v>402</v>
      </c>
      <c r="AT16" s="10"/>
      <c r="AU16" s="8" t="b">
        <f t="shared" si="25"/>
        <v>0</v>
      </c>
      <c r="AV16" s="10"/>
      <c r="AW16" s="8" t="s">
        <v>233</v>
      </c>
      <c r="AX16" s="8">
        <v>0.0</v>
      </c>
      <c r="AY16" s="8" t="b">
        <f t="shared" ref="AY16:BC16" si="31">FALSE()</f>
        <v>0</v>
      </c>
      <c r="AZ16" s="8" t="b">
        <f t="shared" si="31"/>
        <v>0</v>
      </c>
      <c r="BA16" s="8" t="b">
        <f t="shared" si="31"/>
        <v>0</v>
      </c>
      <c r="BB16" s="8" t="b">
        <f t="shared" si="31"/>
        <v>0</v>
      </c>
      <c r="BC16" s="8" t="b">
        <f t="shared" si="31"/>
        <v>0</v>
      </c>
      <c r="BD16" s="10" t="s">
        <v>403</v>
      </c>
    </row>
    <row r="17" ht="102.0" customHeight="1">
      <c r="A17" s="8" t="s">
        <v>230</v>
      </c>
      <c r="B17" s="8" t="s">
        <v>231</v>
      </c>
      <c r="C17" s="8" t="s">
        <v>404</v>
      </c>
      <c r="D17" s="8" t="b">
        <f t="shared" si="2"/>
        <v>1</v>
      </c>
      <c r="E17" s="10" t="s">
        <v>232</v>
      </c>
      <c r="F17" s="9">
        <v>46174.0</v>
      </c>
      <c r="G17" s="9">
        <v>46216.0</v>
      </c>
      <c r="H17" s="8">
        <v>3.0</v>
      </c>
      <c r="I17" s="8" t="s">
        <v>167</v>
      </c>
      <c r="J17" s="9">
        <v>46160.0</v>
      </c>
      <c r="K17" s="8" t="s">
        <v>167</v>
      </c>
      <c r="L17" s="8" t="b">
        <f t="shared" si="32"/>
        <v>1</v>
      </c>
      <c r="M17" s="9">
        <v>46160.0</v>
      </c>
      <c r="N17" s="8" t="b">
        <f t="shared" si="33"/>
        <v>0</v>
      </c>
      <c r="O17" s="9"/>
      <c r="P17" s="8" t="b">
        <f t="shared" si="16"/>
        <v>0</v>
      </c>
      <c r="Q17" s="9"/>
      <c r="R17" s="8" t="b">
        <f t="shared" si="28"/>
        <v>0</v>
      </c>
      <c r="S17" s="9"/>
      <c r="T17" s="8">
        <v>10.0</v>
      </c>
      <c r="U17" s="9">
        <v>46160.0</v>
      </c>
      <c r="V17" s="9">
        <v>46230.0</v>
      </c>
      <c r="W17" s="8" t="s">
        <v>121</v>
      </c>
      <c r="X17" s="8" t="s">
        <v>204</v>
      </c>
      <c r="Y17" s="8" t="s">
        <v>360</v>
      </c>
      <c r="Z17" s="8" t="s">
        <v>119</v>
      </c>
      <c r="AA17" s="13">
        <v>1.0E7</v>
      </c>
      <c r="AB17" s="8" t="s">
        <v>234</v>
      </c>
      <c r="AC17" s="8" t="s">
        <v>183</v>
      </c>
      <c r="AD17" s="8" t="s">
        <v>87</v>
      </c>
      <c r="AE17" s="8" t="s">
        <v>87</v>
      </c>
      <c r="AF17" s="8" t="s">
        <v>167</v>
      </c>
      <c r="AG17" s="8" t="s">
        <v>405</v>
      </c>
      <c r="AH17" s="8"/>
      <c r="AI17" s="8"/>
      <c r="AJ17" s="8"/>
      <c r="AK17" s="8" t="s">
        <v>127</v>
      </c>
      <c r="AL17" s="8" t="s">
        <v>318</v>
      </c>
      <c r="AM17" s="8" t="b">
        <f t="shared" si="24"/>
        <v>1</v>
      </c>
      <c r="AN17" s="8" t="s">
        <v>227</v>
      </c>
      <c r="AO17" s="8">
        <v>2.89307172E8</v>
      </c>
      <c r="AP17" s="8">
        <v>2.43153771E8</v>
      </c>
      <c r="AQ17" s="8" t="s">
        <v>406</v>
      </c>
      <c r="AR17" s="8" t="s">
        <v>407</v>
      </c>
      <c r="AS17" s="8" t="s">
        <v>408</v>
      </c>
      <c r="AT17" s="10"/>
      <c r="AU17" s="8" t="b">
        <f t="shared" si="25"/>
        <v>0</v>
      </c>
      <c r="AV17" s="10"/>
      <c r="AW17" s="8" t="s">
        <v>233</v>
      </c>
      <c r="AX17" s="8">
        <v>0.0</v>
      </c>
      <c r="AY17" s="8" t="b">
        <f t="shared" ref="AY17:BC17" si="34">FALSE()</f>
        <v>0</v>
      </c>
      <c r="AZ17" s="8" t="b">
        <f t="shared" si="34"/>
        <v>0</v>
      </c>
      <c r="BA17" s="8" t="b">
        <f t="shared" si="34"/>
        <v>0</v>
      </c>
      <c r="BB17" s="8" t="b">
        <f t="shared" si="34"/>
        <v>0</v>
      </c>
      <c r="BC17" s="8" t="b">
        <f t="shared" si="34"/>
        <v>0</v>
      </c>
      <c r="BD17" s="10" t="s">
        <v>409</v>
      </c>
    </row>
    <row r="18" ht="113.25" customHeight="1">
      <c r="A18" s="8" t="s">
        <v>235</v>
      </c>
      <c r="B18" s="8" t="s">
        <v>236</v>
      </c>
      <c r="C18" s="8" t="s">
        <v>410</v>
      </c>
      <c r="D18" s="8" t="b">
        <f t="shared" si="2"/>
        <v>1</v>
      </c>
      <c r="E18" s="10" t="s">
        <v>238</v>
      </c>
      <c r="F18" s="9">
        <v>46055.0</v>
      </c>
      <c r="G18" s="9">
        <v>46062.0</v>
      </c>
      <c r="H18" s="8">
        <v>2.0</v>
      </c>
      <c r="I18" s="8" t="s">
        <v>116</v>
      </c>
      <c r="J18" s="9">
        <v>46062.0</v>
      </c>
      <c r="K18" s="8" t="s">
        <v>116</v>
      </c>
      <c r="L18" s="8" t="b">
        <f t="shared" si="32"/>
        <v>1</v>
      </c>
      <c r="M18" s="9">
        <v>46006.0</v>
      </c>
      <c r="N18" s="8" t="b">
        <f>TRUE()</f>
        <v>1</v>
      </c>
      <c r="O18" s="9">
        <v>46062.0</v>
      </c>
      <c r="P18" s="8" t="b">
        <f t="shared" si="16"/>
        <v>0</v>
      </c>
      <c r="Q18" s="9"/>
      <c r="R18" s="8" t="b">
        <f t="shared" si="28"/>
        <v>0</v>
      </c>
      <c r="S18" s="9"/>
      <c r="T18" s="8">
        <v>13.0</v>
      </c>
      <c r="U18" s="9">
        <v>45971.0</v>
      </c>
      <c r="V18" s="9">
        <v>46097.0</v>
      </c>
      <c r="W18" s="8" t="s">
        <v>140</v>
      </c>
      <c r="X18" s="8" t="s">
        <v>204</v>
      </c>
      <c r="Y18" s="8" t="s">
        <v>328</v>
      </c>
      <c r="Z18" s="8" t="s">
        <v>56</v>
      </c>
      <c r="AA18" s="13">
        <v>2.0E7</v>
      </c>
      <c r="AB18" s="8" t="s">
        <v>240</v>
      </c>
      <c r="AC18" s="8" t="s">
        <v>166</v>
      </c>
      <c r="AD18" s="8" t="s">
        <v>87</v>
      </c>
      <c r="AE18" s="8" t="s">
        <v>87</v>
      </c>
      <c r="AF18" s="8" t="s">
        <v>185</v>
      </c>
      <c r="AG18" s="8"/>
      <c r="AH18" s="8"/>
      <c r="AI18" s="8"/>
      <c r="AJ18" s="8"/>
      <c r="AK18" s="8" t="s">
        <v>74</v>
      </c>
      <c r="AL18" s="8" t="s">
        <v>223</v>
      </c>
      <c r="AM18" s="8" t="b">
        <f t="shared" si="24"/>
        <v>1</v>
      </c>
      <c r="AN18" s="8" t="s">
        <v>319</v>
      </c>
      <c r="AO18" s="8">
        <v>2.68186783E8</v>
      </c>
      <c r="AP18" s="8">
        <v>2.33316922E8</v>
      </c>
      <c r="AQ18" s="8" t="s">
        <v>412</v>
      </c>
      <c r="AR18" s="8" t="s">
        <v>413</v>
      </c>
      <c r="AS18" s="8" t="s">
        <v>414</v>
      </c>
      <c r="AT18" s="10" t="s">
        <v>415</v>
      </c>
      <c r="AU18" s="8">
        <v>0.0</v>
      </c>
      <c r="AV18" s="10"/>
      <c r="AW18" s="8" t="s">
        <v>233</v>
      </c>
      <c r="AX18" s="8">
        <v>0.0</v>
      </c>
      <c r="AY18" s="8">
        <v>0.0</v>
      </c>
      <c r="AZ18" s="8">
        <v>0.0</v>
      </c>
      <c r="BA18" s="8">
        <v>0.0</v>
      </c>
      <c r="BB18" s="8">
        <v>0.0</v>
      </c>
      <c r="BC18" s="8">
        <v>0.0</v>
      </c>
      <c r="BD18" s="10" t="s">
        <v>416</v>
      </c>
    </row>
    <row r="19" ht="135.75" customHeight="1">
      <c r="A19" s="8" t="s">
        <v>243</v>
      </c>
      <c r="B19" s="8" t="s">
        <v>244</v>
      </c>
      <c r="C19" s="8" t="s">
        <v>417</v>
      </c>
      <c r="D19" s="8" t="b">
        <f t="shared" si="2"/>
        <v>1</v>
      </c>
      <c r="E19" s="10" t="s">
        <v>246</v>
      </c>
      <c r="F19" s="9">
        <v>46168.0</v>
      </c>
      <c r="G19" s="9">
        <v>46174.0</v>
      </c>
      <c r="H19" s="8">
        <v>2.0</v>
      </c>
      <c r="I19" s="8" t="s">
        <v>167</v>
      </c>
      <c r="J19" s="9">
        <v>46062.0</v>
      </c>
      <c r="K19" s="8" t="s">
        <v>167</v>
      </c>
      <c r="L19" s="8" t="b">
        <f t="shared" si="32"/>
        <v>1</v>
      </c>
      <c r="M19" s="9">
        <v>46062.0</v>
      </c>
      <c r="N19" s="8" t="b">
        <f>FALSE()</f>
        <v>0</v>
      </c>
      <c r="O19" s="9"/>
      <c r="P19" s="8" t="b">
        <f t="shared" si="16"/>
        <v>0</v>
      </c>
      <c r="Q19" s="9"/>
      <c r="R19" s="8" t="b">
        <f t="shared" si="28"/>
        <v>0</v>
      </c>
      <c r="S19" s="9"/>
      <c r="T19" s="8">
        <v>19.0</v>
      </c>
      <c r="U19" s="9">
        <v>46055.0</v>
      </c>
      <c r="V19" s="9">
        <v>46265.0</v>
      </c>
      <c r="W19" s="8" t="s">
        <v>83</v>
      </c>
      <c r="X19" s="8" t="s">
        <v>204</v>
      </c>
      <c r="Y19" s="8" t="s">
        <v>205</v>
      </c>
      <c r="Z19" s="8" t="s">
        <v>119</v>
      </c>
      <c r="AA19" s="13">
        <v>7000000.0</v>
      </c>
      <c r="AB19" s="8" t="s">
        <v>247</v>
      </c>
      <c r="AC19" s="8" t="s">
        <v>247</v>
      </c>
      <c r="AD19" s="8" t="s">
        <v>87</v>
      </c>
      <c r="AE19" s="8" t="s">
        <v>87</v>
      </c>
      <c r="AF19" s="8" t="s">
        <v>167</v>
      </c>
      <c r="AG19" s="8" t="s">
        <v>353</v>
      </c>
      <c r="AH19" s="8"/>
      <c r="AI19" s="8"/>
      <c r="AJ19" s="8"/>
      <c r="AK19" s="8" t="s">
        <v>127</v>
      </c>
      <c r="AL19" s="8" t="s">
        <v>318</v>
      </c>
      <c r="AM19" s="8" t="b">
        <f t="shared" si="24"/>
        <v>1</v>
      </c>
      <c r="AN19" s="8" t="s">
        <v>227</v>
      </c>
      <c r="AO19" s="8">
        <v>3.10756116E8</v>
      </c>
      <c r="AP19" s="8">
        <v>2.32338029E8</v>
      </c>
      <c r="AQ19" s="8" t="s">
        <v>422</v>
      </c>
      <c r="AR19" s="8" t="s">
        <v>422</v>
      </c>
      <c r="AS19" s="8" t="s">
        <v>424</v>
      </c>
      <c r="AT19" s="10" t="s">
        <v>425</v>
      </c>
      <c r="AU19" s="8">
        <v>0.0</v>
      </c>
      <c r="AV19" s="10"/>
      <c r="AW19" s="8" t="s">
        <v>233</v>
      </c>
      <c r="AX19" s="8">
        <v>0.0</v>
      </c>
      <c r="AY19" s="8">
        <v>0.0</v>
      </c>
      <c r="AZ19" s="8">
        <v>0.0</v>
      </c>
      <c r="BA19" s="8">
        <v>0.0</v>
      </c>
      <c r="BB19" s="8">
        <v>0.0</v>
      </c>
      <c r="BC19" s="8">
        <v>0.0</v>
      </c>
      <c r="BD19" s="10" t="s">
        <v>426</v>
      </c>
    </row>
    <row r="20" ht="79.5" customHeight="1">
      <c r="A20" s="8" t="s">
        <v>249</v>
      </c>
      <c r="B20" s="8" t="s">
        <v>250</v>
      </c>
      <c r="C20" s="8" t="s">
        <v>427</v>
      </c>
      <c r="D20" s="8" t="b">
        <f t="shared" si="2"/>
        <v>1</v>
      </c>
      <c r="E20" s="10" t="s">
        <v>251</v>
      </c>
      <c r="F20" s="9">
        <v>45999.0</v>
      </c>
      <c r="G20" s="9">
        <v>46006.0</v>
      </c>
      <c r="H20" s="8">
        <v>2.0</v>
      </c>
      <c r="I20" s="8" t="s">
        <v>116</v>
      </c>
      <c r="J20" s="9">
        <v>46006.0</v>
      </c>
      <c r="K20" s="8" t="s">
        <v>116</v>
      </c>
      <c r="L20" s="8" t="b">
        <f t="shared" si="32"/>
        <v>1</v>
      </c>
      <c r="M20" s="9">
        <v>45978.0</v>
      </c>
      <c r="N20" s="8" t="b">
        <f>TRUE()</f>
        <v>1</v>
      </c>
      <c r="O20" s="9">
        <v>46006.0</v>
      </c>
      <c r="P20" s="8" t="b">
        <f t="shared" si="16"/>
        <v>0</v>
      </c>
      <c r="Q20" s="9"/>
      <c r="R20" s="8" t="b">
        <f t="shared" si="28"/>
        <v>0</v>
      </c>
      <c r="S20" s="9"/>
      <c r="T20" s="8">
        <v>7.0</v>
      </c>
      <c r="U20" s="9">
        <v>45978.0</v>
      </c>
      <c r="V20" s="9">
        <v>46034.0</v>
      </c>
      <c r="W20" s="8" t="s">
        <v>140</v>
      </c>
      <c r="X20" s="8" t="s">
        <v>204</v>
      </c>
      <c r="Y20" s="8" t="s">
        <v>328</v>
      </c>
      <c r="Z20" s="8" t="s">
        <v>119</v>
      </c>
      <c r="AA20" s="13">
        <v>1.2E7</v>
      </c>
      <c r="AB20" s="8" t="s">
        <v>252</v>
      </c>
      <c r="AC20" s="8" t="s">
        <v>253</v>
      </c>
      <c r="AD20" s="8" t="s">
        <v>87</v>
      </c>
      <c r="AE20" s="8" t="s">
        <v>87</v>
      </c>
      <c r="AF20" s="8" t="s">
        <v>185</v>
      </c>
      <c r="AG20" s="8" t="s">
        <v>216</v>
      </c>
      <c r="AH20" s="8"/>
      <c r="AI20" s="8"/>
      <c r="AJ20" s="8"/>
      <c r="AK20" s="8" t="s">
        <v>254</v>
      </c>
      <c r="AL20" s="8" t="s">
        <v>429</v>
      </c>
      <c r="AM20" s="8" t="b">
        <f t="shared" si="24"/>
        <v>1</v>
      </c>
      <c r="AN20" s="8" t="s">
        <v>319</v>
      </c>
      <c r="AO20" s="8">
        <v>2.91510341E8</v>
      </c>
      <c r="AP20" s="8">
        <v>2.3090057E8</v>
      </c>
      <c r="AQ20" s="8" t="s">
        <v>430</v>
      </c>
      <c r="AR20" s="8" t="s">
        <v>431</v>
      </c>
      <c r="AS20" s="8" t="s">
        <v>432</v>
      </c>
      <c r="AT20" s="10"/>
      <c r="AU20" s="8" t="b">
        <f t="shared" ref="AU20:AU27" si="36">FALSE()</f>
        <v>0</v>
      </c>
      <c r="AV20" s="10"/>
      <c r="AW20" s="8" t="s">
        <v>233</v>
      </c>
      <c r="AX20" s="8">
        <v>0.0</v>
      </c>
      <c r="AY20" s="8" t="b">
        <f t="shared" ref="AY20:BC20" si="35">FALSE()</f>
        <v>0</v>
      </c>
      <c r="AZ20" s="8" t="b">
        <f t="shared" si="35"/>
        <v>0</v>
      </c>
      <c r="BA20" s="8" t="b">
        <f t="shared" si="35"/>
        <v>0</v>
      </c>
      <c r="BB20" s="8" t="b">
        <f t="shared" si="35"/>
        <v>0</v>
      </c>
      <c r="BC20" s="8" t="b">
        <f t="shared" si="35"/>
        <v>0</v>
      </c>
      <c r="BD20" s="10" t="s">
        <v>433</v>
      </c>
    </row>
    <row r="21" ht="15.0" customHeight="1">
      <c r="A21" s="8" t="s">
        <v>255</v>
      </c>
      <c r="B21" s="8" t="s">
        <v>256</v>
      </c>
      <c r="C21" s="28" t="s">
        <v>434</v>
      </c>
      <c r="D21" s="8" t="b">
        <f t="shared" si="2"/>
        <v>1</v>
      </c>
      <c r="E21" s="10" t="s">
        <v>257</v>
      </c>
      <c r="F21" s="9">
        <v>46118.0</v>
      </c>
      <c r="G21" s="9">
        <v>46118.0</v>
      </c>
      <c r="H21" s="8">
        <v>1.0</v>
      </c>
      <c r="I21" s="8" t="s">
        <v>167</v>
      </c>
      <c r="J21" s="9">
        <v>46076.0</v>
      </c>
      <c r="K21" s="8" t="s">
        <v>167</v>
      </c>
      <c r="L21" s="8" t="b">
        <f t="shared" si="32"/>
        <v>1</v>
      </c>
      <c r="M21" s="9">
        <v>46076.0</v>
      </c>
      <c r="N21" s="8" t="b">
        <f t="shared" ref="N21:N27" si="38">FALSE()</f>
        <v>0</v>
      </c>
      <c r="O21" s="9"/>
      <c r="P21" s="8" t="b">
        <f t="shared" si="16"/>
        <v>0</v>
      </c>
      <c r="Q21" s="9"/>
      <c r="R21" s="8" t="b">
        <f t="shared" si="28"/>
        <v>0</v>
      </c>
      <c r="S21" s="9"/>
      <c r="T21" s="8">
        <v>8.0</v>
      </c>
      <c r="U21" s="9">
        <v>46070.0</v>
      </c>
      <c r="V21" s="9">
        <v>46118.0</v>
      </c>
      <c r="W21" s="8" t="s">
        <v>121</v>
      </c>
      <c r="X21" s="8" t="s">
        <v>266</v>
      </c>
      <c r="Y21" s="8" t="s">
        <v>317</v>
      </c>
      <c r="Z21" s="8"/>
      <c r="AA21" s="13"/>
      <c r="AB21" s="8"/>
      <c r="AC21" s="8"/>
      <c r="AD21" s="8"/>
      <c r="AE21" s="8" t="s">
        <v>367</v>
      </c>
      <c r="AF21" s="8"/>
      <c r="AG21" s="8"/>
      <c r="AH21" s="8"/>
      <c r="AI21" s="8"/>
      <c r="AJ21" s="8"/>
      <c r="AK21" s="8"/>
      <c r="AL21" s="8"/>
      <c r="AM21" s="8" t="b">
        <f>FALSE()</f>
        <v>0</v>
      </c>
      <c r="AN21" s="8"/>
      <c r="AO21" s="8"/>
      <c r="AP21" s="8"/>
      <c r="AQ21" s="8"/>
      <c r="AR21" s="8"/>
      <c r="AS21" s="8"/>
      <c r="AT21" s="10"/>
      <c r="AU21" s="8" t="b">
        <f t="shared" si="36"/>
        <v>0</v>
      </c>
      <c r="AV21" s="10"/>
      <c r="AW21" s="8" t="s">
        <v>436</v>
      </c>
      <c r="AX21" s="8">
        <v>5.0</v>
      </c>
      <c r="AY21" s="8" t="b">
        <f t="shared" ref="AY21:BC21" si="37">TRUE()</f>
        <v>1</v>
      </c>
      <c r="AZ21" s="8" t="b">
        <f t="shared" si="37"/>
        <v>1</v>
      </c>
      <c r="BA21" s="8" t="b">
        <f t="shared" si="37"/>
        <v>1</v>
      </c>
      <c r="BB21" s="8" t="b">
        <f t="shared" si="37"/>
        <v>1</v>
      </c>
      <c r="BC21" s="8" t="b">
        <f t="shared" si="37"/>
        <v>1</v>
      </c>
      <c r="BD21" s="10"/>
    </row>
    <row r="22" ht="15.0" customHeight="1">
      <c r="A22" s="8" t="s">
        <v>258</v>
      </c>
      <c r="B22" s="8" t="s">
        <v>259</v>
      </c>
      <c r="C22" s="8" t="s">
        <v>437</v>
      </c>
      <c r="D22" s="8" t="b">
        <f t="shared" si="2"/>
        <v>1</v>
      </c>
      <c r="E22" s="10" t="s">
        <v>260</v>
      </c>
      <c r="F22" s="9">
        <v>46251.0</v>
      </c>
      <c r="G22" s="9">
        <v>46251.0</v>
      </c>
      <c r="H22" s="8">
        <v>1.0</v>
      </c>
      <c r="I22" s="8" t="s">
        <v>167</v>
      </c>
      <c r="J22" s="9">
        <v>46251.0</v>
      </c>
      <c r="K22" s="8" t="s">
        <v>167</v>
      </c>
      <c r="L22" s="8" t="b">
        <f t="shared" si="32"/>
        <v>1</v>
      </c>
      <c r="M22" s="9">
        <v>46251.0</v>
      </c>
      <c r="N22" s="8" t="b">
        <f t="shared" si="38"/>
        <v>0</v>
      </c>
      <c r="O22" s="9"/>
      <c r="P22" s="8" t="b">
        <f t="shared" si="16"/>
        <v>0</v>
      </c>
      <c r="Q22" s="9"/>
      <c r="R22" s="8" t="b">
        <f t="shared" si="28"/>
        <v>0</v>
      </c>
      <c r="S22" s="9"/>
      <c r="T22" s="8">
        <v>1.0</v>
      </c>
      <c r="U22" s="9">
        <v>46251.0</v>
      </c>
      <c r="V22" s="9">
        <v>46251.0</v>
      </c>
      <c r="W22" s="8" t="s">
        <v>261</v>
      </c>
      <c r="X22" s="8" t="s">
        <v>204</v>
      </c>
      <c r="Y22" s="8" t="s">
        <v>317</v>
      </c>
      <c r="Z22" s="8" t="s">
        <v>119</v>
      </c>
      <c r="AA22" s="13">
        <v>1.0E7</v>
      </c>
      <c r="AB22" s="8"/>
      <c r="AC22" s="8"/>
      <c r="AD22" s="8"/>
      <c r="AE22" s="8" t="s">
        <v>367</v>
      </c>
      <c r="AF22" s="8" t="s">
        <v>185</v>
      </c>
      <c r="AG22" s="8" t="s">
        <v>353</v>
      </c>
      <c r="AH22" s="8"/>
      <c r="AI22" s="8"/>
      <c r="AJ22" s="8"/>
      <c r="AK22" s="8" t="s">
        <v>74</v>
      </c>
      <c r="AL22" s="8" t="s">
        <v>223</v>
      </c>
      <c r="AM22" s="8" t="b">
        <f t="shared" ref="AM22:AM27" si="40">TRUE()</f>
        <v>1</v>
      </c>
      <c r="AN22" s="8" t="s">
        <v>227</v>
      </c>
      <c r="AO22" s="8">
        <v>3.13497404E8</v>
      </c>
      <c r="AP22" s="8">
        <v>2.49444278E8</v>
      </c>
      <c r="AQ22" s="8" t="s">
        <v>439</v>
      </c>
      <c r="AR22" s="8" t="s">
        <v>439</v>
      </c>
      <c r="AS22" s="8" t="s">
        <v>440</v>
      </c>
      <c r="AT22" s="10"/>
      <c r="AU22" s="8" t="b">
        <f t="shared" si="36"/>
        <v>0</v>
      </c>
      <c r="AV22" s="10"/>
      <c r="AW22" s="8" t="s">
        <v>436</v>
      </c>
      <c r="AX22" s="8">
        <v>1.0</v>
      </c>
      <c r="AY22" s="8" t="b">
        <f t="shared" ref="AY22:AY23" si="41">FALSE()</f>
        <v>0</v>
      </c>
      <c r="AZ22" s="8" t="b">
        <f>TRUE()</f>
        <v>1</v>
      </c>
      <c r="BA22" s="8" t="b">
        <f t="shared" ref="BA22:BC22" si="39">FALSE()</f>
        <v>0</v>
      </c>
      <c r="BB22" s="8" t="b">
        <f t="shared" si="39"/>
        <v>0</v>
      </c>
      <c r="BC22" s="8" t="b">
        <f t="shared" si="39"/>
        <v>0</v>
      </c>
      <c r="BD22" s="10"/>
    </row>
    <row r="23" ht="102.0" customHeight="1">
      <c r="A23" s="8" t="s">
        <v>262</v>
      </c>
      <c r="B23" s="8" t="s">
        <v>263</v>
      </c>
      <c r="C23" s="8" t="s">
        <v>444</v>
      </c>
      <c r="D23" s="8" t="b">
        <f t="shared" si="2"/>
        <v>1</v>
      </c>
      <c r="E23" s="10" t="s">
        <v>264</v>
      </c>
      <c r="F23" s="9">
        <v>46195.0</v>
      </c>
      <c r="G23" s="9">
        <v>46195.0</v>
      </c>
      <c r="H23" s="8">
        <v>1.0</v>
      </c>
      <c r="I23" s="8" t="s">
        <v>167</v>
      </c>
      <c r="J23" s="9">
        <v>46195.0</v>
      </c>
      <c r="K23" s="8" t="s">
        <v>167</v>
      </c>
      <c r="L23" s="8" t="b">
        <f t="shared" si="32"/>
        <v>1</v>
      </c>
      <c r="M23" s="9">
        <v>46195.0</v>
      </c>
      <c r="N23" s="8" t="b">
        <f t="shared" si="38"/>
        <v>0</v>
      </c>
      <c r="O23" s="9"/>
      <c r="P23" s="8" t="b">
        <f t="shared" si="16"/>
        <v>0</v>
      </c>
      <c r="Q23" s="9"/>
      <c r="R23" s="8" t="b">
        <f t="shared" si="28"/>
        <v>0</v>
      </c>
      <c r="S23" s="9"/>
      <c r="T23" s="8">
        <v>1.0</v>
      </c>
      <c r="U23" s="9">
        <v>46195.0</v>
      </c>
      <c r="V23" s="9">
        <v>46195.0</v>
      </c>
      <c r="W23" s="8" t="s">
        <v>121</v>
      </c>
      <c r="X23" s="8" t="s">
        <v>204</v>
      </c>
      <c r="Y23" s="8" t="s">
        <v>317</v>
      </c>
      <c r="Z23" s="8" t="s">
        <v>265</v>
      </c>
      <c r="AA23" s="13">
        <v>1.5E7</v>
      </c>
      <c r="AB23" s="8" t="s">
        <v>240</v>
      </c>
      <c r="AC23" s="8" t="s">
        <v>166</v>
      </c>
      <c r="AD23" s="8" t="s">
        <v>87</v>
      </c>
      <c r="AE23" s="8" t="s">
        <v>87</v>
      </c>
      <c r="AF23" s="8" t="s">
        <v>185</v>
      </c>
      <c r="AG23" s="8" t="s">
        <v>353</v>
      </c>
      <c r="AH23" s="8"/>
      <c r="AI23" s="8"/>
      <c r="AJ23" s="8"/>
      <c r="AK23" s="8" t="s">
        <v>267</v>
      </c>
      <c r="AL23" s="8" t="s">
        <v>445</v>
      </c>
      <c r="AM23" s="8" t="b">
        <f t="shared" si="40"/>
        <v>1</v>
      </c>
      <c r="AN23" s="8" t="s">
        <v>227</v>
      </c>
      <c r="AO23" s="8">
        <v>2.24087181E8</v>
      </c>
      <c r="AP23" s="8">
        <v>2.43429947E8</v>
      </c>
      <c r="AQ23" s="8" t="s">
        <v>446</v>
      </c>
      <c r="AR23" s="8" t="s">
        <v>447</v>
      </c>
      <c r="AS23" s="8" t="s">
        <v>448</v>
      </c>
      <c r="AT23" s="10"/>
      <c r="AU23" s="8" t="b">
        <f t="shared" si="36"/>
        <v>0</v>
      </c>
      <c r="AV23" s="10"/>
      <c r="AW23" s="8" t="s">
        <v>233</v>
      </c>
      <c r="AX23" s="8">
        <v>0.0</v>
      </c>
      <c r="AY23" s="8" t="b">
        <f t="shared" si="41"/>
        <v>0</v>
      </c>
      <c r="AZ23" s="8" t="b">
        <f t="shared" ref="AZ23:BC23" si="42">FALSE()</f>
        <v>0</v>
      </c>
      <c r="BA23" s="8" t="b">
        <f t="shared" si="42"/>
        <v>0</v>
      </c>
      <c r="BB23" s="8" t="b">
        <f t="shared" si="42"/>
        <v>0</v>
      </c>
      <c r="BC23" s="8" t="b">
        <f t="shared" si="42"/>
        <v>0</v>
      </c>
      <c r="BD23" s="10" t="s">
        <v>450</v>
      </c>
    </row>
    <row r="24" ht="15.0" customHeight="1">
      <c r="A24" s="8" t="s">
        <v>268</v>
      </c>
      <c r="B24" s="8" t="s">
        <v>269</v>
      </c>
      <c r="C24" s="8"/>
      <c r="D24" s="8" t="b">
        <f t="shared" si="2"/>
        <v>1</v>
      </c>
      <c r="E24" s="10" t="s">
        <v>270</v>
      </c>
      <c r="F24" s="9">
        <v>46055.0</v>
      </c>
      <c r="G24" s="9">
        <v>46055.0</v>
      </c>
      <c r="H24" s="8">
        <v>1.0</v>
      </c>
      <c r="I24" s="8" t="s">
        <v>167</v>
      </c>
      <c r="J24" s="9">
        <v>46055.0</v>
      </c>
      <c r="K24" s="8" t="s">
        <v>313</v>
      </c>
      <c r="L24" s="8" t="b">
        <f t="shared" si="32"/>
        <v>1</v>
      </c>
      <c r="M24" s="9">
        <v>46055.0</v>
      </c>
      <c r="N24" s="8" t="b">
        <f t="shared" si="38"/>
        <v>0</v>
      </c>
      <c r="O24" s="9"/>
      <c r="P24" s="8" t="b">
        <f t="shared" si="16"/>
        <v>0</v>
      </c>
      <c r="Q24" s="9"/>
      <c r="R24" s="8" t="b">
        <f t="shared" si="28"/>
        <v>0</v>
      </c>
      <c r="S24" s="9"/>
      <c r="T24" s="8">
        <v>24.0</v>
      </c>
      <c r="U24" s="9">
        <v>46048.0</v>
      </c>
      <c r="V24" s="9">
        <v>46230.0</v>
      </c>
      <c r="W24" s="8" t="s">
        <v>121</v>
      </c>
      <c r="X24" s="8" t="s">
        <v>204</v>
      </c>
      <c r="Y24" s="8" t="s">
        <v>317</v>
      </c>
      <c r="Z24" s="8" t="s">
        <v>119</v>
      </c>
      <c r="AA24" s="13">
        <v>2.0E7</v>
      </c>
      <c r="AB24" s="8"/>
      <c r="AC24" s="8"/>
      <c r="AD24" s="8"/>
      <c r="AE24" s="8" t="s">
        <v>367</v>
      </c>
      <c r="AF24" s="8" t="s">
        <v>200</v>
      </c>
      <c r="AG24" s="8" t="s">
        <v>353</v>
      </c>
      <c r="AH24" s="8" t="s">
        <v>218</v>
      </c>
      <c r="AI24" s="8"/>
      <c r="AJ24" s="8"/>
      <c r="AK24" s="8" t="s">
        <v>154</v>
      </c>
      <c r="AL24" s="8" t="s">
        <v>337</v>
      </c>
      <c r="AM24" s="8" t="b">
        <f t="shared" si="40"/>
        <v>1</v>
      </c>
      <c r="AN24" s="8" t="s">
        <v>227</v>
      </c>
      <c r="AO24" s="8">
        <v>3.10577715E8</v>
      </c>
      <c r="AP24" s="8">
        <v>2.31975755E8</v>
      </c>
      <c r="AQ24" s="8" t="s">
        <v>454</v>
      </c>
      <c r="AR24" s="8"/>
      <c r="AS24" s="8"/>
      <c r="AT24" s="10"/>
      <c r="AU24" s="8" t="b">
        <f t="shared" si="36"/>
        <v>0</v>
      </c>
      <c r="AV24" s="10"/>
      <c r="AW24" s="8" t="s">
        <v>436</v>
      </c>
      <c r="AX24" s="8">
        <v>2.0</v>
      </c>
      <c r="AY24" s="8" t="b">
        <f t="shared" ref="AY24:AZ24" si="43">TRUE()</f>
        <v>1</v>
      </c>
      <c r="AZ24" s="8" t="b">
        <f t="shared" si="43"/>
        <v>1</v>
      </c>
      <c r="BA24" s="8" t="b">
        <f t="shared" ref="BA24:BC24" si="44">FALSE()</f>
        <v>0</v>
      </c>
      <c r="BB24" s="8" t="b">
        <f t="shared" si="44"/>
        <v>0</v>
      </c>
      <c r="BC24" s="8" t="b">
        <f t="shared" si="44"/>
        <v>0</v>
      </c>
      <c r="BD24" s="10"/>
    </row>
    <row r="25" ht="102.0" customHeight="1">
      <c r="A25" s="8" t="s">
        <v>271</v>
      </c>
      <c r="B25" s="8" t="s">
        <v>272</v>
      </c>
      <c r="C25" s="8" t="s">
        <v>467</v>
      </c>
      <c r="D25" s="8" t="b">
        <f t="shared" si="2"/>
        <v>1</v>
      </c>
      <c r="E25" s="10" t="s">
        <v>273</v>
      </c>
      <c r="F25" s="9">
        <v>46230.0</v>
      </c>
      <c r="G25" s="9">
        <v>46230.0</v>
      </c>
      <c r="H25" s="8">
        <v>1.0</v>
      </c>
      <c r="I25" s="8" t="s">
        <v>167</v>
      </c>
      <c r="J25" s="9">
        <v>46209.0</v>
      </c>
      <c r="K25" s="8" t="s">
        <v>167</v>
      </c>
      <c r="L25" s="8" t="b">
        <f t="shared" si="32"/>
        <v>1</v>
      </c>
      <c r="M25" s="9">
        <v>46209.0</v>
      </c>
      <c r="N25" s="8" t="b">
        <f t="shared" si="38"/>
        <v>0</v>
      </c>
      <c r="O25" s="9"/>
      <c r="P25" s="8" t="b">
        <f t="shared" si="16"/>
        <v>0</v>
      </c>
      <c r="Q25" s="9"/>
      <c r="R25" s="8" t="b">
        <f t="shared" si="28"/>
        <v>0</v>
      </c>
      <c r="S25" s="9"/>
      <c r="T25" s="8">
        <v>8.0</v>
      </c>
      <c r="U25" s="9">
        <v>46209.0</v>
      </c>
      <c r="V25" s="9">
        <v>46258.0</v>
      </c>
      <c r="W25" s="8" t="s">
        <v>83</v>
      </c>
      <c r="X25" s="8" t="s">
        <v>204</v>
      </c>
      <c r="Y25" s="8" t="s">
        <v>205</v>
      </c>
      <c r="Z25" s="8" t="s">
        <v>119</v>
      </c>
      <c r="AA25" s="13">
        <v>8000000.0</v>
      </c>
      <c r="AB25" s="8" t="s">
        <v>274</v>
      </c>
      <c r="AC25" s="8" t="s">
        <v>166</v>
      </c>
      <c r="AD25" s="8" t="s">
        <v>87</v>
      </c>
      <c r="AE25" s="8" t="s">
        <v>87</v>
      </c>
      <c r="AF25" s="8" t="s">
        <v>167</v>
      </c>
      <c r="AG25" s="8" t="s">
        <v>471</v>
      </c>
      <c r="AH25" s="8"/>
      <c r="AI25" s="8"/>
      <c r="AJ25" s="8"/>
      <c r="AK25" s="8" t="s">
        <v>127</v>
      </c>
      <c r="AL25" s="8" t="s">
        <v>318</v>
      </c>
      <c r="AM25" s="8" t="b">
        <f t="shared" si="40"/>
        <v>1</v>
      </c>
      <c r="AN25" s="8" t="s">
        <v>227</v>
      </c>
      <c r="AO25" s="8">
        <v>2.91146636E8</v>
      </c>
      <c r="AP25" s="8">
        <v>2.45020597E8</v>
      </c>
      <c r="AQ25" s="8" t="s">
        <v>473</v>
      </c>
      <c r="AR25" s="8" t="s">
        <v>474</v>
      </c>
      <c r="AS25" s="8" t="s">
        <v>476</v>
      </c>
      <c r="AT25" s="10"/>
      <c r="AU25" s="8" t="b">
        <f t="shared" si="36"/>
        <v>0</v>
      </c>
      <c r="AV25" s="10"/>
      <c r="AW25" s="8" t="s">
        <v>233</v>
      </c>
      <c r="AX25" s="8">
        <v>0.0</v>
      </c>
      <c r="AY25" s="8" t="b">
        <f t="shared" ref="AY25:BC25" si="45">FALSE()</f>
        <v>0</v>
      </c>
      <c r="AZ25" s="8" t="b">
        <f t="shared" si="45"/>
        <v>0</v>
      </c>
      <c r="BA25" s="8" t="b">
        <f t="shared" si="45"/>
        <v>0</v>
      </c>
      <c r="BB25" s="8" t="b">
        <f t="shared" si="45"/>
        <v>0</v>
      </c>
      <c r="BC25" s="8" t="b">
        <f t="shared" si="45"/>
        <v>0</v>
      </c>
      <c r="BD25" s="10" t="s">
        <v>478</v>
      </c>
    </row>
    <row r="26" ht="113.25" customHeight="1">
      <c r="A26" s="8" t="s">
        <v>275</v>
      </c>
      <c r="B26" s="8" t="s">
        <v>276</v>
      </c>
      <c r="C26" s="8" t="s">
        <v>479</v>
      </c>
      <c r="D26" s="8" t="b">
        <f t="shared" si="2"/>
        <v>1</v>
      </c>
      <c r="E26" s="10" t="s">
        <v>277</v>
      </c>
      <c r="F26" s="9">
        <v>46111.0</v>
      </c>
      <c r="G26" s="9">
        <v>46111.0</v>
      </c>
      <c r="H26" s="8">
        <v>1.0</v>
      </c>
      <c r="I26" s="8" t="s">
        <v>167</v>
      </c>
      <c r="J26" s="9">
        <v>46111.0</v>
      </c>
      <c r="K26" s="8" t="s">
        <v>167</v>
      </c>
      <c r="L26" s="8" t="b">
        <f t="shared" si="32"/>
        <v>1</v>
      </c>
      <c r="M26" s="9">
        <v>46111.0</v>
      </c>
      <c r="N26" s="8" t="b">
        <f t="shared" si="38"/>
        <v>0</v>
      </c>
      <c r="O26" s="9"/>
      <c r="P26" s="8" t="b">
        <f t="shared" si="16"/>
        <v>0</v>
      </c>
      <c r="Q26" s="9"/>
      <c r="R26" s="8" t="b">
        <f t="shared" si="28"/>
        <v>0</v>
      </c>
      <c r="S26" s="9"/>
      <c r="T26" s="8">
        <v>1.0</v>
      </c>
      <c r="U26" s="9">
        <v>46111.0</v>
      </c>
      <c r="V26" s="9">
        <v>46111.0</v>
      </c>
      <c r="W26" s="8" t="s">
        <v>121</v>
      </c>
      <c r="X26" s="8" t="s">
        <v>204</v>
      </c>
      <c r="Y26" s="8" t="s">
        <v>317</v>
      </c>
      <c r="Z26" s="8" t="s">
        <v>56</v>
      </c>
      <c r="AA26" s="13">
        <v>1.5E7</v>
      </c>
      <c r="AB26" s="8" t="s">
        <v>247</v>
      </c>
      <c r="AC26" s="8" t="s">
        <v>247</v>
      </c>
      <c r="AD26" s="8" t="s">
        <v>87</v>
      </c>
      <c r="AE26" s="8" t="s">
        <v>87</v>
      </c>
      <c r="AF26" s="8" t="s">
        <v>185</v>
      </c>
      <c r="AG26" s="8" t="s">
        <v>216</v>
      </c>
      <c r="AH26" s="8"/>
      <c r="AI26" s="8"/>
      <c r="AJ26" s="8"/>
      <c r="AK26" s="8" t="s">
        <v>154</v>
      </c>
      <c r="AL26" s="8" t="s">
        <v>337</v>
      </c>
      <c r="AM26" s="8" t="b">
        <f t="shared" si="40"/>
        <v>1</v>
      </c>
      <c r="AN26" s="8" t="s">
        <v>227</v>
      </c>
      <c r="AO26" s="8">
        <v>2.6331806E8</v>
      </c>
      <c r="AP26" s="8">
        <v>2.37720127E8</v>
      </c>
      <c r="AQ26" s="8" t="s">
        <v>483</v>
      </c>
      <c r="AR26" s="8" t="s">
        <v>484</v>
      </c>
      <c r="AS26" s="8" t="s">
        <v>485</v>
      </c>
      <c r="AT26" s="10"/>
      <c r="AU26" s="8" t="b">
        <f t="shared" si="36"/>
        <v>0</v>
      </c>
      <c r="AV26" s="10"/>
      <c r="AW26" s="8" t="s">
        <v>233</v>
      </c>
      <c r="AX26" s="8">
        <v>0.0</v>
      </c>
      <c r="AY26" s="8" t="b">
        <f t="shared" ref="AY26:BC26" si="46">FALSE()</f>
        <v>0</v>
      </c>
      <c r="AZ26" s="8" t="b">
        <f t="shared" si="46"/>
        <v>0</v>
      </c>
      <c r="BA26" s="8" t="b">
        <f t="shared" si="46"/>
        <v>0</v>
      </c>
      <c r="BB26" s="8" t="b">
        <f t="shared" si="46"/>
        <v>0</v>
      </c>
      <c r="BC26" s="8" t="b">
        <f t="shared" si="46"/>
        <v>0</v>
      </c>
      <c r="BD26" s="10" t="s">
        <v>489</v>
      </c>
    </row>
    <row r="27" ht="102.0" customHeight="1">
      <c r="A27" s="8" t="s">
        <v>278</v>
      </c>
      <c r="B27" s="8" t="s">
        <v>279</v>
      </c>
      <c r="C27" s="8" t="s">
        <v>491</v>
      </c>
      <c r="D27" s="8" t="b">
        <f t="shared" si="2"/>
        <v>1</v>
      </c>
      <c r="E27" s="10" t="s">
        <v>280</v>
      </c>
      <c r="F27" s="9">
        <v>46048.0</v>
      </c>
      <c r="G27" s="9">
        <v>46048.0</v>
      </c>
      <c r="H27" s="8">
        <v>1.0</v>
      </c>
      <c r="I27" s="8" t="s">
        <v>167</v>
      </c>
      <c r="J27" s="9">
        <v>46042.0</v>
      </c>
      <c r="K27" s="8" t="s">
        <v>167</v>
      </c>
      <c r="L27" s="8" t="b">
        <f t="shared" si="32"/>
        <v>1</v>
      </c>
      <c r="M27" s="9">
        <v>46042.0</v>
      </c>
      <c r="N27" s="8" t="b">
        <f t="shared" si="38"/>
        <v>0</v>
      </c>
      <c r="O27" s="9"/>
      <c r="P27" s="8" t="b">
        <f t="shared" si="16"/>
        <v>0</v>
      </c>
      <c r="Q27" s="9"/>
      <c r="R27" s="8" t="b">
        <f t="shared" si="28"/>
        <v>0</v>
      </c>
      <c r="S27" s="9"/>
      <c r="T27" s="8">
        <v>3.0</v>
      </c>
      <c r="U27" s="9">
        <v>46042.0</v>
      </c>
      <c r="V27" s="9">
        <v>46055.0</v>
      </c>
      <c r="W27" s="8" t="s">
        <v>140</v>
      </c>
      <c r="X27" s="8" t="s">
        <v>204</v>
      </c>
      <c r="Y27" s="8" t="s">
        <v>328</v>
      </c>
      <c r="Z27" s="8" t="s">
        <v>281</v>
      </c>
      <c r="AA27" s="13">
        <v>1.2E7</v>
      </c>
      <c r="AB27" s="8"/>
      <c r="AC27" s="8"/>
      <c r="AD27" s="8"/>
      <c r="AE27" s="8" t="s">
        <v>367</v>
      </c>
      <c r="AF27" s="8" t="s">
        <v>185</v>
      </c>
      <c r="AG27" s="8"/>
      <c r="AH27" s="8"/>
      <c r="AI27" s="8"/>
      <c r="AJ27" s="8"/>
      <c r="AK27" s="8" t="s">
        <v>267</v>
      </c>
      <c r="AL27" s="8" t="s">
        <v>445</v>
      </c>
      <c r="AM27" s="8" t="b">
        <f t="shared" si="40"/>
        <v>1</v>
      </c>
      <c r="AN27" s="8" t="s">
        <v>227</v>
      </c>
      <c r="AO27" s="8">
        <v>3.10154725E8</v>
      </c>
      <c r="AP27" s="8">
        <v>2.31875973E8</v>
      </c>
      <c r="AQ27" s="8" t="s">
        <v>497</v>
      </c>
      <c r="AR27" s="8" t="s">
        <v>498</v>
      </c>
      <c r="AS27" s="8" t="s">
        <v>499</v>
      </c>
      <c r="AT27" s="10"/>
      <c r="AU27" s="8" t="b">
        <f t="shared" si="36"/>
        <v>0</v>
      </c>
      <c r="AV27" s="10"/>
      <c r="AW27" s="8" t="s">
        <v>436</v>
      </c>
      <c r="AX27" s="8">
        <v>1.0</v>
      </c>
      <c r="AY27" s="8" t="b">
        <f>FALSE()</f>
        <v>0</v>
      </c>
      <c r="AZ27" s="8" t="b">
        <f>TRUE()</f>
        <v>1</v>
      </c>
      <c r="BA27" s="8" t="b">
        <f t="shared" ref="BA27:BC27" si="47">FALSE()</f>
        <v>0</v>
      </c>
      <c r="BB27" s="8" t="b">
        <f t="shared" si="47"/>
        <v>0</v>
      </c>
      <c r="BC27" s="8" t="b">
        <f t="shared" si="47"/>
        <v>0</v>
      </c>
      <c r="BD27" s="10" t="s">
        <v>503</v>
      </c>
    </row>
    <row r="28" ht="34.5" customHeight="1">
      <c r="A28" s="8" t="s">
        <v>283</v>
      </c>
      <c r="B28" s="8" t="s">
        <v>284</v>
      </c>
      <c r="C28" s="8" t="s">
        <v>505</v>
      </c>
      <c r="D28" s="8" t="b">
        <f t="shared" si="2"/>
        <v>1</v>
      </c>
      <c r="E28" s="10" t="s">
        <v>287</v>
      </c>
      <c r="F28" s="9">
        <v>46083.0</v>
      </c>
      <c r="G28" s="9">
        <v>46083.0</v>
      </c>
      <c r="H28" s="8">
        <v>1.0</v>
      </c>
      <c r="I28" s="8" t="s">
        <v>116</v>
      </c>
      <c r="J28" s="9">
        <v>46083.0</v>
      </c>
      <c r="K28" s="8" t="s">
        <v>116</v>
      </c>
      <c r="L28" s="8" t="b">
        <f t="shared" si="32"/>
        <v>1</v>
      </c>
      <c r="M28" s="9">
        <v>45957.0</v>
      </c>
      <c r="N28" s="8" t="b">
        <f>TRUE()</f>
        <v>1</v>
      </c>
      <c r="O28" s="9">
        <v>46083.0</v>
      </c>
      <c r="P28" s="8" t="b">
        <f t="shared" si="16"/>
        <v>0</v>
      </c>
      <c r="Q28" s="9"/>
      <c r="R28" s="8" t="b">
        <f t="shared" si="28"/>
        <v>0</v>
      </c>
      <c r="S28" s="9"/>
      <c r="T28" s="8">
        <v>4.0</v>
      </c>
      <c r="U28" s="9">
        <v>45957.0</v>
      </c>
      <c r="V28" s="9">
        <v>46083.0</v>
      </c>
      <c r="W28" s="8" t="s">
        <v>140</v>
      </c>
      <c r="X28" s="8" t="s">
        <v>266</v>
      </c>
      <c r="Y28" s="8" t="s">
        <v>328</v>
      </c>
      <c r="Z28" s="8" t="s">
        <v>265</v>
      </c>
      <c r="AA28" s="13">
        <v>2.0E9</v>
      </c>
      <c r="AB28" s="8" t="s">
        <v>194</v>
      </c>
      <c r="AC28" s="8" t="s">
        <v>143</v>
      </c>
      <c r="AD28" s="8" t="s">
        <v>87</v>
      </c>
      <c r="AE28" s="8" t="s">
        <v>87</v>
      </c>
      <c r="AF28" s="8"/>
      <c r="AG28" s="8"/>
      <c r="AH28" s="8"/>
      <c r="AI28" s="8"/>
      <c r="AJ28" s="8"/>
      <c r="AK28" s="8"/>
      <c r="AL28" s="8"/>
      <c r="AM28" s="8" t="b">
        <f>FALSE()</f>
        <v>0</v>
      </c>
      <c r="AN28" s="8"/>
      <c r="AO28" s="8"/>
      <c r="AP28" s="8"/>
      <c r="AQ28" s="8"/>
      <c r="AR28" s="8"/>
      <c r="AS28" s="8"/>
      <c r="AT28" s="10"/>
      <c r="AU28" s="8">
        <v>1.0</v>
      </c>
      <c r="AV28" s="10" t="s">
        <v>508</v>
      </c>
      <c r="AW28" s="8" t="s">
        <v>286</v>
      </c>
      <c r="AX28" s="8">
        <v>1.0</v>
      </c>
      <c r="AY28" s="8">
        <v>0.0</v>
      </c>
      <c r="AZ28" s="8">
        <v>0.0</v>
      </c>
      <c r="BA28" s="8">
        <v>0.0</v>
      </c>
      <c r="BB28" s="8">
        <v>0.0</v>
      </c>
      <c r="BC28" s="8">
        <v>1.0</v>
      </c>
      <c r="BD28" s="10"/>
    </row>
    <row r="29" ht="23.25" customHeight="1">
      <c r="A29" s="8" t="s">
        <v>288</v>
      </c>
      <c r="B29" s="8" t="s">
        <v>289</v>
      </c>
      <c r="C29" s="8" t="s">
        <v>509</v>
      </c>
      <c r="D29" s="8" t="b">
        <f t="shared" si="2"/>
        <v>1</v>
      </c>
      <c r="E29" s="10" t="s">
        <v>290</v>
      </c>
      <c r="F29" s="9">
        <v>45964.0</v>
      </c>
      <c r="G29" s="9">
        <v>45964.0</v>
      </c>
      <c r="H29" s="8">
        <v>1.0</v>
      </c>
      <c r="I29" s="8" t="s">
        <v>167</v>
      </c>
      <c r="J29" s="9">
        <v>45957.0</v>
      </c>
      <c r="K29" s="8" t="s">
        <v>167</v>
      </c>
      <c r="L29" s="8" t="b">
        <f t="shared" si="32"/>
        <v>1</v>
      </c>
      <c r="M29" s="9">
        <v>45957.0</v>
      </c>
      <c r="N29" s="8" t="b">
        <f t="shared" ref="N29:N186" si="48">FALSE()</f>
        <v>0</v>
      </c>
      <c r="O29" s="9"/>
      <c r="P29" s="8" t="b">
        <f t="shared" si="16"/>
        <v>0</v>
      </c>
      <c r="Q29" s="9"/>
      <c r="R29" s="8" t="b">
        <f t="shared" si="28"/>
        <v>0</v>
      </c>
      <c r="S29" s="9"/>
      <c r="T29" s="8">
        <v>8.0</v>
      </c>
      <c r="U29" s="9">
        <v>45957.0</v>
      </c>
      <c r="V29" s="9">
        <v>46006.0</v>
      </c>
      <c r="W29" s="8" t="s">
        <v>121</v>
      </c>
      <c r="X29" s="8" t="s">
        <v>204</v>
      </c>
      <c r="Y29" s="8" t="s">
        <v>328</v>
      </c>
      <c r="Z29" s="8" t="s">
        <v>119</v>
      </c>
      <c r="AA29" s="13"/>
      <c r="AB29" s="8" t="s">
        <v>292</v>
      </c>
      <c r="AC29" s="8" t="s">
        <v>70</v>
      </c>
      <c r="AD29" s="8" t="s">
        <v>71</v>
      </c>
      <c r="AE29" s="8" t="s">
        <v>214</v>
      </c>
      <c r="AF29" s="8" t="s">
        <v>293</v>
      </c>
      <c r="AG29" s="8"/>
      <c r="AH29" s="8"/>
      <c r="AI29" s="8"/>
      <c r="AJ29" s="8"/>
      <c r="AK29" s="8"/>
      <c r="AL29" s="8"/>
      <c r="AM29" s="8" t="b">
        <f t="shared" ref="AM29:AM36" si="49">TRUE()</f>
        <v>1</v>
      </c>
      <c r="AN29" s="8" t="s">
        <v>227</v>
      </c>
      <c r="AO29" s="8">
        <v>2.62788047E8</v>
      </c>
      <c r="AP29" s="8">
        <v>2.300152E8</v>
      </c>
      <c r="AQ29" s="8" t="s">
        <v>510</v>
      </c>
      <c r="AR29" s="8" t="s">
        <v>228</v>
      </c>
      <c r="AS29" s="8" t="s">
        <v>511</v>
      </c>
      <c r="AT29" s="10"/>
      <c r="AU29" s="8">
        <v>1.0</v>
      </c>
      <c r="AV29" s="10" t="s">
        <v>512</v>
      </c>
      <c r="AW29" s="8" t="s">
        <v>436</v>
      </c>
      <c r="AX29" s="8">
        <v>2.0</v>
      </c>
      <c r="AY29" s="8">
        <v>0.0</v>
      </c>
      <c r="AZ29" s="8">
        <v>0.0</v>
      </c>
      <c r="BA29" s="8">
        <v>0.0</v>
      </c>
      <c r="BB29" s="8">
        <v>1.0</v>
      </c>
      <c r="BC29" s="8">
        <v>1.0</v>
      </c>
      <c r="BD29" s="10" t="s">
        <v>513</v>
      </c>
    </row>
    <row r="30" ht="90.75" customHeight="1">
      <c r="A30" s="8" t="s">
        <v>294</v>
      </c>
      <c r="B30" s="8" t="s">
        <v>295</v>
      </c>
      <c r="C30" s="8"/>
      <c r="D30" s="8" t="b">
        <f t="shared" si="2"/>
        <v>1</v>
      </c>
      <c r="E30" s="10" t="s">
        <v>296</v>
      </c>
      <c r="F30" s="9">
        <v>46237.0</v>
      </c>
      <c r="G30" s="9">
        <v>46237.0</v>
      </c>
      <c r="H30" s="8">
        <v>1.0</v>
      </c>
      <c r="I30" s="8" t="s">
        <v>167</v>
      </c>
      <c r="J30" s="9">
        <v>46237.0</v>
      </c>
      <c r="K30" s="8" t="s">
        <v>167</v>
      </c>
      <c r="L30" s="8" t="b">
        <f t="shared" si="32"/>
        <v>1</v>
      </c>
      <c r="M30" s="9">
        <v>46237.0</v>
      </c>
      <c r="N30" s="8" t="b">
        <f t="shared" si="48"/>
        <v>0</v>
      </c>
      <c r="O30" s="9"/>
      <c r="P30" s="8" t="b">
        <f t="shared" si="16"/>
        <v>0</v>
      </c>
      <c r="Q30" s="9"/>
      <c r="R30" s="8" t="b">
        <f t="shared" si="28"/>
        <v>0</v>
      </c>
      <c r="S30" s="9"/>
      <c r="T30" s="8">
        <v>1.0</v>
      </c>
      <c r="U30" s="9">
        <v>46237.0</v>
      </c>
      <c r="V30" s="9">
        <v>46237.0</v>
      </c>
      <c r="W30" s="8" t="s">
        <v>121</v>
      </c>
      <c r="X30" s="8" t="s">
        <v>204</v>
      </c>
      <c r="Y30" s="8" t="s">
        <v>360</v>
      </c>
      <c r="Z30" s="8" t="s">
        <v>119</v>
      </c>
      <c r="AA30" s="13">
        <v>1.5E7</v>
      </c>
      <c r="AB30" s="8"/>
      <c r="AC30" s="8"/>
      <c r="AD30" s="8"/>
      <c r="AE30" s="8" t="s">
        <v>367</v>
      </c>
      <c r="AF30" s="8" t="s">
        <v>167</v>
      </c>
      <c r="AG30" s="8" t="s">
        <v>514</v>
      </c>
      <c r="AH30" s="8"/>
      <c r="AI30" s="8"/>
      <c r="AJ30" s="8"/>
      <c r="AK30" s="8" t="s">
        <v>297</v>
      </c>
      <c r="AL30" s="8" t="s">
        <v>515</v>
      </c>
      <c r="AM30" s="8" t="b">
        <f t="shared" si="49"/>
        <v>1</v>
      </c>
      <c r="AN30" s="8" t="s">
        <v>227</v>
      </c>
      <c r="AO30" s="8">
        <v>3.13514967E8</v>
      </c>
      <c r="AP30" s="8">
        <v>2.48367014E8</v>
      </c>
      <c r="AQ30" s="8" t="s">
        <v>516</v>
      </c>
      <c r="AR30" s="8"/>
      <c r="AS30" s="8"/>
      <c r="AT30" s="10"/>
      <c r="AU30" s="8" t="b">
        <f t="shared" ref="AU30:AU35" si="52">FALSE()</f>
        <v>0</v>
      </c>
      <c r="AV30" s="10"/>
      <c r="AW30" s="8" t="s">
        <v>436</v>
      </c>
      <c r="AX30" s="8">
        <v>2.0</v>
      </c>
      <c r="AY30" s="8" t="b">
        <f t="shared" ref="AY30:AZ30" si="50">TRUE()</f>
        <v>1</v>
      </c>
      <c r="AZ30" s="8" t="b">
        <f t="shared" si="50"/>
        <v>1</v>
      </c>
      <c r="BA30" s="8" t="b">
        <f t="shared" ref="BA30:BC30" si="51">FALSE()</f>
        <v>0</v>
      </c>
      <c r="BB30" s="8" t="b">
        <f t="shared" si="51"/>
        <v>0</v>
      </c>
      <c r="BC30" s="8" t="b">
        <f t="shared" si="51"/>
        <v>0</v>
      </c>
      <c r="BD30" s="10"/>
    </row>
    <row r="31" ht="15.0" customHeight="1">
      <c r="A31" s="8" t="s">
        <v>298</v>
      </c>
      <c r="B31" s="8" t="s">
        <v>299</v>
      </c>
      <c r="C31" s="8" t="s">
        <v>520</v>
      </c>
      <c r="D31" s="8" t="b">
        <f t="shared" si="2"/>
        <v>1</v>
      </c>
      <c r="E31" s="10" t="s">
        <v>257</v>
      </c>
      <c r="F31" s="9">
        <v>46118.0</v>
      </c>
      <c r="G31" s="9">
        <v>46118.0</v>
      </c>
      <c r="H31" s="8">
        <v>1.0</v>
      </c>
      <c r="I31" s="8" t="s">
        <v>167</v>
      </c>
      <c r="J31" s="9">
        <v>46118.0</v>
      </c>
      <c r="K31" s="8" t="s">
        <v>167</v>
      </c>
      <c r="L31" s="8" t="b">
        <f t="shared" si="32"/>
        <v>1</v>
      </c>
      <c r="M31" s="9">
        <v>46118.0</v>
      </c>
      <c r="N31" s="8" t="b">
        <f t="shared" si="48"/>
        <v>0</v>
      </c>
      <c r="O31" s="9"/>
      <c r="P31" s="8" t="b">
        <f t="shared" si="16"/>
        <v>0</v>
      </c>
      <c r="Q31" s="9"/>
      <c r="R31" s="8" t="b">
        <f t="shared" si="28"/>
        <v>0</v>
      </c>
      <c r="S31" s="9"/>
      <c r="T31" s="8">
        <v>1.0</v>
      </c>
      <c r="U31" s="9">
        <v>46118.0</v>
      </c>
      <c r="V31" s="9">
        <v>46118.0</v>
      </c>
      <c r="W31" s="8" t="s">
        <v>121</v>
      </c>
      <c r="X31" s="8" t="s">
        <v>204</v>
      </c>
      <c r="Y31" s="8" t="s">
        <v>317</v>
      </c>
      <c r="Z31" s="8" t="s">
        <v>56</v>
      </c>
      <c r="AA31" s="13">
        <v>6000000.0</v>
      </c>
      <c r="AB31" s="8" t="s">
        <v>300</v>
      </c>
      <c r="AC31" s="8" t="s">
        <v>143</v>
      </c>
      <c r="AD31" s="8" t="s">
        <v>87</v>
      </c>
      <c r="AE31" s="8" t="s">
        <v>87</v>
      </c>
      <c r="AF31" s="8" t="s">
        <v>185</v>
      </c>
      <c r="AG31" s="8" t="s">
        <v>471</v>
      </c>
      <c r="AH31" s="8"/>
      <c r="AI31" s="8"/>
      <c r="AJ31" s="8"/>
      <c r="AK31" s="8" t="s">
        <v>154</v>
      </c>
      <c r="AL31" s="8" t="s">
        <v>337</v>
      </c>
      <c r="AM31" s="8" t="b">
        <f t="shared" si="49"/>
        <v>1</v>
      </c>
      <c r="AN31" s="8" t="s">
        <v>338</v>
      </c>
      <c r="AO31" s="8">
        <v>2.97882448E8</v>
      </c>
      <c r="AP31" s="8">
        <v>2.3779019E8</v>
      </c>
      <c r="AQ31" s="8" t="s">
        <v>523</v>
      </c>
      <c r="AR31" s="8" t="s">
        <v>524</v>
      </c>
      <c r="AS31" s="8" t="s">
        <v>525</v>
      </c>
      <c r="AT31" s="10"/>
      <c r="AU31" s="8" t="b">
        <f t="shared" si="52"/>
        <v>0</v>
      </c>
      <c r="AV31" s="10"/>
      <c r="AW31" s="8" t="s">
        <v>233</v>
      </c>
      <c r="AX31" s="8">
        <v>0.0</v>
      </c>
      <c r="AY31" s="8" t="b">
        <f t="shared" ref="AY31:BC31" si="53">FALSE()</f>
        <v>0</v>
      </c>
      <c r="AZ31" s="8" t="b">
        <f t="shared" si="53"/>
        <v>0</v>
      </c>
      <c r="BA31" s="8" t="b">
        <f t="shared" si="53"/>
        <v>0</v>
      </c>
      <c r="BB31" s="8" t="b">
        <f t="shared" si="53"/>
        <v>0</v>
      </c>
      <c r="BC31" s="8" t="b">
        <f t="shared" si="53"/>
        <v>0</v>
      </c>
      <c r="BD31" s="10" t="s">
        <v>527</v>
      </c>
    </row>
    <row r="32" ht="124.5" customHeight="1">
      <c r="A32" s="8" t="s">
        <v>302</v>
      </c>
      <c r="B32" s="8" t="s">
        <v>303</v>
      </c>
      <c r="C32" s="8" t="s">
        <v>528</v>
      </c>
      <c r="D32" s="8" t="b">
        <f t="shared" si="2"/>
        <v>1</v>
      </c>
      <c r="E32" s="10" t="s">
        <v>304</v>
      </c>
      <c r="F32" s="9">
        <v>45957.0</v>
      </c>
      <c r="G32" s="9">
        <v>45957.0</v>
      </c>
      <c r="H32" s="8">
        <v>1.0</v>
      </c>
      <c r="I32" s="8" t="s">
        <v>167</v>
      </c>
      <c r="J32" s="9">
        <v>45944.0</v>
      </c>
      <c r="K32" s="8" t="s">
        <v>167</v>
      </c>
      <c r="L32" s="8" t="b">
        <f t="shared" si="32"/>
        <v>1</v>
      </c>
      <c r="M32" s="9">
        <v>45944.0</v>
      </c>
      <c r="N32" s="8" t="b">
        <f t="shared" si="48"/>
        <v>0</v>
      </c>
      <c r="O32" s="9"/>
      <c r="P32" s="8" t="b">
        <f t="shared" si="16"/>
        <v>0</v>
      </c>
      <c r="Q32" s="9"/>
      <c r="R32" s="8" t="b">
        <f t="shared" si="28"/>
        <v>0</v>
      </c>
      <c r="S32" s="9"/>
      <c r="T32" s="8">
        <v>4.0</v>
      </c>
      <c r="U32" s="9">
        <v>45944.0</v>
      </c>
      <c r="V32" s="9">
        <v>45964.0</v>
      </c>
      <c r="W32" s="8" t="s">
        <v>83</v>
      </c>
      <c r="X32" s="8" t="s">
        <v>204</v>
      </c>
      <c r="Y32" s="8" t="s">
        <v>205</v>
      </c>
      <c r="Z32" s="8" t="s">
        <v>119</v>
      </c>
      <c r="AA32" s="13">
        <v>6000000.0</v>
      </c>
      <c r="AB32" s="8" t="s">
        <v>240</v>
      </c>
      <c r="AC32" s="8" t="s">
        <v>166</v>
      </c>
      <c r="AD32" s="8" t="s">
        <v>87</v>
      </c>
      <c r="AE32" s="8" t="s">
        <v>87</v>
      </c>
      <c r="AF32" s="8" t="s">
        <v>200</v>
      </c>
      <c r="AG32" s="8" t="s">
        <v>353</v>
      </c>
      <c r="AH32" s="8"/>
      <c r="AI32" s="8"/>
      <c r="AJ32" s="8"/>
      <c r="AK32" s="8" t="s">
        <v>215</v>
      </c>
      <c r="AL32" s="8" t="s">
        <v>393</v>
      </c>
      <c r="AM32" s="8" t="b">
        <f t="shared" si="49"/>
        <v>1</v>
      </c>
      <c r="AN32" s="8" t="s">
        <v>227</v>
      </c>
      <c r="AO32" s="8">
        <v>3.00391587E8</v>
      </c>
      <c r="AP32" s="8">
        <v>2.20885034E8</v>
      </c>
      <c r="AQ32" s="8" t="s">
        <v>529</v>
      </c>
      <c r="AR32" s="8" t="s">
        <v>529</v>
      </c>
      <c r="AS32" s="8" t="s">
        <v>530</v>
      </c>
      <c r="AT32" s="10"/>
      <c r="AU32" s="8" t="b">
        <f t="shared" si="52"/>
        <v>0</v>
      </c>
      <c r="AV32" s="10"/>
      <c r="AW32" s="8" t="s">
        <v>233</v>
      </c>
      <c r="AX32" s="8">
        <v>0.0</v>
      </c>
      <c r="AY32" s="8" t="b">
        <f t="shared" ref="AY32:BC32" si="54">FALSE()</f>
        <v>0</v>
      </c>
      <c r="AZ32" s="8" t="b">
        <f t="shared" si="54"/>
        <v>0</v>
      </c>
      <c r="BA32" s="8" t="b">
        <f t="shared" si="54"/>
        <v>0</v>
      </c>
      <c r="BB32" s="8" t="b">
        <f t="shared" si="54"/>
        <v>0</v>
      </c>
      <c r="BC32" s="8" t="b">
        <f t="shared" si="54"/>
        <v>0</v>
      </c>
      <c r="BD32" s="10" t="s">
        <v>531</v>
      </c>
    </row>
    <row r="33" ht="124.5" customHeight="1">
      <c r="A33" s="8" t="s">
        <v>306</v>
      </c>
      <c r="B33" s="8" t="s">
        <v>307</v>
      </c>
      <c r="C33" s="8" t="s">
        <v>532</v>
      </c>
      <c r="D33" s="8" t="b">
        <f t="shared" si="2"/>
        <v>1</v>
      </c>
      <c r="E33" s="10" t="s">
        <v>308</v>
      </c>
      <c r="F33" s="9">
        <v>46258.0</v>
      </c>
      <c r="G33" s="9">
        <v>46258.0</v>
      </c>
      <c r="H33" s="8">
        <v>1.0</v>
      </c>
      <c r="I33" s="8" t="s">
        <v>167</v>
      </c>
      <c r="J33" s="9">
        <v>46237.0</v>
      </c>
      <c r="K33" s="8" t="s">
        <v>167</v>
      </c>
      <c r="L33" s="8" t="b">
        <f t="shared" si="32"/>
        <v>1</v>
      </c>
      <c r="M33" s="9">
        <v>46237.0</v>
      </c>
      <c r="N33" s="8" t="b">
        <f t="shared" si="48"/>
        <v>0</v>
      </c>
      <c r="O33" s="9"/>
      <c r="P33" s="8" t="b">
        <f t="shared" si="16"/>
        <v>0</v>
      </c>
      <c r="Q33" s="9"/>
      <c r="R33" s="8" t="b">
        <f t="shared" si="28"/>
        <v>0</v>
      </c>
      <c r="S33" s="9"/>
      <c r="T33" s="8">
        <v>4.0</v>
      </c>
      <c r="U33" s="9">
        <v>46237.0</v>
      </c>
      <c r="V33" s="9">
        <v>46258.0</v>
      </c>
      <c r="W33" s="8" t="s">
        <v>121</v>
      </c>
      <c r="X33" s="8" t="s">
        <v>204</v>
      </c>
      <c r="Y33" s="8" t="s">
        <v>317</v>
      </c>
      <c r="Z33" s="8" t="s">
        <v>119</v>
      </c>
      <c r="AA33" s="13">
        <v>1.7E7</v>
      </c>
      <c r="AB33" s="8"/>
      <c r="AC33" s="8"/>
      <c r="AD33" s="8"/>
      <c r="AE33" s="8" t="s">
        <v>367</v>
      </c>
      <c r="AF33" s="8" t="s">
        <v>167</v>
      </c>
      <c r="AG33" s="8" t="s">
        <v>216</v>
      </c>
      <c r="AH33" s="8"/>
      <c r="AI33" s="8"/>
      <c r="AJ33" s="8"/>
      <c r="AK33" s="8" t="s">
        <v>127</v>
      </c>
      <c r="AL33" s="8" t="s">
        <v>318</v>
      </c>
      <c r="AM33" s="8" t="b">
        <f t="shared" si="49"/>
        <v>1</v>
      </c>
      <c r="AN33" s="8" t="s">
        <v>227</v>
      </c>
      <c r="AO33" s="8">
        <v>3.1140032E8</v>
      </c>
      <c r="AP33" s="8">
        <v>2.50054857E8</v>
      </c>
      <c r="AQ33" s="8" t="s">
        <v>533</v>
      </c>
      <c r="AR33" s="8" t="s">
        <v>483</v>
      </c>
      <c r="AS33" s="8" t="s">
        <v>349</v>
      </c>
      <c r="AT33" s="10"/>
      <c r="AU33" s="8" t="b">
        <f t="shared" si="52"/>
        <v>0</v>
      </c>
      <c r="AV33" s="10"/>
      <c r="AW33" s="8" t="s">
        <v>436</v>
      </c>
      <c r="AX33" s="8">
        <v>1.0</v>
      </c>
      <c r="AY33" s="8" t="b">
        <f>FALSE()</f>
        <v>0</v>
      </c>
      <c r="AZ33" s="8" t="b">
        <f>TRUE()</f>
        <v>1</v>
      </c>
      <c r="BA33" s="8" t="b">
        <f t="shared" ref="BA33:BC33" si="55">FALSE()</f>
        <v>0</v>
      </c>
      <c r="BB33" s="8" t="b">
        <f t="shared" si="55"/>
        <v>0</v>
      </c>
      <c r="BC33" s="8" t="b">
        <f t="shared" si="55"/>
        <v>0</v>
      </c>
      <c r="BD33" s="10"/>
    </row>
    <row r="34" ht="15.0" customHeight="1">
      <c r="A34" s="8" t="s">
        <v>310</v>
      </c>
      <c r="B34" s="8" t="s">
        <v>311</v>
      </c>
      <c r="C34" s="8"/>
      <c r="D34" s="8" t="b">
        <f t="shared" si="2"/>
        <v>1</v>
      </c>
      <c r="E34" s="10" t="s">
        <v>257</v>
      </c>
      <c r="F34" s="9">
        <v>46118.0</v>
      </c>
      <c r="G34" s="9">
        <v>46118.0</v>
      </c>
      <c r="H34" s="8">
        <v>1.0</v>
      </c>
      <c r="I34" s="8" t="s">
        <v>167</v>
      </c>
      <c r="J34" s="9">
        <v>46118.0</v>
      </c>
      <c r="K34" s="8" t="s">
        <v>167</v>
      </c>
      <c r="L34" s="8" t="b">
        <f t="shared" si="32"/>
        <v>1</v>
      </c>
      <c r="M34" s="9">
        <v>46118.0</v>
      </c>
      <c r="N34" s="8" t="b">
        <f t="shared" si="48"/>
        <v>0</v>
      </c>
      <c r="O34" s="9"/>
      <c r="P34" s="8" t="b">
        <f t="shared" si="16"/>
        <v>0</v>
      </c>
      <c r="Q34" s="9"/>
      <c r="R34" s="8" t="b">
        <f t="shared" si="28"/>
        <v>0</v>
      </c>
      <c r="S34" s="9"/>
      <c r="T34" s="8">
        <v>1.0</v>
      </c>
      <c r="U34" s="9">
        <v>46118.0</v>
      </c>
      <c r="V34" s="9">
        <v>46118.0</v>
      </c>
      <c r="W34" s="8" t="s">
        <v>121</v>
      </c>
      <c r="X34" s="8" t="s">
        <v>204</v>
      </c>
      <c r="Y34" s="8" t="s">
        <v>317</v>
      </c>
      <c r="Z34" s="8" t="s">
        <v>119</v>
      </c>
      <c r="AA34" s="13">
        <v>1.0E7</v>
      </c>
      <c r="AB34" s="8"/>
      <c r="AC34" s="8"/>
      <c r="AD34" s="8"/>
      <c r="AE34" s="8" t="s">
        <v>367</v>
      </c>
      <c r="AF34" s="8" t="s">
        <v>200</v>
      </c>
      <c r="AG34" s="8" t="s">
        <v>353</v>
      </c>
      <c r="AH34" s="8"/>
      <c r="AI34" s="8"/>
      <c r="AJ34" s="8"/>
      <c r="AK34" s="8" t="s">
        <v>154</v>
      </c>
      <c r="AL34" s="8" t="s">
        <v>337</v>
      </c>
      <c r="AM34" s="8" t="b">
        <f t="shared" si="49"/>
        <v>1</v>
      </c>
      <c r="AN34" s="8" t="s">
        <v>319</v>
      </c>
      <c r="AO34" s="8">
        <v>3.11517728E8</v>
      </c>
      <c r="AP34" s="8">
        <v>2.37197317E8</v>
      </c>
      <c r="AQ34" s="8" t="s">
        <v>534</v>
      </c>
      <c r="AR34" s="8"/>
      <c r="AS34" s="8"/>
      <c r="AT34" s="10"/>
      <c r="AU34" s="8" t="b">
        <f t="shared" si="52"/>
        <v>0</v>
      </c>
      <c r="AV34" s="10"/>
      <c r="AW34" s="8" t="s">
        <v>436</v>
      </c>
      <c r="AX34" s="8">
        <v>2.0</v>
      </c>
      <c r="AY34" s="8" t="b">
        <f t="shared" ref="AY34:AZ34" si="56">TRUE()</f>
        <v>1</v>
      </c>
      <c r="AZ34" s="8" t="b">
        <f t="shared" si="56"/>
        <v>1</v>
      </c>
      <c r="BA34" s="8" t="b">
        <f t="shared" ref="BA34:BC34" si="57">FALSE()</f>
        <v>0</v>
      </c>
      <c r="BB34" s="8" t="b">
        <f t="shared" si="57"/>
        <v>0</v>
      </c>
      <c r="BC34" s="8" t="b">
        <f t="shared" si="57"/>
        <v>0</v>
      </c>
      <c r="BD34" s="10"/>
    </row>
    <row r="35" ht="15.0" customHeight="1">
      <c r="A35" s="8" t="s">
        <v>535</v>
      </c>
      <c r="B35" s="8" t="s">
        <v>536</v>
      </c>
      <c r="C35" s="8" t="s">
        <v>537</v>
      </c>
      <c r="D35" s="8" t="b">
        <f t="shared" ref="D35:D86" si="60">FALSE()</f>
        <v>0</v>
      </c>
      <c r="E35" s="10"/>
      <c r="F35" s="9"/>
      <c r="G35" s="9"/>
      <c r="H35" s="8">
        <v>0.0</v>
      </c>
      <c r="I35" s="8" t="s">
        <v>167</v>
      </c>
      <c r="J35" s="9">
        <v>46070.0</v>
      </c>
      <c r="K35" s="8" t="s">
        <v>167</v>
      </c>
      <c r="L35" s="8" t="b">
        <f t="shared" si="32"/>
        <v>1</v>
      </c>
      <c r="M35" s="9">
        <v>46070.0</v>
      </c>
      <c r="N35" s="8" t="b">
        <f t="shared" si="48"/>
        <v>0</v>
      </c>
      <c r="O35" s="9"/>
      <c r="P35" s="8" t="b">
        <f t="shared" si="16"/>
        <v>0</v>
      </c>
      <c r="Q35" s="9"/>
      <c r="R35" s="8" t="b">
        <f t="shared" si="28"/>
        <v>0</v>
      </c>
      <c r="S35" s="9"/>
      <c r="T35" s="8">
        <v>1.0</v>
      </c>
      <c r="U35" s="9">
        <v>46070.0</v>
      </c>
      <c r="V35" s="9">
        <v>46070.0</v>
      </c>
      <c r="W35" s="8" t="s">
        <v>83</v>
      </c>
      <c r="X35" s="8" t="s">
        <v>204</v>
      </c>
      <c r="Y35" s="8" t="s">
        <v>205</v>
      </c>
      <c r="Z35" s="8"/>
      <c r="AA35" s="13"/>
      <c r="AB35" s="8" t="s">
        <v>538</v>
      </c>
      <c r="AC35" s="8" t="s">
        <v>316</v>
      </c>
      <c r="AD35" s="8" t="s">
        <v>87</v>
      </c>
      <c r="AE35" s="8" t="s">
        <v>87</v>
      </c>
      <c r="AF35" s="8" t="s">
        <v>539</v>
      </c>
      <c r="AG35" s="8"/>
      <c r="AH35" s="8"/>
      <c r="AI35" s="8"/>
      <c r="AJ35" s="8"/>
      <c r="AK35" s="8" t="s">
        <v>127</v>
      </c>
      <c r="AL35" s="8" t="s">
        <v>318</v>
      </c>
      <c r="AM35" s="8" t="b">
        <f t="shared" si="49"/>
        <v>1</v>
      </c>
      <c r="AN35" s="8" t="s">
        <v>319</v>
      </c>
      <c r="AO35" s="8">
        <v>2.78244151E8</v>
      </c>
      <c r="AP35" s="8">
        <v>2.33706001E8</v>
      </c>
      <c r="AQ35" s="8" t="s">
        <v>540</v>
      </c>
      <c r="AR35" s="8" t="s">
        <v>541</v>
      </c>
      <c r="AS35" s="8" t="s">
        <v>541</v>
      </c>
      <c r="AT35" s="10"/>
      <c r="AU35" s="8" t="b">
        <f t="shared" si="52"/>
        <v>0</v>
      </c>
      <c r="AV35" s="10"/>
      <c r="AW35" s="8" t="s">
        <v>233</v>
      </c>
      <c r="AX35" s="8">
        <v>2.0</v>
      </c>
      <c r="AY35" s="8" t="b">
        <f t="shared" ref="AY35:AZ35" si="58">FALSE()</f>
        <v>0</v>
      </c>
      <c r="AZ35" s="8" t="b">
        <f t="shared" si="58"/>
        <v>0</v>
      </c>
      <c r="BA35" s="8" t="b">
        <f t="shared" ref="BA35:BB35" si="59">TRUE()</f>
        <v>1</v>
      </c>
      <c r="BB35" s="8" t="b">
        <f t="shared" si="59"/>
        <v>1</v>
      </c>
      <c r="BC35" s="8" t="b">
        <f>FALSE()</f>
        <v>0</v>
      </c>
      <c r="BD35" s="10" t="s">
        <v>542</v>
      </c>
    </row>
    <row r="36" ht="102.0" customHeight="1">
      <c r="A36" s="8" t="s">
        <v>543</v>
      </c>
      <c r="B36" s="8" t="s">
        <v>544</v>
      </c>
      <c r="C36" s="8" t="s">
        <v>545</v>
      </c>
      <c r="D36" s="8" t="b">
        <f t="shared" si="60"/>
        <v>0</v>
      </c>
      <c r="E36" s="10"/>
      <c r="F36" s="9"/>
      <c r="G36" s="9"/>
      <c r="H36" s="8">
        <v>0.0</v>
      </c>
      <c r="I36" s="8" t="s">
        <v>167</v>
      </c>
      <c r="J36" s="9">
        <v>46230.0</v>
      </c>
      <c r="K36" s="8" t="s">
        <v>167</v>
      </c>
      <c r="L36" s="8" t="b">
        <f t="shared" si="32"/>
        <v>1</v>
      </c>
      <c r="M36" s="9">
        <v>46230.0</v>
      </c>
      <c r="N36" s="8" t="b">
        <f t="shared" si="48"/>
        <v>0</v>
      </c>
      <c r="O36" s="9"/>
      <c r="P36" s="8" t="b">
        <f t="shared" si="16"/>
        <v>0</v>
      </c>
      <c r="Q36" s="9"/>
      <c r="R36" s="8" t="b">
        <f t="shared" si="28"/>
        <v>0</v>
      </c>
      <c r="S36" s="9"/>
      <c r="T36" s="8">
        <v>18.0</v>
      </c>
      <c r="U36" s="9">
        <v>45978.0</v>
      </c>
      <c r="V36" s="9">
        <v>46265.0</v>
      </c>
      <c r="W36" s="8" t="s">
        <v>121</v>
      </c>
      <c r="X36" s="8" t="s">
        <v>204</v>
      </c>
      <c r="Y36" s="8" t="s">
        <v>317</v>
      </c>
      <c r="Z36" s="8" t="s">
        <v>281</v>
      </c>
      <c r="AA36" s="13">
        <v>6000000.0</v>
      </c>
      <c r="AB36" s="8"/>
      <c r="AC36" s="8"/>
      <c r="AD36" s="8"/>
      <c r="AE36" s="8" t="s">
        <v>367</v>
      </c>
      <c r="AF36" s="8" t="s">
        <v>167</v>
      </c>
      <c r="AG36" s="8" t="s">
        <v>353</v>
      </c>
      <c r="AH36" s="8" t="s">
        <v>220</v>
      </c>
      <c r="AI36" s="8" t="s">
        <v>218</v>
      </c>
      <c r="AJ36" s="8" t="s">
        <v>218</v>
      </c>
      <c r="AK36" s="8" t="s">
        <v>215</v>
      </c>
      <c r="AL36" s="8" t="s">
        <v>393</v>
      </c>
      <c r="AM36" s="8" t="b">
        <f t="shared" si="49"/>
        <v>1</v>
      </c>
      <c r="AN36" s="8" t="s">
        <v>227</v>
      </c>
      <c r="AO36" s="8">
        <v>3.13217896E8</v>
      </c>
      <c r="AP36" s="8">
        <v>2.46954853E8</v>
      </c>
      <c r="AQ36" s="8" t="s">
        <v>547</v>
      </c>
      <c r="AR36" s="8" t="s">
        <v>548</v>
      </c>
      <c r="AS36" s="8" t="s">
        <v>549</v>
      </c>
      <c r="AT36" s="10" t="s">
        <v>550</v>
      </c>
      <c r="AU36" s="8">
        <v>0.0</v>
      </c>
      <c r="AV36" s="10"/>
      <c r="AW36" s="8" t="s">
        <v>233</v>
      </c>
      <c r="AX36" s="8">
        <v>1.0</v>
      </c>
      <c r="AY36" s="8">
        <v>0.0</v>
      </c>
      <c r="AZ36" s="8">
        <v>1.0</v>
      </c>
      <c r="BA36" s="8">
        <v>0.0</v>
      </c>
      <c r="BB36" s="8">
        <v>0.0</v>
      </c>
      <c r="BC36" s="8">
        <v>0.0</v>
      </c>
      <c r="BD36" s="10"/>
    </row>
    <row r="37" ht="15.0" customHeight="1">
      <c r="A37" s="8" t="s">
        <v>551</v>
      </c>
      <c r="B37" s="8" t="s">
        <v>468</v>
      </c>
      <c r="C37" s="28" t="s">
        <v>552</v>
      </c>
      <c r="D37" s="8" t="b">
        <f t="shared" si="60"/>
        <v>0</v>
      </c>
      <c r="E37" s="10"/>
      <c r="F37" s="9"/>
      <c r="G37" s="9"/>
      <c r="H37" s="8">
        <v>0.0</v>
      </c>
      <c r="I37" s="8" t="s">
        <v>167</v>
      </c>
      <c r="J37" s="9">
        <v>45944.0</v>
      </c>
      <c r="K37" s="8" t="s">
        <v>167</v>
      </c>
      <c r="L37" s="8" t="b">
        <f t="shared" si="32"/>
        <v>1</v>
      </c>
      <c r="M37" s="9">
        <v>45944.0</v>
      </c>
      <c r="N37" s="8" t="b">
        <f t="shared" si="48"/>
        <v>0</v>
      </c>
      <c r="O37" s="9"/>
      <c r="P37" s="8" t="b">
        <f t="shared" si="16"/>
        <v>0</v>
      </c>
      <c r="Q37" s="9"/>
      <c r="R37" s="8" t="b">
        <f t="shared" si="28"/>
        <v>0</v>
      </c>
      <c r="S37" s="9"/>
      <c r="T37" s="8">
        <v>10.0</v>
      </c>
      <c r="U37" s="9">
        <v>45944.0</v>
      </c>
      <c r="V37" s="9">
        <v>46042.0</v>
      </c>
      <c r="W37" s="8" t="s">
        <v>83</v>
      </c>
      <c r="X37" s="8" t="s">
        <v>266</v>
      </c>
      <c r="Y37" s="8" t="s">
        <v>205</v>
      </c>
      <c r="Z37" s="8"/>
      <c r="AA37" s="13"/>
      <c r="AB37" s="8"/>
      <c r="AC37" s="8"/>
      <c r="AD37" s="8"/>
      <c r="AE37" s="8" t="s">
        <v>367</v>
      </c>
      <c r="AF37" s="8"/>
      <c r="AG37" s="8"/>
      <c r="AH37" s="8"/>
      <c r="AI37" s="8"/>
      <c r="AJ37" s="8"/>
      <c r="AK37" s="8"/>
      <c r="AL37" s="8"/>
      <c r="AM37" s="8" t="b">
        <f t="shared" ref="AM37:AM38" si="62">FALSE()</f>
        <v>0</v>
      </c>
      <c r="AN37" s="8"/>
      <c r="AO37" s="8"/>
      <c r="AP37" s="8"/>
      <c r="AQ37" s="8"/>
      <c r="AR37" s="8"/>
      <c r="AS37" s="8"/>
      <c r="AT37" s="10"/>
      <c r="AU37" s="8" t="b">
        <f t="shared" ref="AU37:AU44" si="63">FALSE()</f>
        <v>0</v>
      </c>
      <c r="AV37" s="10"/>
      <c r="AW37" s="8" t="s">
        <v>554</v>
      </c>
      <c r="AX37" s="8">
        <v>5.0</v>
      </c>
      <c r="AY37" s="8" t="b">
        <f t="shared" ref="AY37:BC37" si="61">TRUE()</f>
        <v>1</v>
      </c>
      <c r="AZ37" s="8" t="b">
        <f t="shared" si="61"/>
        <v>1</v>
      </c>
      <c r="BA37" s="8" t="b">
        <f t="shared" si="61"/>
        <v>1</v>
      </c>
      <c r="BB37" s="8" t="b">
        <f t="shared" si="61"/>
        <v>1</v>
      </c>
      <c r="BC37" s="8" t="b">
        <f t="shared" si="61"/>
        <v>1</v>
      </c>
      <c r="BD37" s="10"/>
    </row>
    <row r="38" ht="15.0" customHeight="1">
      <c r="A38" s="8" t="s">
        <v>555</v>
      </c>
      <c r="B38" s="8" t="s">
        <v>470</v>
      </c>
      <c r="C38" s="8"/>
      <c r="D38" s="8" t="b">
        <f t="shared" si="60"/>
        <v>0</v>
      </c>
      <c r="E38" s="10"/>
      <c r="F38" s="9"/>
      <c r="G38" s="9"/>
      <c r="H38" s="8">
        <v>0.0</v>
      </c>
      <c r="I38" s="8" t="s">
        <v>167</v>
      </c>
      <c r="J38" s="9">
        <v>45944.0</v>
      </c>
      <c r="K38" s="8" t="s">
        <v>167</v>
      </c>
      <c r="L38" s="8" t="b">
        <f t="shared" si="32"/>
        <v>1</v>
      </c>
      <c r="M38" s="9">
        <v>45944.0</v>
      </c>
      <c r="N38" s="8" t="b">
        <f t="shared" si="48"/>
        <v>0</v>
      </c>
      <c r="O38" s="9"/>
      <c r="P38" s="8" t="b">
        <f t="shared" si="16"/>
        <v>0</v>
      </c>
      <c r="Q38" s="9"/>
      <c r="R38" s="8" t="b">
        <f t="shared" si="28"/>
        <v>0</v>
      </c>
      <c r="S38" s="9"/>
      <c r="T38" s="8">
        <v>4.0</v>
      </c>
      <c r="U38" s="9">
        <v>45944.0</v>
      </c>
      <c r="V38" s="9">
        <v>45964.0</v>
      </c>
      <c r="W38" s="8" t="s">
        <v>121</v>
      </c>
      <c r="X38" s="8" t="s">
        <v>266</v>
      </c>
      <c r="Y38" s="8" t="s">
        <v>317</v>
      </c>
      <c r="Z38" s="8"/>
      <c r="AA38" s="13"/>
      <c r="AB38" s="8"/>
      <c r="AC38" s="8"/>
      <c r="AD38" s="8"/>
      <c r="AE38" s="8" t="s">
        <v>367</v>
      </c>
      <c r="AF38" s="8"/>
      <c r="AG38" s="8"/>
      <c r="AH38" s="8"/>
      <c r="AI38" s="8"/>
      <c r="AJ38" s="8"/>
      <c r="AK38" s="8"/>
      <c r="AL38" s="8"/>
      <c r="AM38" s="8" t="b">
        <f t="shared" si="62"/>
        <v>0</v>
      </c>
      <c r="AN38" s="8"/>
      <c r="AO38" s="8"/>
      <c r="AP38" s="8"/>
      <c r="AQ38" s="8"/>
      <c r="AR38" s="8"/>
      <c r="AS38" s="8"/>
      <c r="AT38" s="10"/>
      <c r="AU38" s="8" t="b">
        <f t="shared" si="63"/>
        <v>0</v>
      </c>
      <c r="AV38" s="10"/>
      <c r="AW38" s="8" t="s">
        <v>554</v>
      </c>
      <c r="AX38" s="8">
        <v>5.0</v>
      </c>
      <c r="AY38" s="8" t="b">
        <f t="shared" ref="AY38:BC38" si="64">TRUE()</f>
        <v>1</v>
      </c>
      <c r="AZ38" s="8" t="b">
        <f t="shared" si="64"/>
        <v>1</v>
      </c>
      <c r="BA38" s="8" t="b">
        <f t="shared" si="64"/>
        <v>1</v>
      </c>
      <c r="BB38" s="8" t="b">
        <f t="shared" si="64"/>
        <v>1</v>
      </c>
      <c r="BC38" s="8" t="b">
        <f t="shared" si="64"/>
        <v>1</v>
      </c>
      <c r="BD38" s="10"/>
    </row>
    <row r="39" ht="15.0" customHeight="1">
      <c r="A39" s="8" t="s">
        <v>556</v>
      </c>
      <c r="B39" s="8" t="s">
        <v>557</v>
      </c>
      <c r="C39" s="8" t="s">
        <v>558</v>
      </c>
      <c r="D39" s="8" t="b">
        <f t="shared" si="60"/>
        <v>0</v>
      </c>
      <c r="E39" s="10"/>
      <c r="F39" s="9"/>
      <c r="G39" s="9"/>
      <c r="H39" s="8">
        <v>0.0</v>
      </c>
      <c r="I39" s="8" t="s">
        <v>167</v>
      </c>
      <c r="J39" s="9">
        <v>46223.0</v>
      </c>
      <c r="K39" s="8" t="s">
        <v>167</v>
      </c>
      <c r="L39" s="8" t="b">
        <f t="shared" si="32"/>
        <v>1</v>
      </c>
      <c r="M39" s="9">
        <v>46223.0</v>
      </c>
      <c r="N39" s="8" t="b">
        <f t="shared" si="48"/>
        <v>0</v>
      </c>
      <c r="O39" s="9"/>
      <c r="P39" s="8" t="b">
        <f t="shared" si="16"/>
        <v>0</v>
      </c>
      <c r="Q39" s="9"/>
      <c r="R39" s="8" t="b">
        <f t="shared" si="28"/>
        <v>0</v>
      </c>
      <c r="S39" s="9"/>
      <c r="T39" s="8">
        <v>7.0</v>
      </c>
      <c r="U39" s="9">
        <v>46216.0</v>
      </c>
      <c r="V39" s="9">
        <v>46258.0</v>
      </c>
      <c r="W39" s="8" t="s">
        <v>83</v>
      </c>
      <c r="X39" s="8" t="s">
        <v>204</v>
      </c>
      <c r="Y39" s="8" t="s">
        <v>205</v>
      </c>
      <c r="Z39" s="8" t="s">
        <v>119</v>
      </c>
      <c r="AA39" s="13">
        <v>5000000.0</v>
      </c>
      <c r="AB39" s="8" t="s">
        <v>240</v>
      </c>
      <c r="AC39" s="8" t="s">
        <v>166</v>
      </c>
      <c r="AD39" s="8" t="s">
        <v>87</v>
      </c>
      <c r="AE39" s="8" t="s">
        <v>87</v>
      </c>
      <c r="AF39" s="8" t="s">
        <v>167</v>
      </c>
      <c r="AG39" s="8" t="s">
        <v>353</v>
      </c>
      <c r="AH39" s="8"/>
      <c r="AI39" s="8"/>
      <c r="AJ39" s="8"/>
      <c r="AK39" s="8" t="s">
        <v>215</v>
      </c>
      <c r="AL39" s="8" t="s">
        <v>393</v>
      </c>
      <c r="AM39" s="8" t="b">
        <f>TRUE()</f>
        <v>1</v>
      </c>
      <c r="AN39" s="8" t="s">
        <v>227</v>
      </c>
      <c r="AO39" s="8">
        <v>2.87770819E8</v>
      </c>
      <c r="AP39" s="8">
        <v>2.47086373E8</v>
      </c>
      <c r="AQ39" s="8" t="s">
        <v>560</v>
      </c>
      <c r="AR39" s="8" t="s">
        <v>561</v>
      </c>
      <c r="AS39" s="8" t="s">
        <v>562</v>
      </c>
      <c r="AT39" s="10"/>
      <c r="AU39" s="8" t="b">
        <f t="shared" si="63"/>
        <v>0</v>
      </c>
      <c r="AV39" s="10"/>
      <c r="AW39" s="8" t="s">
        <v>233</v>
      </c>
      <c r="AX39" s="8">
        <v>0.0</v>
      </c>
      <c r="AY39" s="8" t="b">
        <f t="shared" ref="AY39:BC39" si="65">FALSE()</f>
        <v>0</v>
      </c>
      <c r="AZ39" s="8" t="b">
        <f t="shared" si="65"/>
        <v>0</v>
      </c>
      <c r="BA39" s="8" t="b">
        <f t="shared" si="65"/>
        <v>0</v>
      </c>
      <c r="BB39" s="8" t="b">
        <f t="shared" si="65"/>
        <v>0</v>
      </c>
      <c r="BC39" s="8" t="b">
        <f t="shared" si="65"/>
        <v>0</v>
      </c>
      <c r="BD39" s="10" t="s">
        <v>566</v>
      </c>
    </row>
    <row r="40" ht="15.0" customHeight="1">
      <c r="A40" s="8" t="s">
        <v>567</v>
      </c>
      <c r="B40" s="8" t="s">
        <v>475</v>
      </c>
      <c r="C40" s="28" t="s">
        <v>568</v>
      </c>
      <c r="D40" s="8" t="b">
        <f t="shared" si="60"/>
        <v>0</v>
      </c>
      <c r="E40" s="10"/>
      <c r="F40" s="9"/>
      <c r="G40" s="9"/>
      <c r="H40" s="8">
        <v>0.0</v>
      </c>
      <c r="I40" s="8" t="s">
        <v>167</v>
      </c>
      <c r="J40" s="9">
        <v>45944.0</v>
      </c>
      <c r="K40" s="8" t="s">
        <v>167</v>
      </c>
      <c r="L40" s="8" t="b">
        <f t="shared" si="32"/>
        <v>1</v>
      </c>
      <c r="M40" s="9">
        <v>45944.0</v>
      </c>
      <c r="N40" s="8" t="b">
        <f t="shared" si="48"/>
        <v>0</v>
      </c>
      <c r="O40" s="9"/>
      <c r="P40" s="8" t="b">
        <f t="shared" si="16"/>
        <v>0</v>
      </c>
      <c r="Q40" s="9"/>
      <c r="R40" s="8" t="b">
        <f t="shared" si="28"/>
        <v>0</v>
      </c>
      <c r="S40" s="9"/>
      <c r="T40" s="8">
        <v>2.0</v>
      </c>
      <c r="U40" s="9">
        <v>45944.0</v>
      </c>
      <c r="V40" s="9">
        <v>45950.0</v>
      </c>
      <c r="W40" s="8" t="s">
        <v>83</v>
      </c>
      <c r="X40" s="8" t="s">
        <v>266</v>
      </c>
      <c r="Y40" s="8" t="s">
        <v>205</v>
      </c>
      <c r="Z40" s="8"/>
      <c r="AA40" s="13"/>
      <c r="AB40" s="8"/>
      <c r="AC40" s="8"/>
      <c r="AD40" s="8"/>
      <c r="AE40" s="8" t="s">
        <v>367</v>
      </c>
      <c r="AF40" s="8"/>
      <c r="AG40" s="8"/>
      <c r="AH40" s="8"/>
      <c r="AI40" s="8"/>
      <c r="AJ40" s="8"/>
      <c r="AK40" s="8"/>
      <c r="AL40" s="8"/>
      <c r="AM40" s="8" t="b">
        <f>FALSE()</f>
        <v>0</v>
      </c>
      <c r="AN40" s="8"/>
      <c r="AO40" s="8"/>
      <c r="AP40" s="8"/>
      <c r="AQ40" s="8"/>
      <c r="AR40" s="8"/>
      <c r="AS40" s="8"/>
      <c r="AT40" s="10"/>
      <c r="AU40" s="8" t="b">
        <f t="shared" si="63"/>
        <v>0</v>
      </c>
      <c r="AV40" s="10"/>
      <c r="AW40" s="8" t="s">
        <v>554</v>
      </c>
      <c r="AX40" s="8">
        <v>5.0</v>
      </c>
      <c r="AY40" s="8" t="b">
        <f t="shared" ref="AY40:BC40" si="66">TRUE()</f>
        <v>1</v>
      </c>
      <c r="AZ40" s="8" t="b">
        <f t="shared" si="66"/>
        <v>1</v>
      </c>
      <c r="BA40" s="8" t="b">
        <f t="shared" si="66"/>
        <v>1</v>
      </c>
      <c r="BB40" s="8" t="b">
        <f t="shared" si="66"/>
        <v>1</v>
      </c>
      <c r="BC40" s="8" t="b">
        <f t="shared" si="66"/>
        <v>1</v>
      </c>
      <c r="BD40" s="10"/>
    </row>
    <row r="41" ht="102.0" customHeight="1">
      <c r="A41" s="8" t="s">
        <v>571</v>
      </c>
      <c r="B41" s="8" t="s">
        <v>572</v>
      </c>
      <c r="C41" s="8" t="s">
        <v>573</v>
      </c>
      <c r="D41" s="8" t="b">
        <f t="shared" si="60"/>
        <v>0</v>
      </c>
      <c r="E41" s="10"/>
      <c r="F41" s="9"/>
      <c r="G41" s="9"/>
      <c r="H41" s="8">
        <v>0.0</v>
      </c>
      <c r="I41" s="8" t="s">
        <v>167</v>
      </c>
      <c r="J41" s="9">
        <v>46070.0</v>
      </c>
      <c r="K41" s="8" t="s">
        <v>167</v>
      </c>
      <c r="L41" s="8" t="b">
        <f t="shared" si="32"/>
        <v>1</v>
      </c>
      <c r="M41" s="9">
        <v>46070.0</v>
      </c>
      <c r="N41" s="8" t="b">
        <f t="shared" si="48"/>
        <v>0</v>
      </c>
      <c r="O41" s="9"/>
      <c r="P41" s="8" t="b">
        <f t="shared" si="16"/>
        <v>0</v>
      </c>
      <c r="Q41" s="9"/>
      <c r="R41" s="8" t="b">
        <f t="shared" si="28"/>
        <v>0</v>
      </c>
      <c r="S41" s="9"/>
      <c r="T41" s="8">
        <v>2.0</v>
      </c>
      <c r="U41" s="9">
        <v>46062.0</v>
      </c>
      <c r="V41" s="9">
        <v>46070.0</v>
      </c>
      <c r="W41" s="8" t="s">
        <v>83</v>
      </c>
      <c r="X41" s="8" t="s">
        <v>204</v>
      </c>
      <c r="Y41" s="8" t="s">
        <v>205</v>
      </c>
      <c r="Z41" s="8"/>
      <c r="AA41" s="13"/>
      <c r="AB41" s="8" t="s">
        <v>575</v>
      </c>
      <c r="AC41" s="8" t="s">
        <v>576</v>
      </c>
      <c r="AD41" s="8" t="s">
        <v>355</v>
      </c>
      <c r="AE41" s="8" t="s">
        <v>214</v>
      </c>
      <c r="AF41" s="8" t="s">
        <v>293</v>
      </c>
      <c r="AG41" s="8"/>
      <c r="AH41" s="8"/>
      <c r="AI41" s="8"/>
      <c r="AJ41" s="8"/>
      <c r="AK41" s="8" t="s">
        <v>127</v>
      </c>
      <c r="AL41" s="8" t="s">
        <v>318</v>
      </c>
      <c r="AM41" s="8" t="b">
        <f t="shared" ref="AM41:AM42" si="69">TRUE()</f>
        <v>1</v>
      </c>
      <c r="AN41" s="8" t="s">
        <v>227</v>
      </c>
      <c r="AO41" s="8">
        <v>2.24011994E8</v>
      </c>
      <c r="AP41" s="8">
        <v>2.33706024E8</v>
      </c>
      <c r="AQ41" s="8" t="s">
        <v>540</v>
      </c>
      <c r="AR41" s="8" t="s">
        <v>578</v>
      </c>
      <c r="AS41" s="8" t="s">
        <v>579</v>
      </c>
      <c r="AT41" s="10"/>
      <c r="AU41" s="8" t="b">
        <f t="shared" si="63"/>
        <v>0</v>
      </c>
      <c r="AV41" s="10"/>
      <c r="AW41" s="8" t="s">
        <v>233</v>
      </c>
      <c r="AX41" s="8">
        <v>2.0</v>
      </c>
      <c r="AY41" s="8" t="b">
        <f t="shared" ref="AY41:AZ41" si="67">FALSE()</f>
        <v>0</v>
      </c>
      <c r="AZ41" s="8" t="b">
        <f t="shared" si="67"/>
        <v>0</v>
      </c>
      <c r="BA41" s="8" t="b">
        <f t="shared" ref="BA41:BB41" si="68">TRUE()</f>
        <v>1</v>
      </c>
      <c r="BB41" s="8" t="b">
        <f t="shared" si="68"/>
        <v>1</v>
      </c>
      <c r="BC41" s="8" t="b">
        <f>FALSE()</f>
        <v>0</v>
      </c>
      <c r="BD41" s="10" t="s">
        <v>583</v>
      </c>
    </row>
    <row r="42" ht="15.0" customHeight="1">
      <c r="A42" s="8" t="s">
        <v>584</v>
      </c>
      <c r="B42" s="8" t="s">
        <v>585</v>
      </c>
      <c r="C42" s="8"/>
      <c r="D42" s="8" t="b">
        <f t="shared" si="60"/>
        <v>0</v>
      </c>
      <c r="E42" s="10"/>
      <c r="F42" s="9"/>
      <c r="G42" s="9"/>
      <c r="H42" s="8">
        <v>0.0</v>
      </c>
      <c r="I42" s="8" t="s">
        <v>167</v>
      </c>
      <c r="J42" s="9">
        <v>46034.0</v>
      </c>
      <c r="K42" s="8" t="s">
        <v>167</v>
      </c>
      <c r="L42" s="8" t="b">
        <f t="shared" si="32"/>
        <v>1</v>
      </c>
      <c r="M42" s="9">
        <v>46034.0</v>
      </c>
      <c r="N42" s="8" t="b">
        <f t="shared" si="48"/>
        <v>0</v>
      </c>
      <c r="O42" s="9"/>
      <c r="P42" s="8" t="b">
        <f t="shared" si="16"/>
        <v>0</v>
      </c>
      <c r="Q42" s="9"/>
      <c r="R42" s="8" t="b">
        <f t="shared" si="28"/>
        <v>0</v>
      </c>
      <c r="S42" s="9"/>
      <c r="T42" s="8">
        <v>6.0</v>
      </c>
      <c r="U42" s="9">
        <v>46034.0</v>
      </c>
      <c r="V42" s="9">
        <v>46070.0</v>
      </c>
      <c r="W42" s="8" t="s">
        <v>121</v>
      </c>
      <c r="X42" s="8" t="s">
        <v>204</v>
      </c>
      <c r="Y42" s="8" t="s">
        <v>317</v>
      </c>
      <c r="Z42" s="8" t="s">
        <v>119</v>
      </c>
      <c r="AA42" s="13">
        <v>5000000.0</v>
      </c>
      <c r="AB42" s="8"/>
      <c r="AC42" s="8"/>
      <c r="AD42" s="8"/>
      <c r="AE42" s="8" t="s">
        <v>367</v>
      </c>
      <c r="AF42" s="8" t="s">
        <v>200</v>
      </c>
      <c r="AG42" s="8" t="s">
        <v>353</v>
      </c>
      <c r="AH42" s="8"/>
      <c r="AI42" s="8"/>
      <c r="AJ42" s="8"/>
      <c r="AK42" s="8" t="s">
        <v>154</v>
      </c>
      <c r="AL42" s="8" t="s">
        <v>337</v>
      </c>
      <c r="AM42" s="8" t="b">
        <f t="shared" si="69"/>
        <v>1</v>
      </c>
      <c r="AN42" s="8" t="s">
        <v>227</v>
      </c>
      <c r="AO42" s="8">
        <v>3.10577728E8</v>
      </c>
      <c r="AP42" s="8">
        <v>2.31975766E8</v>
      </c>
      <c r="AQ42" s="8" t="s">
        <v>454</v>
      </c>
      <c r="AR42" s="8"/>
      <c r="AS42" s="8"/>
      <c r="AT42" s="10"/>
      <c r="AU42" s="8" t="b">
        <f t="shared" si="63"/>
        <v>0</v>
      </c>
      <c r="AV42" s="10"/>
      <c r="AW42" s="8" t="s">
        <v>233</v>
      </c>
      <c r="AX42" s="8">
        <v>2.0</v>
      </c>
      <c r="AY42" s="8" t="b">
        <f t="shared" ref="AY42:AZ42" si="70">TRUE()</f>
        <v>1</v>
      </c>
      <c r="AZ42" s="8" t="b">
        <f t="shared" si="70"/>
        <v>1</v>
      </c>
      <c r="BA42" s="8" t="b">
        <f t="shared" ref="BA42:BC42" si="71">FALSE()</f>
        <v>0</v>
      </c>
      <c r="BB42" s="8" t="b">
        <f t="shared" si="71"/>
        <v>0</v>
      </c>
      <c r="BC42" s="8" t="b">
        <f t="shared" si="71"/>
        <v>0</v>
      </c>
      <c r="BD42" s="10"/>
    </row>
    <row r="43" ht="15.0" customHeight="1">
      <c r="A43" s="8" t="s">
        <v>588</v>
      </c>
      <c r="B43" s="8" t="s">
        <v>589</v>
      </c>
      <c r="C43" s="8"/>
      <c r="D43" s="8" t="b">
        <f t="shared" si="60"/>
        <v>0</v>
      </c>
      <c r="E43" s="10"/>
      <c r="F43" s="9"/>
      <c r="G43" s="9"/>
      <c r="H43" s="8">
        <v>0.0</v>
      </c>
      <c r="I43" s="8" t="s">
        <v>167</v>
      </c>
      <c r="J43" s="9">
        <v>46265.0</v>
      </c>
      <c r="K43" s="8" t="s">
        <v>167</v>
      </c>
      <c r="L43" s="8" t="b">
        <f t="shared" si="32"/>
        <v>1</v>
      </c>
      <c r="M43" s="9">
        <v>46265.0</v>
      </c>
      <c r="N43" s="8" t="b">
        <f t="shared" si="48"/>
        <v>0</v>
      </c>
      <c r="O43" s="9"/>
      <c r="P43" s="8" t="b">
        <f t="shared" si="16"/>
        <v>0</v>
      </c>
      <c r="Q43" s="9"/>
      <c r="R43" s="8" t="b">
        <f t="shared" si="28"/>
        <v>0</v>
      </c>
      <c r="S43" s="9"/>
      <c r="T43" s="8">
        <v>2.0</v>
      </c>
      <c r="U43" s="9">
        <v>46258.0</v>
      </c>
      <c r="V43" s="9">
        <v>46265.0</v>
      </c>
      <c r="W43" s="8" t="s">
        <v>121</v>
      </c>
      <c r="X43" s="8" t="s">
        <v>266</v>
      </c>
      <c r="Y43" s="8" t="s">
        <v>317</v>
      </c>
      <c r="Z43" s="8"/>
      <c r="AA43" s="13"/>
      <c r="AB43" s="8"/>
      <c r="AC43" s="8"/>
      <c r="AD43" s="8"/>
      <c r="AE43" s="8" t="s">
        <v>367</v>
      </c>
      <c r="AF43" s="8"/>
      <c r="AG43" s="8"/>
      <c r="AH43" s="8"/>
      <c r="AI43" s="8"/>
      <c r="AJ43" s="8"/>
      <c r="AK43" s="8"/>
      <c r="AL43" s="8"/>
      <c r="AM43" s="8" t="b">
        <f t="shared" ref="AM43:AM44" si="73">FALSE()</f>
        <v>0</v>
      </c>
      <c r="AN43" s="8"/>
      <c r="AO43" s="8"/>
      <c r="AP43" s="8"/>
      <c r="AQ43" s="8"/>
      <c r="AR43" s="8"/>
      <c r="AS43" s="8"/>
      <c r="AT43" s="10" t="s">
        <v>591</v>
      </c>
      <c r="AU43" s="8" t="b">
        <f t="shared" si="63"/>
        <v>0</v>
      </c>
      <c r="AV43" s="10"/>
      <c r="AW43" s="8" t="s">
        <v>554</v>
      </c>
      <c r="AX43" s="8">
        <v>5.0</v>
      </c>
      <c r="AY43" s="8" t="b">
        <f t="shared" ref="AY43:BC43" si="72">TRUE()</f>
        <v>1</v>
      </c>
      <c r="AZ43" s="8" t="b">
        <f t="shared" si="72"/>
        <v>1</v>
      </c>
      <c r="BA43" s="8" t="b">
        <f t="shared" si="72"/>
        <v>1</v>
      </c>
      <c r="BB43" s="8" t="b">
        <f t="shared" si="72"/>
        <v>1</v>
      </c>
      <c r="BC43" s="8" t="b">
        <f t="shared" si="72"/>
        <v>1</v>
      </c>
      <c r="BD43" s="10"/>
    </row>
    <row r="44" ht="15.0" customHeight="1">
      <c r="A44" s="8" t="s">
        <v>592</v>
      </c>
      <c r="B44" s="8" t="s">
        <v>593</v>
      </c>
      <c r="C44" s="28" t="s">
        <v>594</v>
      </c>
      <c r="D44" s="8" t="b">
        <f t="shared" si="60"/>
        <v>0</v>
      </c>
      <c r="E44" s="10"/>
      <c r="F44" s="9"/>
      <c r="G44" s="9"/>
      <c r="H44" s="8">
        <v>0.0</v>
      </c>
      <c r="I44" s="8" t="s">
        <v>167</v>
      </c>
      <c r="J44" s="9">
        <v>46146.0</v>
      </c>
      <c r="K44" s="8" t="s">
        <v>167</v>
      </c>
      <c r="L44" s="8" t="b">
        <f t="shared" si="32"/>
        <v>1</v>
      </c>
      <c r="M44" s="9">
        <v>46146.0</v>
      </c>
      <c r="N44" s="8" t="b">
        <f t="shared" si="48"/>
        <v>0</v>
      </c>
      <c r="O44" s="9"/>
      <c r="P44" s="8" t="b">
        <f t="shared" si="16"/>
        <v>0</v>
      </c>
      <c r="Q44" s="9"/>
      <c r="R44" s="8" t="b">
        <f t="shared" si="28"/>
        <v>0</v>
      </c>
      <c r="S44" s="9"/>
      <c r="T44" s="8">
        <v>11.0</v>
      </c>
      <c r="U44" s="9">
        <v>46146.0</v>
      </c>
      <c r="V44" s="9">
        <v>46223.0</v>
      </c>
      <c r="W44" s="8" t="s">
        <v>121</v>
      </c>
      <c r="X44" s="8" t="s">
        <v>266</v>
      </c>
      <c r="Y44" s="8" t="s">
        <v>317</v>
      </c>
      <c r="Z44" s="8"/>
      <c r="AA44" s="13"/>
      <c r="AB44" s="8"/>
      <c r="AC44" s="8"/>
      <c r="AD44" s="8"/>
      <c r="AE44" s="8" t="s">
        <v>367</v>
      </c>
      <c r="AF44" s="8"/>
      <c r="AG44" s="8"/>
      <c r="AH44" s="8"/>
      <c r="AI44" s="8"/>
      <c r="AJ44" s="8"/>
      <c r="AK44" s="8"/>
      <c r="AL44" s="8"/>
      <c r="AM44" s="8" t="b">
        <f t="shared" si="73"/>
        <v>0</v>
      </c>
      <c r="AN44" s="8"/>
      <c r="AO44" s="8"/>
      <c r="AP44" s="8"/>
      <c r="AQ44" s="8"/>
      <c r="AR44" s="8"/>
      <c r="AS44" s="8"/>
      <c r="AT44" s="10"/>
      <c r="AU44" s="8" t="b">
        <f t="shared" si="63"/>
        <v>0</v>
      </c>
      <c r="AV44" s="10"/>
      <c r="AW44" s="8" t="s">
        <v>554</v>
      </c>
      <c r="AX44" s="8">
        <v>5.0</v>
      </c>
      <c r="AY44" s="8" t="b">
        <f t="shared" ref="AY44:BC44" si="74">TRUE()</f>
        <v>1</v>
      </c>
      <c r="AZ44" s="8" t="b">
        <f t="shared" si="74"/>
        <v>1</v>
      </c>
      <c r="BA44" s="8" t="b">
        <f t="shared" si="74"/>
        <v>1</v>
      </c>
      <c r="BB44" s="8" t="b">
        <f t="shared" si="74"/>
        <v>1</v>
      </c>
      <c r="BC44" s="8" t="b">
        <f t="shared" si="74"/>
        <v>1</v>
      </c>
      <c r="BD44" s="10"/>
    </row>
    <row r="45" ht="15.0" customHeight="1">
      <c r="A45" s="8" t="s">
        <v>595</v>
      </c>
      <c r="B45" s="8" t="s">
        <v>477</v>
      </c>
      <c r="C45" s="8" t="s">
        <v>596</v>
      </c>
      <c r="D45" s="8" t="b">
        <f t="shared" si="60"/>
        <v>0</v>
      </c>
      <c r="E45" s="10"/>
      <c r="F45" s="9"/>
      <c r="G45" s="9"/>
      <c r="H45" s="8">
        <v>0.0</v>
      </c>
      <c r="I45" s="8" t="s">
        <v>167</v>
      </c>
      <c r="J45" s="9">
        <v>45944.0</v>
      </c>
      <c r="K45" s="8" t="s">
        <v>167</v>
      </c>
      <c r="L45" s="8" t="b">
        <f t="shared" si="32"/>
        <v>1</v>
      </c>
      <c r="M45" s="9">
        <v>45944.0</v>
      </c>
      <c r="N45" s="8" t="b">
        <f t="shared" si="48"/>
        <v>0</v>
      </c>
      <c r="O45" s="9"/>
      <c r="P45" s="8" t="b">
        <f t="shared" si="16"/>
        <v>0</v>
      </c>
      <c r="Q45" s="9"/>
      <c r="R45" s="8" t="b">
        <f t="shared" si="28"/>
        <v>0</v>
      </c>
      <c r="S45" s="9"/>
      <c r="T45" s="8">
        <v>8.0</v>
      </c>
      <c r="U45" s="9">
        <v>45944.0</v>
      </c>
      <c r="V45" s="9">
        <v>45992.0</v>
      </c>
      <c r="W45" s="8" t="s">
        <v>121</v>
      </c>
      <c r="X45" s="8" t="s">
        <v>204</v>
      </c>
      <c r="Y45" s="8" t="s">
        <v>317</v>
      </c>
      <c r="Z45" s="8" t="s">
        <v>119</v>
      </c>
      <c r="AA45" s="13">
        <v>6000000.0</v>
      </c>
      <c r="AB45" s="8"/>
      <c r="AC45" s="8"/>
      <c r="AD45" s="8"/>
      <c r="AE45" s="8" t="s">
        <v>367</v>
      </c>
      <c r="AF45" s="8" t="s">
        <v>185</v>
      </c>
      <c r="AG45" s="8" t="s">
        <v>471</v>
      </c>
      <c r="AH45" s="8"/>
      <c r="AI45" s="8"/>
      <c r="AJ45" s="8"/>
      <c r="AK45" s="8" t="s">
        <v>154</v>
      </c>
      <c r="AL45" s="8" t="s">
        <v>337</v>
      </c>
      <c r="AM45" s="8" t="b">
        <f t="shared" ref="AM45:AM47" si="75">TRUE()</f>
        <v>1</v>
      </c>
      <c r="AN45" s="8" t="s">
        <v>227</v>
      </c>
      <c r="AO45" s="8">
        <v>2.98930167E8</v>
      </c>
      <c r="AP45" s="8">
        <v>2.24915928E8</v>
      </c>
      <c r="AQ45" s="8" t="s">
        <v>382</v>
      </c>
      <c r="AR45" s="8" t="s">
        <v>597</v>
      </c>
      <c r="AS45" s="8" t="s">
        <v>597</v>
      </c>
      <c r="AT45" s="10" t="s">
        <v>553</v>
      </c>
      <c r="AU45" s="8">
        <v>0.0</v>
      </c>
      <c r="AV45" s="10"/>
      <c r="AW45" s="8" t="s">
        <v>233</v>
      </c>
      <c r="AX45" s="8">
        <v>1.0</v>
      </c>
      <c r="AY45" s="8">
        <v>0.0</v>
      </c>
      <c r="AZ45" s="8">
        <v>1.0</v>
      </c>
      <c r="BA45" s="8">
        <v>0.0</v>
      </c>
      <c r="BB45" s="8">
        <v>0.0</v>
      </c>
      <c r="BC45" s="8">
        <v>0.0</v>
      </c>
      <c r="BD45" s="10"/>
    </row>
    <row r="46" ht="15.0" customHeight="1">
      <c r="A46" s="8" t="s">
        <v>598</v>
      </c>
      <c r="B46" s="8" t="s">
        <v>590</v>
      </c>
      <c r="C46" s="8"/>
      <c r="D46" s="8" t="b">
        <f t="shared" si="60"/>
        <v>0</v>
      </c>
      <c r="E46" s="10"/>
      <c r="F46" s="9"/>
      <c r="G46" s="9"/>
      <c r="H46" s="8">
        <v>0.0</v>
      </c>
      <c r="I46" s="8" t="s">
        <v>167</v>
      </c>
      <c r="J46" s="9">
        <v>45992.0</v>
      </c>
      <c r="K46" s="8" t="s">
        <v>167</v>
      </c>
      <c r="L46" s="8" t="b">
        <f t="shared" si="32"/>
        <v>1</v>
      </c>
      <c r="M46" s="9">
        <v>45992.0</v>
      </c>
      <c r="N46" s="8" t="b">
        <f t="shared" si="48"/>
        <v>0</v>
      </c>
      <c r="O46" s="9"/>
      <c r="P46" s="8" t="b">
        <f t="shared" si="16"/>
        <v>0</v>
      </c>
      <c r="Q46" s="9"/>
      <c r="R46" s="8" t="b">
        <f t="shared" si="28"/>
        <v>0</v>
      </c>
      <c r="S46" s="9"/>
      <c r="T46" s="8">
        <v>9.0</v>
      </c>
      <c r="U46" s="9">
        <v>45985.0</v>
      </c>
      <c r="V46" s="9">
        <v>46055.0</v>
      </c>
      <c r="W46" s="8" t="s">
        <v>83</v>
      </c>
      <c r="X46" s="8" t="s">
        <v>204</v>
      </c>
      <c r="Y46" s="8" t="s">
        <v>205</v>
      </c>
      <c r="Z46" s="8"/>
      <c r="AA46" s="13"/>
      <c r="AB46" s="8"/>
      <c r="AC46" s="8"/>
      <c r="AD46" s="8"/>
      <c r="AE46" s="8" t="s">
        <v>367</v>
      </c>
      <c r="AF46" s="8" t="s">
        <v>599</v>
      </c>
      <c r="AG46" s="8"/>
      <c r="AH46" s="8"/>
      <c r="AI46" s="8"/>
      <c r="AJ46" s="8"/>
      <c r="AK46" s="8"/>
      <c r="AL46" s="8"/>
      <c r="AM46" s="8" t="b">
        <f t="shared" si="75"/>
        <v>1</v>
      </c>
      <c r="AN46" s="8" t="s">
        <v>319</v>
      </c>
      <c r="AO46" s="8">
        <v>3.10173842E8</v>
      </c>
      <c r="AP46" s="8">
        <v>2.30911437E8</v>
      </c>
      <c r="AQ46" s="8" t="s">
        <v>600</v>
      </c>
      <c r="AR46" s="8"/>
      <c r="AS46" s="8"/>
      <c r="AT46" s="10"/>
      <c r="AU46" s="8" t="b">
        <f t="shared" ref="AU46:AU67" si="77">FALSE()</f>
        <v>0</v>
      </c>
      <c r="AV46" s="10"/>
      <c r="AW46" s="8" t="s">
        <v>554</v>
      </c>
      <c r="AX46" s="8">
        <v>5.0</v>
      </c>
      <c r="AY46" s="8" t="b">
        <f t="shared" ref="AY46:BC46" si="76">TRUE()</f>
        <v>1</v>
      </c>
      <c r="AZ46" s="8" t="b">
        <f t="shared" si="76"/>
        <v>1</v>
      </c>
      <c r="BA46" s="8" t="b">
        <f t="shared" si="76"/>
        <v>1</v>
      </c>
      <c r="BB46" s="8" t="b">
        <f t="shared" si="76"/>
        <v>1</v>
      </c>
      <c r="BC46" s="8" t="b">
        <f t="shared" si="76"/>
        <v>1</v>
      </c>
      <c r="BD46" s="10" t="s">
        <v>601</v>
      </c>
    </row>
    <row r="47" ht="15.0" customHeight="1">
      <c r="A47" s="8" t="s">
        <v>602</v>
      </c>
      <c r="B47" s="8" t="s">
        <v>603</v>
      </c>
      <c r="C47" s="8" t="s">
        <v>604</v>
      </c>
      <c r="D47" s="8" t="b">
        <f t="shared" si="60"/>
        <v>0</v>
      </c>
      <c r="E47" s="10"/>
      <c r="F47" s="9"/>
      <c r="G47" s="9"/>
      <c r="H47" s="8">
        <v>0.0</v>
      </c>
      <c r="I47" s="8" t="s">
        <v>167</v>
      </c>
      <c r="J47" s="9">
        <v>46034.0</v>
      </c>
      <c r="K47" s="8" t="s">
        <v>167</v>
      </c>
      <c r="L47" s="8" t="b">
        <f t="shared" si="32"/>
        <v>1</v>
      </c>
      <c r="M47" s="9">
        <v>46034.0</v>
      </c>
      <c r="N47" s="8" t="b">
        <f t="shared" si="48"/>
        <v>0</v>
      </c>
      <c r="O47" s="9"/>
      <c r="P47" s="8" t="b">
        <f t="shared" si="16"/>
        <v>0</v>
      </c>
      <c r="Q47" s="9"/>
      <c r="R47" s="8" t="b">
        <f t="shared" si="28"/>
        <v>0</v>
      </c>
      <c r="S47" s="9"/>
      <c r="T47" s="8">
        <v>5.0</v>
      </c>
      <c r="U47" s="9">
        <v>46034.0</v>
      </c>
      <c r="V47" s="9">
        <v>46062.0</v>
      </c>
      <c r="W47" s="8" t="s">
        <v>83</v>
      </c>
      <c r="X47" s="8" t="s">
        <v>204</v>
      </c>
      <c r="Y47" s="8" t="s">
        <v>205</v>
      </c>
      <c r="Z47" s="8" t="s">
        <v>265</v>
      </c>
      <c r="AA47" s="13"/>
      <c r="AB47" s="8" t="s">
        <v>605</v>
      </c>
      <c r="AC47" s="8" t="s">
        <v>70</v>
      </c>
      <c r="AD47" s="8" t="s">
        <v>71</v>
      </c>
      <c r="AE47" s="8" t="s">
        <v>214</v>
      </c>
      <c r="AF47" s="8" t="s">
        <v>293</v>
      </c>
      <c r="AG47" s="8" t="s">
        <v>405</v>
      </c>
      <c r="AH47" s="8"/>
      <c r="AI47" s="8"/>
      <c r="AJ47" s="8"/>
      <c r="AK47" s="8" t="s">
        <v>127</v>
      </c>
      <c r="AL47" s="8" t="s">
        <v>318</v>
      </c>
      <c r="AM47" s="8" t="b">
        <f t="shared" si="75"/>
        <v>1</v>
      </c>
      <c r="AN47" s="8" t="s">
        <v>227</v>
      </c>
      <c r="AO47" s="8">
        <v>2.62001205E8</v>
      </c>
      <c r="AP47" s="8">
        <v>2.30014917E8</v>
      </c>
      <c r="AQ47" s="8" t="s">
        <v>510</v>
      </c>
      <c r="AR47" s="8" t="s">
        <v>510</v>
      </c>
      <c r="AS47" s="8" t="s">
        <v>510</v>
      </c>
      <c r="AT47" s="10"/>
      <c r="AU47" s="8" t="b">
        <f t="shared" si="77"/>
        <v>0</v>
      </c>
      <c r="AV47" s="10"/>
      <c r="AW47" s="8" t="s">
        <v>233</v>
      </c>
      <c r="AX47" s="8">
        <v>1.0</v>
      </c>
      <c r="AY47" s="8" t="b">
        <f t="shared" ref="AY47:BA47" si="78">FALSE()</f>
        <v>0</v>
      </c>
      <c r="AZ47" s="8" t="b">
        <f t="shared" si="78"/>
        <v>0</v>
      </c>
      <c r="BA47" s="8" t="b">
        <f t="shared" si="78"/>
        <v>0</v>
      </c>
      <c r="BB47" s="8" t="b">
        <f>TRUE()</f>
        <v>1</v>
      </c>
      <c r="BC47" s="8" t="b">
        <f>FALSE()</f>
        <v>0</v>
      </c>
      <c r="BD47" s="10" t="s">
        <v>607</v>
      </c>
    </row>
    <row r="48" ht="15.0" customHeight="1">
      <c r="A48" s="8" t="s">
        <v>608</v>
      </c>
      <c r="B48" s="30" t="s">
        <v>609</v>
      </c>
      <c r="C48" s="28" t="s">
        <v>410</v>
      </c>
      <c r="D48" s="8" t="b">
        <f t="shared" si="60"/>
        <v>0</v>
      </c>
      <c r="E48" s="10"/>
      <c r="F48" s="9"/>
      <c r="G48" s="9"/>
      <c r="H48" s="8">
        <v>0.0</v>
      </c>
      <c r="I48" s="8" t="s">
        <v>167</v>
      </c>
      <c r="J48" s="9">
        <v>45978.0</v>
      </c>
      <c r="K48" s="8" t="s">
        <v>167</v>
      </c>
      <c r="L48" s="8" t="b">
        <f t="shared" si="32"/>
        <v>1</v>
      </c>
      <c r="M48" s="9">
        <v>45978.0</v>
      </c>
      <c r="N48" s="8" t="b">
        <f t="shared" si="48"/>
        <v>0</v>
      </c>
      <c r="O48" s="9"/>
      <c r="P48" s="8" t="b">
        <f t="shared" si="16"/>
        <v>0</v>
      </c>
      <c r="Q48" s="9"/>
      <c r="R48" s="8" t="b">
        <f t="shared" si="28"/>
        <v>0</v>
      </c>
      <c r="S48" s="9"/>
      <c r="T48" s="8">
        <v>4.0</v>
      </c>
      <c r="U48" s="9">
        <v>45978.0</v>
      </c>
      <c r="V48" s="9">
        <v>45999.0</v>
      </c>
      <c r="W48" s="8" t="s">
        <v>140</v>
      </c>
      <c r="X48" s="8" t="s">
        <v>266</v>
      </c>
      <c r="Y48" s="8" t="s">
        <v>328</v>
      </c>
      <c r="Z48" s="8"/>
      <c r="AA48" s="13"/>
      <c r="AB48" s="8"/>
      <c r="AC48" s="8"/>
      <c r="AD48" s="8"/>
      <c r="AE48" s="8" t="s">
        <v>367</v>
      </c>
      <c r="AF48" s="8"/>
      <c r="AG48" s="8"/>
      <c r="AH48" s="8"/>
      <c r="AI48" s="8"/>
      <c r="AJ48" s="8"/>
      <c r="AK48" s="8"/>
      <c r="AL48" s="8"/>
      <c r="AM48" s="8" t="b">
        <f t="shared" ref="AM48:AM50" si="80">FALSE()</f>
        <v>0</v>
      </c>
      <c r="AN48" s="8"/>
      <c r="AO48" s="8"/>
      <c r="AP48" s="8"/>
      <c r="AQ48" s="8"/>
      <c r="AR48" s="8"/>
      <c r="AS48" s="8"/>
      <c r="AT48" s="10"/>
      <c r="AU48" s="8" t="b">
        <f t="shared" si="77"/>
        <v>0</v>
      </c>
      <c r="AV48" s="10"/>
      <c r="AW48" s="8" t="s">
        <v>554</v>
      </c>
      <c r="AX48" s="8">
        <v>5.0</v>
      </c>
      <c r="AY48" s="8" t="b">
        <f t="shared" ref="AY48:BC48" si="79">TRUE()</f>
        <v>1</v>
      </c>
      <c r="AZ48" s="8" t="b">
        <f t="shared" si="79"/>
        <v>1</v>
      </c>
      <c r="BA48" s="8" t="b">
        <f t="shared" si="79"/>
        <v>1</v>
      </c>
      <c r="BB48" s="8" t="b">
        <f t="shared" si="79"/>
        <v>1</v>
      </c>
      <c r="BC48" s="8" t="b">
        <f t="shared" si="79"/>
        <v>1</v>
      </c>
      <c r="BD48" s="10"/>
    </row>
    <row r="49" ht="113.25" customHeight="1">
      <c r="A49" s="8" t="s">
        <v>610</v>
      </c>
      <c r="B49" s="8" t="s">
        <v>611</v>
      </c>
      <c r="C49" s="8"/>
      <c r="D49" s="8" t="b">
        <f t="shared" si="60"/>
        <v>0</v>
      </c>
      <c r="E49" s="10"/>
      <c r="F49" s="9"/>
      <c r="G49" s="9"/>
      <c r="H49" s="8">
        <v>0.0</v>
      </c>
      <c r="I49" s="8" t="s">
        <v>167</v>
      </c>
      <c r="J49" s="9">
        <v>46076.0</v>
      </c>
      <c r="K49" s="8" t="s">
        <v>167</v>
      </c>
      <c r="L49" s="8" t="b">
        <f t="shared" si="32"/>
        <v>1</v>
      </c>
      <c r="M49" s="9">
        <v>46076.0</v>
      </c>
      <c r="N49" s="8" t="b">
        <f t="shared" si="48"/>
        <v>0</v>
      </c>
      <c r="O49" s="9"/>
      <c r="P49" s="8" t="b">
        <f t="shared" si="16"/>
        <v>0</v>
      </c>
      <c r="Q49" s="9"/>
      <c r="R49" s="8" t="b">
        <f t="shared" si="28"/>
        <v>0</v>
      </c>
      <c r="S49" s="9"/>
      <c r="T49" s="8">
        <v>1.0</v>
      </c>
      <c r="U49" s="9">
        <v>46076.0</v>
      </c>
      <c r="V49" s="9">
        <v>46076.0</v>
      </c>
      <c r="W49" s="8" t="s">
        <v>121</v>
      </c>
      <c r="X49" s="8" t="s">
        <v>266</v>
      </c>
      <c r="Y49" s="8" t="s">
        <v>317</v>
      </c>
      <c r="Z49" s="8"/>
      <c r="AA49" s="13"/>
      <c r="AB49" s="8"/>
      <c r="AC49" s="8"/>
      <c r="AD49" s="8"/>
      <c r="AE49" s="8" t="s">
        <v>367</v>
      </c>
      <c r="AF49" s="8"/>
      <c r="AG49" s="8"/>
      <c r="AH49" s="8"/>
      <c r="AI49" s="8"/>
      <c r="AJ49" s="8"/>
      <c r="AK49" s="8"/>
      <c r="AL49" s="8"/>
      <c r="AM49" s="8" t="b">
        <f t="shared" si="80"/>
        <v>0</v>
      </c>
      <c r="AN49" s="8"/>
      <c r="AO49" s="8"/>
      <c r="AP49" s="8"/>
      <c r="AQ49" s="8"/>
      <c r="AR49" s="8"/>
      <c r="AS49" s="8"/>
      <c r="AT49" s="10"/>
      <c r="AU49" s="8" t="b">
        <f t="shared" si="77"/>
        <v>0</v>
      </c>
      <c r="AV49" s="10"/>
      <c r="AW49" s="8" t="s">
        <v>554</v>
      </c>
      <c r="AX49" s="8">
        <v>5.0</v>
      </c>
      <c r="AY49" s="8" t="b">
        <f t="shared" ref="AY49:BC49" si="81">TRUE()</f>
        <v>1</v>
      </c>
      <c r="AZ49" s="8" t="b">
        <f t="shared" si="81"/>
        <v>1</v>
      </c>
      <c r="BA49" s="8" t="b">
        <f t="shared" si="81"/>
        <v>1</v>
      </c>
      <c r="BB49" s="8" t="b">
        <f t="shared" si="81"/>
        <v>1</v>
      </c>
      <c r="BC49" s="8" t="b">
        <f t="shared" si="81"/>
        <v>1</v>
      </c>
      <c r="BD49" s="10"/>
    </row>
    <row r="50" ht="15.0" customHeight="1">
      <c r="A50" s="8" t="s">
        <v>612</v>
      </c>
      <c r="B50" s="8" t="s">
        <v>613</v>
      </c>
      <c r="C50" s="8"/>
      <c r="D50" s="8" t="b">
        <f t="shared" si="60"/>
        <v>0</v>
      </c>
      <c r="E50" s="10"/>
      <c r="F50" s="9"/>
      <c r="G50" s="9"/>
      <c r="H50" s="8">
        <v>0.0</v>
      </c>
      <c r="I50" s="8" t="s">
        <v>167</v>
      </c>
      <c r="J50" s="9">
        <v>46125.0</v>
      </c>
      <c r="K50" s="8" t="s">
        <v>167</v>
      </c>
      <c r="L50" s="8" t="b">
        <f t="shared" si="32"/>
        <v>1</v>
      </c>
      <c r="M50" s="9">
        <v>46125.0</v>
      </c>
      <c r="N50" s="8" t="b">
        <f t="shared" si="48"/>
        <v>0</v>
      </c>
      <c r="O50" s="9"/>
      <c r="P50" s="8" t="b">
        <f t="shared" si="16"/>
        <v>0</v>
      </c>
      <c r="Q50" s="9"/>
      <c r="R50" s="8" t="b">
        <f t="shared" si="28"/>
        <v>0</v>
      </c>
      <c r="S50" s="9"/>
      <c r="T50" s="8">
        <v>4.0</v>
      </c>
      <c r="U50" s="9">
        <v>46125.0</v>
      </c>
      <c r="V50" s="9">
        <v>46153.0</v>
      </c>
      <c r="W50" s="8" t="s">
        <v>121</v>
      </c>
      <c r="X50" s="8" t="s">
        <v>266</v>
      </c>
      <c r="Y50" s="8" t="s">
        <v>317</v>
      </c>
      <c r="Z50" s="8"/>
      <c r="AA50" s="13"/>
      <c r="AB50" s="8"/>
      <c r="AC50" s="8"/>
      <c r="AD50" s="8"/>
      <c r="AE50" s="8" t="s">
        <v>367</v>
      </c>
      <c r="AF50" s="8"/>
      <c r="AG50" s="8"/>
      <c r="AH50" s="8"/>
      <c r="AI50" s="8"/>
      <c r="AJ50" s="8"/>
      <c r="AK50" s="8"/>
      <c r="AL50" s="8"/>
      <c r="AM50" s="8" t="b">
        <f t="shared" si="80"/>
        <v>0</v>
      </c>
      <c r="AN50" s="8"/>
      <c r="AO50" s="8"/>
      <c r="AP50" s="8"/>
      <c r="AQ50" s="8"/>
      <c r="AR50" s="8"/>
      <c r="AS50" s="8"/>
      <c r="AT50" s="10"/>
      <c r="AU50" s="8" t="b">
        <f t="shared" si="77"/>
        <v>0</v>
      </c>
      <c r="AV50" s="10"/>
      <c r="AW50" s="8" t="s">
        <v>554</v>
      </c>
      <c r="AX50" s="8">
        <v>5.0</v>
      </c>
      <c r="AY50" s="8" t="b">
        <f t="shared" ref="AY50:BC50" si="82">TRUE()</f>
        <v>1</v>
      </c>
      <c r="AZ50" s="8" t="b">
        <f t="shared" si="82"/>
        <v>1</v>
      </c>
      <c r="BA50" s="8" t="b">
        <f t="shared" si="82"/>
        <v>1</v>
      </c>
      <c r="BB50" s="8" t="b">
        <f t="shared" si="82"/>
        <v>1</v>
      </c>
      <c r="BC50" s="8" t="b">
        <f t="shared" si="82"/>
        <v>1</v>
      </c>
      <c r="BD50" s="10"/>
    </row>
    <row r="51" ht="15.0" customHeight="1">
      <c r="A51" s="8" t="s">
        <v>614</v>
      </c>
      <c r="B51" s="8" t="s">
        <v>615</v>
      </c>
      <c r="C51" s="8" t="s">
        <v>616</v>
      </c>
      <c r="D51" s="8" t="b">
        <f t="shared" si="60"/>
        <v>0</v>
      </c>
      <c r="E51" s="10"/>
      <c r="F51" s="9"/>
      <c r="G51" s="9"/>
      <c r="H51" s="8">
        <v>0.0</v>
      </c>
      <c r="I51" s="8" t="s">
        <v>167</v>
      </c>
      <c r="J51" s="9">
        <v>46168.0</v>
      </c>
      <c r="K51" s="8" t="s">
        <v>167</v>
      </c>
      <c r="L51" s="8" t="b">
        <f t="shared" si="32"/>
        <v>1</v>
      </c>
      <c r="M51" s="9">
        <v>46168.0</v>
      </c>
      <c r="N51" s="8" t="b">
        <f t="shared" si="48"/>
        <v>0</v>
      </c>
      <c r="O51" s="9"/>
      <c r="P51" s="8" t="b">
        <f t="shared" si="16"/>
        <v>0</v>
      </c>
      <c r="Q51" s="9"/>
      <c r="R51" s="8" t="b">
        <f t="shared" si="28"/>
        <v>0</v>
      </c>
      <c r="S51" s="9"/>
      <c r="T51" s="8">
        <v>1.0</v>
      </c>
      <c r="U51" s="9">
        <v>46168.0</v>
      </c>
      <c r="V51" s="9">
        <v>46168.0</v>
      </c>
      <c r="W51" s="8" t="s">
        <v>121</v>
      </c>
      <c r="X51" s="8" t="s">
        <v>204</v>
      </c>
      <c r="Y51" s="8" t="s">
        <v>317</v>
      </c>
      <c r="Z51" s="8" t="s">
        <v>119</v>
      </c>
      <c r="AA51" s="13">
        <v>1.0E7</v>
      </c>
      <c r="AB51" s="8"/>
      <c r="AC51" s="8"/>
      <c r="AD51" s="8"/>
      <c r="AE51" s="8" t="s">
        <v>367</v>
      </c>
      <c r="AF51" s="8" t="s">
        <v>200</v>
      </c>
      <c r="AG51" s="8" t="s">
        <v>471</v>
      </c>
      <c r="AH51" s="8"/>
      <c r="AI51" s="8"/>
      <c r="AJ51" s="8"/>
      <c r="AK51" s="8" t="s">
        <v>127</v>
      </c>
      <c r="AL51" s="8" t="s">
        <v>318</v>
      </c>
      <c r="AM51" s="8" t="b">
        <f>TRUE()</f>
        <v>1</v>
      </c>
      <c r="AN51" s="8" t="s">
        <v>227</v>
      </c>
      <c r="AO51" s="8">
        <v>3.07515128E8</v>
      </c>
      <c r="AP51" s="8">
        <v>2.40855184E8</v>
      </c>
      <c r="AQ51" s="8" t="s">
        <v>617</v>
      </c>
      <c r="AR51" s="8" t="s">
        <v>407</v>
      </c>
      <c r="AS51" s="8" t="s">
        <v>407</v>
      </c>
      <c r="AT51" s="10"/>
      <c r="AU51" s="8" t="b">
        <f t="shared" si="77"/>
        <v>0</v>
      </c>
      <c r="AV51" s="10"/>
      <c r="AW51" s="8" t="s">
        <v>233</v>
      </c>
      <c r="AX51" s="8">
        <v>1.0</v>
      </c>
      <c r="AY51" s="8" t="b">
        <f>FALSE()</f>
        <v>0</v>
      </c>
      <c r="AZ51" s="8" t="b">
        <f>TRUE()</f>
        <v>1</v>
      </c>
      <c r="BA51" s="8" t="b">
        <f t="shared" ref="BA51:BC51" si="83">FALSE()</f>
        <v>0</v>
      </c>
      <c r="BB51" s="8" t="b">
        <f t="shared" si="83"/>
        <v>0</v>
      </c>
      <c r="BC51" s="8" t="b">
        <f t="shared" si="83"/>
        <v>0</v>
      </c>
      <c r="BD51" s="10" t="s">
        <v>619</v>
      </c>
    </row>
    <row r="52" ht="23.25" customHeight="1">
      <c r="A52" s="8" t="s">
        <v>620</v>
      </c>
      <c r="B52" s="8" t="s">
        <v>621</v>
      </c>
      <c r="C52" s="8"/>
      <c r="D52" s="8" t="b">
        <f t="shared" si="60"/>
        <v>0</v>
      </c>
      <c r="E52" s="10"/>
      <c r="F52" s="9"/>
      <c r="G52" s="9"/>
      <c r="H52" s="8">
        <v>0.0</v>
      </c>
      <c r="I52" s="8" t="s">
        <v>167</v>
      </c>
      <c r="J52" s="9">
        <v>46265.0</v>
      </c>
      <c r="K52" s="8" t="s">
        <v>167</v>
      </c>
      <c r="L52" s="8" t="b">
        <f t="shared" si="32"/>
        <v>1</v>
      </c>
      <c r="M52" s="9">
        <v>46265.0</v>
      </c>
      <c r="N52" s="8" t="b">
        <f t="shared" si="48"/>
        <v>0</v>
      </c>
      <c r="O52" s="9"/>
      <c r="P52" s="8" t="b">
        <f t="shared" si="16"/>
        <v>0</v>
      </c>
      <c r="Q52" s="9"/>
      <c r="R52" s="8" t="b">
        <f t="shared" si="28"/>
        <v>0</v>
      </c>
      <c r="S52" s="9"/>
      <c r="T52" s="8">
        <v>1.0</v>
      </c>
      <c r="U52" s="9">
        <v>46265.0</v>
      </c>
      <c r="V52" s="9">
        <v>46265.0</v>
      </c>
      <c r="W52" s="8" t="s">
        <v>83</v>
      </c>
      <c r="X52" s="8" t="s">
        <v>266</v>
      </c>
      <c r="Y52" s="8" t="s">
        <v>205</v>
      </c>
      <c r="Z52" s="8"/>
      <c r="AA52" s="13"/>
      <c r="AB52" s="8"/>
      <c r="AC52" s="8"/>
      <c r="AD52" s="8"/>
      <c r="AE52" s="8" t="s">
        <v>367</v>
      </c>
      <c r="AF52" s="8"/>
      <c r="AG52" s="8"/>
      <c r="AH52" s="8"/>
      <c r="AI52" s="8"/>
      <c r="AJ52" s="8"/>
      <c r="AK52" s="8"/>
      <c r="AL52" s="8"/>
      <c r="AM52" s="8" t="b">
        <f>FALSE()</f>
        <v>0</v>
      </c>
      <c r="AN52" s="8"/>
      <c r="AO52" s="8"/>
      <c r="AP52" s="8"/>
      <c r="AQ52" s="8"/>
      <c r="AR52" s="8"/>
      <c r="AS52" s="8"/>
      <c r="AT52" s="10"/>
      <c r="AU52" s="8" t="b">
        <f t="shared" si="77"/>
        <v>0</v>
      </c>
      <c r="AV52" s="10"/>
      <c r="AW52" s="8" t="s">
        <v>554</v>
      </c>
      <c r="AX52" s="8">
        <v>5.0</v>
      </c>
      <c r="AY52" s="8" t="b">
        <f t="shared" ref="AY52:BC52" si="84">TRUE()</f>
        <v>1</v>
      </c>
      <c r="AZ52" s="8" t="b">
        <f t="shared" si="84"/>
        <v>1</v>
      </c>
      <c r="BA52" s="8" t="b">
        <f t="shared" si="84"/>
        <v>1</v>
      </c>
      <c r="BB52" s="8" t="b">
        <f t="shared" si="84"/>
        <v>1</v>
      </c>
      <c r="BC52" s="8" t="b">
        <f t="shared" si="84"/>
        <v>1</v>
      </c>
      <c r="BD52" s="10"/>
    </row>
    <row r="53" ht="15.0" customHeight="1">
      <c r="A53" s="8" t="s">
        <v>622</v>
      </c>
      <c r="B53" s="8" t="s">
        <v>623</v>
      </c>
      <c r="C53" s="8"/>
      <c r="D53" s="8" t="b">
        <f t="shared" si="60"/>
        <v>0</v>
      </c>
      <c r="E53" s="10"/>
      <c r="F53" s="9"/>
      <c r="G53" s="9"/>
      <c r="H53" s="8">
        <v>0.0</v>
      </c>
      <c r="I53" s="8" t="s">
        <v>167</v>
      </c>
      <c r="J53" s="9">
        <v>46048.0</v>
      </c>
      <c r="K53" s="8" t="s">
        <v>167</v>
      </c>
      <c r="L53" s="8" t="b">
        <f t="shared" si="32"/>
        <v>1</v>
      </c>
      <c r="M53" s="9">
        <v>46048.0</v>
      </c>
      <c r="N53" s="8" t="b">
        <f t="shared" si="48"/>
        <v>0</v>
      </c>
      <c r="O53" s="9"/>
      <c r="P53" s="8" t="b">
        <f t="shared" si="16"/>
        <v>0</v>
      </c>
      <c r="Q53" s="9"/>
      <c r="R53" s="8" t="b">
        <f t="shared" si="28"/>
        <v>0</v>
      </c>
      <c r="S53" s="9"/>
      <c r="T53" s="8">
        <v>8.0</v>
      </c>
      <c r="U53" s="9">
        <v>46048.0</v>
      </c>
      <c r="V53" s="9">
        <v>46097.0</v>
      </c>
      <c r="W53" s="8" t="s">
        <v>121</v>
      </c>
      <c r="X53" s="8" t="s">
        <v>204</v>
      </c>
      <c r="Y53" s="8" t="s">
        <v>317</v>
      </c>
      <c r="Z53" s="8" t="s">
        <v>119</v>
      </c>
      <c r="AA53" s="13">
        <v>1.0E7</v>
      </c>
      <c r="AB53" s="8"/>
      <c r="AC53" s="8"/>
      <c r="AD53" s="8"/>
      <c r="AE53" s="8" t="s">
        <v>367</v>
      </c>
      <c r="AF53" s="8" t="s">
        <v>185</v>
      </c>
      <c r="AG53" s="8" t="s">
        <v>471</v>
      </c>
      <c r="AH53" s="8"/>
      <c r="AI53" s="8"/>
      <c r="AJ53" s="8"/>
      <c r="AK53" s="8" t="s">
        <v>154</v>
      </c>
      <c r="AL53" s="8" t="s">
        <v>337</v>
      </c>
      <c r="AM53" s="8" t="b">
        <f t="shared" ref="AM53:AM54" si="87">TRUE()</f>
        <v>1</v>
      </c>
      <c r="AN53" s="8" t="s">
        <v>227</v>
      </c>
      <c r="AO53" s="8">
        <v>3.09941973E8</v>
      </c>
      <c r="AP53" s="8">
        <v>2.30066721E8</v>
      </c>
      <c r="AQ53" s="8" t="s">
        <v>624</v>
      </c>
      <c r="AR53" s="8"/>
      <c r="AS53" s="8"/>
      <c r="AT53" s="10"/>
      <c r="AU53" s="8" t="b">
        <f t="shared" si="77"/>
        <v>0</v>
      </c>
      <c r="AV53" s="10"/>
      <c r="AW53" s="8" t="s">
        <v>233</v>
      </c>
      <c r="AX53" s="8">
        <v>2.0</v>
      </c>
      <c r="AY53" s="8" t="b">
        <f t="shared" ref="AY53:AZ53" si="85">TRUE()</f>
        <v>1</v>
      </c>
      <c r="AZ53" s="8" t="b">
        <f t="shared" si="85"/>
        <v>1</v>
      </c>
      <c r="BA53" s="8" t="b">
        <f t="shared" ref="BA53:BC53" si="86">FALSE()</f>
        <v>0</v>
      </c>
      <c r="BB53" s="8" t="b">
        <f t="shared" si="86"/>
        <v>0</v>
      </c>
      <c r="BC53" s="8" t="b">
        <f t="shared" si="86"/>
        <v>0</v>
      </c>
      <c r="BD53" s="10"/>
    </row>
    <row r="54" ht="15.0" customHeight="1">
      <c r="A54" s="8" t="s">
        <v>625</v>
      </c>
      <c r="B54" s="8" t="s">
        <v>626</v>
      </c>
      <c r="C54" s="8"/>
      <c r="D54" s="8" t="b">
        <f t="shared" si="60"/>
        <v>0</v>
      </c>
      <c r="E54" s="10"/>
      <c r="F54" s="9"/>
      <c r="G54" s="9"/>
      <c r="H54" s="8">
        <v>0.0</v>
      </c>
      <c r="I54" s="8" t="s">
        <v>167</v>
      </c>
      <c r="J54" s="9">
        <v>46181.0</v>
      </c>
      <c r="K54" s="8" t="s">
        <v>313</v>
      </c>
      <c r="L54" s="8" t="b">
        <f t="shared" si="32"/>
        <v>1</v>
      </c>
      <c r="M54" s="9">
        <v>46181.0</v>
      </c>
      <c r="N54" s="8" t="b">
        <f t="shared" si="48"/>
        <v>0</v>
      </c>
      <c r="O54" s="9"/>
      <c r="P54" s="8" t="b">
        <f t="shared" si="16"/>
        <v>0</v>
      </c>
      <c r="Q54" s="9"/>
      <c r="R54" s="8" t="b">
        <f t="shared" si="28"/>
        <v>0</v>
      </c>
      <c r="S54" s="9"/>
      <c r="T54" s="8">
        <v>5.0</v>
      </c>
      <c r="U54" s="9">
        <v>46174.0</v>
      </c>
      <c r="V54" s="9">
        <v>46209.0</v>
      </c>
      <c r="W54" s="8" t="s">
        <v>121</v>
      </c>
      <c r="X54" s="8" t="s">
        <v>204</v>
      </c>
      <c r="Y54" s="8" t="s">
        <v>317</v>
      </c>
      <c r="Z54" s="8" t="s">
        <v>56</v>
      </c>
      <c r="AA54" s="13">
        <v>2.0E7</v>
      </c>
      <c r="AB54" s="8"/>
      <c r="AC54" s="8"/>
      <c r="AD54" s="8"/>
      <c r="AE54" s="8" t="s">
        <v>367</v>
      </c>
      <c r="AF54" s="8" t="s">
        <v>185</v>
      </c>
      <c r="AG54" s="8" t="s">
        <v>353</v>
      </c>
      <c r="AH54" s="8" t="s">
        <v>627</v>
      </c>
      <c r="AI54" s="8" t="s">
        <v>218</v>
      </c>
      <c r="AJ54" s="8" t="s">
        <v>220</v>
      </c>
      <c r="AK54" s="8" t="s">
        <v>297</v>
      </c>
      <c r="AL54" s="8" t="s">
        <v>515</v>
      </c>
      <c r="AM54" s="8" t="b">
        <f t="shared" si="87"/>
        <v>1</v>
      </c>
      <c r="AN54" s="8" t="s">
        <v>227</v>
      </c>
      <c r="AO54" s="8">
        <v>3.12433656E8</v>
      </c>
      <c r="AP54" s="8">
        <v>2.41997505E8</v>
      </c>
      <c r="AQ54" s="8" t="s">
        <v>447</v>
      </c>
      <c r="AR54" s="8"/>
      <c r="AS54" s="8"/>
      <c r="AT54" s="10" t="s">
        <v>628</v>
      </c>
      <c r="AU54" s="8" t="b">
        <f t="shared" si="77"/>
        <v>0</v>
      </c>
      <c r="AV54" s="10"/>
      <c r="AW54" s="8" t="s">
        <v>233</v>
      </c>
      <c r="AX54" s="8">
        <v>2.0</v>
      </c>
      <c r="AY54" s="8" t="b">
        <f t="shared" ref="AY54:AZ54" si="88">TRUE()</f>
        <v>1</v>
      </c>
      <c r="AZ54" s="8" t="b">
        <f t="shared" si="88"/>
        <v>1</v>
      </c>
      <c r="BA54" s="8" t="b">
        <f t="shared" ref="BA54:BC54" si="89">FALSE()</f>
        <v>0</v>
      </c>
      <c r="BB54" s="8" t="b">
        <f t="shared" si="89"/>
        <v>0</v>
      </c>
      <c r="BC54" s="8" t="b">
        <f t="shared" si="89"/>
        <v>0</v>
      </c>
      <c r="BD54" s="10"/>
    </row>
    <row r="55" ht="15.0" customHeight="1">
      <c r="A55" s="8" t="s">
        <v>630</v>
      </c>
      <c r="B55" s="8" t="s">
        <v>631</v>
      </c>
      <c r="C55" s="28" t="s">
        <v>632</v>
      </c>
      <c r="D55" s="8" t="b">
        <f t="shared" si="60"/>
        <v>0</v>
      </c>
      <c r="E55" s="10"/>
      <c r="F55" s="9"/>
      <c r="G55" s="9"/>
      <c r="H55" s="8">
        <v>0.0</v>
      </c>
      <c r="I55" s="8" t="s">
        <v>167</v>
      </c>
      <c r="J55" s="9">
        <v>46188.0</v>
      </c>
      <c r="K55" s="8" t="s">
        <v>167</v>
      </c>
      <c r="L55" s="8" t="b">
        <f t="shared" si="32"/>
        <v>1</v>
      </c>
      <c r="M55" s="9">
        <v>46188.0</v>
      </c>
      <c r="N55" s="8" t="b">
        <f t="shared" si="48"/>
        <v>0</v>
      </c>
      <c r="O55" s="9"/>
      <c r="P55" s="8" t="b">
        <f t="shared" si="16"/>
        <v>0</v>
      </c>
      <c r="Q55" s="9"/>
      <c r="R55" s="8" t="b">
        <f t="shared" si="28"/>
        <v>0</v>
      </c>
      <c r="S55" s="9"/>
      <c r="T55" s="8">
        <v>3.0</v>
      </c>
      <c r="U55" s="9">
        <v>46188.0</v>
      </c>
      <c r="V55" s="9">
        <v>46209.0</v>
      </c>
      <c r="W55" s="8" t="s">
        <v>83</v>
      </c>
      <c r="X55" s="8" t="s">
        <v>266</v>
      </c>
      <c r="Y55" s="8" t="s">
        <v>205</v>
      </c>
      <c r="Z55" s="8"/>
      <c r="AA55" s="13"/>
      <c r="AB55" s="8"/>
      <c r="AC55" s="8"/>
      <c r="AD55" s="8"/>
      <c r="AE55" s="8" t="s">
        <v>367</v>
      </c>
      <c r="AF55" s="8"/>
      <c r="AG55" s="8"/>
      <c r="AH55" s="8"/>
      <c r="AI55" s="8"/>
      <c r="AJ55" s="8"/>
      <c r="AK55" s="8"/>
      <c r="AL55" s="8"/>
      <c r="AM55" s="8" t="b">
        <f>FALSE()</f>
        <v>0</v>
      </c>
      <c r="AN55" s="8"/>
      <c r="AO55" s="8"/>
      <c r="AP55" s="8"/>
      <c r="AQ55" s="8"/>
      <c r="AR55" s="8"/>
      <c r="AS55" s="8"/>
      <c r="AT55" s="10"/>
      <c r="AU55" s="8" t="b">
        <f t="shared" si="77"/>
        <v>0</v>
      </c>
      <c r="AV55" s="10"/>
      <c r="AW55" s="8" t="s">
        <v>554</v>
      </c>
      <c r="AX55" s="8">
        <v>5.0</v>
      </c>
      <c r="AY55" s="8" t="b">
        <f t="shared" ref="AY55:BC55" si="90">TRUE()</f>
        <v>1</v>
      </c>
      <c r="AZ55" s="8" t="b">
        <f t="shared" si="90"/>
        <v>1</v>
      </c>
      <c r="BA55" s="8" t="b">
        <f t="shared" si="90"/>
        <v>1</v>
      </c>
      <c r="BB55" s="8" t="b">
        <f t="shared" si="90"/>
        <v>1</v>
      </c>
      <c r="BC55" s="8" t="b">
        <f t="shared" si="90"/>
        <v>1</v>
      </c>
      <c r="BD55" s="10"/>
    </row>
    <row r="56" ht="113.25" customHeight="1">
      <c r="A56" s="8" t="s">
        <v>633</v>
      </c>
      <c r="B56" s="8" t="s">
        <v>634</v>
      </c>
      <c r="C56" s="8" t="s">
        <v>635</v>
      </c>
      <c r="D56" s="8" t="b">
        <f t="shared" si="60"/>
        <v>0</v>
      </c>
      <c r="E56" s="10"/>
      <c r="F56" s="9"/>
      <c r="G56" s="9"/>
      <c r="H56" s="8">
        <v>0.0</v>
      </c>
      <c r="I56" s="8" t="s">
        <v>167</v>
      </c>
      <c r="J56" s="9">
        <v>46209.0</v>
      </c>
      <c r="K56" s="8" t="s">
        <v>167</v>
      </c>
      <c r="L56" s="8" t="b">
        <f t="shared" si="32"/>
        <v>1</v>
      </c>
      <c r="M56" s="9">
        <v>46209.0</v>
      </c>
      <c r="N56" s="8" t="b">
        <f t="shared" si="48"/>
        <v>0</v>
      </c>
      <c r="O56" s="9"/>
      <c r="P56" s="8" t="b">
        <f t="shared" si="16"/>
        <v>0</v>
      </c>
      <c r="Q56" s="9"/>
      <c r="R56" s="8" t="b">
        <f t="shared" si="28"/>
        <v>0</v>
      </c>
      <c r="S56" s="9"/>
      <c r="T56" s="8">
        <v>9.0</v>
      </c>
      <c r="U56" s="9">
        <v>46195.0</v>
      </c>
      <c r="V56" s="9">
        <v>46258.0</v>
      </c>
      <c r="W56" s="8" t="s">
        <v>140</v>
      </c>
      <c r="X56" s="8" t="s">
        <v>204</v>
      </c>
      <c r="Y56" s="8" t="s">
        <v>328</v>
      </c>
      <c r="Z56" s="8" t="s">
        <v>56</v>
      </c>
      <c r="AA56" s="13"/>
      <c r="AB56" s="8" t="s">
        <v>637</v>
      </c>
      <c r="AC56" s="8" t="s">
        <v>247</v>
      </c>
      <c r="AD56" s="8" t="s">
        <v>87</v>
      </c>
      <c r="AE56" s="8" t="s">
        <v>87</v>
      </c>
      <c r="AF56" s="8" t="s">
        <v>539</v>
      </c>
      <c r="AG56" s="8"/>
      <c r="AH56" s="8"/>
      <c r="AI56" s="8"/>
      <c r="AJ56" s="8"/>
      <c r="AK56" s="8" t="s">
        <v>74</v>
      </c>
      <c r="AL56" s="8" t="s">
        <v>223</v>
      </c>
      <c r="AM56" s="8" t="b">
        <f>TRUE()</f>
        <v>1</v>
      </c>
      <c r="AN56" s="8" t="s">
        <v>338</v>
      </c>
      <c r="AO56" s="8">
        <v>2.93412464E8</v>
      </c>
      <c r="AP56" s="8">
        <v>2.43796394E8</v>
      </c>
      <c r="AQ56" s="8" t="s">
        <v>638</v>
      </c>
      <c r="AR56" s="8" t="s">
        <v>638</v>
      </c>
      <c r="AS56" s="8" t="s">
        <v>639</v>
      </c>
      <c r="AT56" s="10"/>
      <c r="AU56" s="8" t="b">
        <f t="shared" si="77"/>
        <v>0</v>
      </c>
      <c r="AV56" s="10"/>
      <c r="AW56" s="8" t="s">
        <v>233</v>
      </c>
      <c r="AX56" s="8">
        <v>1.0</v>
      </c>
      <c r="AY56" s="8" t="b">
        <f t="shared" ref="AY56:BA56" si="91">FALSE()</f>
        <v>0</v>
      </c>
      <c r="AZ56" s="8" t="b">
        <f t="shared" si="91"/>
        <v>0</v>
      </c>
      <c r="BA56" s="8" t="b">
        <f t="shared" si="91"/>
        <v>0</v>
      </c>
      <c r="BB56" s="8" t="b">
        <f>TRUE()</f>
        <v>1</v>
      </c>
      <c r="BC56" s="8" t="b">
        <f>FALSE()</f>
        <v>0</v>
      </c>
      <c r="BD56" s="10" t="s">
        <v>641</v>
      </c>
    </row>
    <row r="57" ht="15.0" customHeight="1">
      <c r="A57" s="8" t="s">
        <v>642</v>
      </c>
      <c r="B57" s="8" t="s">
        <v>643</v>
      </c>
      <c r="C57" s="28" t="s">
        <v>644</v>
      </c>
      <c r="D57" s="8" t="b">
        <f t="shared" si="60"/>
        <v>0</v>
      </c>
      <c r="E57" s="10"/>
      <c r="F57" s="9"/>
      <c r="G57" s="9"/>
      <c r="H57" s="8">
        <v>0.0</v>
      </c>
      <c r="I57" s="8" t="s">
        <v>167</v>
      </c>
      <c r="J57" s="9">
        <v>46104.0</v>
      </c>
      <c r="K57" s="8" t="s">
        <v>167</v>
      </c>
      <c r="L57" s="8" t="b">
        <f t="shared" si="32"/>
        <v>1</v>
      </c>
      <c r="M57" s="9">
        <v>46104.0</v>
      </c>
      <c r="N57" s="8" t="b">
        <f t="shared" si="48"/>
        <v>0</v>
      </c>
      <c r="O57" s="9"/>
      <c r="P57" s="8" t="b">
        <f t="shared" si="16"/>
        <v>0</v>
      </c>
      <c r="Q57" s="9"/>
      <c r="R57" s="8" t="b">
        <f t="shared" si="28"/>
        <v>0</v>
      </c>
      <c r="S57" s="9"/>
      <c r="T57" s="8">
        <v>3.0</v>
      </c>
      <c r="U57" s="9">
        <v>46104.0</v>
      </c>
      <c r="V57" s="9">
        <v>46118.0</v>
      </c>
      <c r="W57" s="8" t="s">
        <v>83</v>
      </c>
      <c r="X57" s="8" t="s">
        <v>266</v>
      </c>
      <c r="Y57" s="8" t="s">
        <v>205</v>
      </c>
      <c r="Z57" s="8"/>
      <c r="AA57" s="13"/>
      <c r="AB57" s="8"/>
      <c r="AC57" s="8"/>
      <c r="AD57" s="8"/>
      <c r="AE57" s="8" t="s">
        <v>367</v>
      </c>
      <c r="AF57" s="8"/>
      <c r="AG57" s="8"/>
      <c r="AH57" s="8"/>
      <c r="AI57" s="8"/>
      <c r="AJ57" s="8"/>
      <c r="AK57" s="8"/>
      <c r="AL57" s="8"/>
      <c r="AM57" s="8" t="b">
        <f>FALSE()</f>
        <v>0</v>
      </c>
      <c r="AN57" s="8"/>
      <c r="AO57" s="8"/>
      <c r="AP57" s="8"/>
      <c r="AQ57" s="8"/>
      <c r="AR57" s="8"/>
      <c r="AS57" s="8"/>
      <c r="AT57" s="10" t="s">
        <v>645</v>
      </c>
      <c r="AU57" s="8" t="b">
        <f t="shared" si="77"/>
        <v>0</v>
      </c>
      <c r="AV57" s="10"/>
      <c r="AW57" s="8" t="s">
        <v>554</v>
      </c>
      <c r="AX57" s="8">
        <v>5.0</v>
      </c>
      <c r="AY57" s="8" t="b">
        <f t="shared" ref="AY57:BC57" si="92">TRUE()</f>
        <v>1</v>
      </c>
      <c r="AZ57" s="8" t="b">
        <f t="shared" si="92"/>
        <v>1</v>
      </c>
      <c r="BA57" s="8" t="b">
        <f t="shared" si="92"/>
        <v>1</v>
      </c>
      <c r="BB57" s="8" t="b">
        <f t="shared" si="92"/>
        <v>1</v>
      </c>
      <c r="BC57" s="8" t="b">
        <f t="shared" si="92"/>
        <v>1</v>
      </c>
      <c r="BD57" s="10"/>
    </row>
    <row r="58" ht="15.0" customHeight="1">
      <c r="A58" s="8" t="s">
        <v>647</v>
      </c>
      <c r="B58" s="8" t="s">
        <v>648</v>
      </c>
      <c r="C58" s="8" t="s">
        <v>649</v>
      </c>
      <c r="D58" s="8" t="b">
        <f t="shared" si="60"/>
        <v>0</v>
      </c>
      <c r="E58" s="10"/>
      <c r="F58" s="9"/>
      <c r="G58" s="9"/>
      <c r="H58" s="8">
        <v>0.0</v>
      </c>
      <c r="I58" s="8" t="s">
        <v>167</v>
      </c>
      <c r="J58" s="9">
        <v>46097.0</v>
      </c>
      <c r="K58" s="8" t="s">
        <v>377</v>
      </c>
      <c r="L58" s="8" t="b">
        <f t="shared" si="32"/>
        <v>1</v>
      </c>
      <c r="M58" s="9">
        <v>46097.0</v>
      </c>
      <c r="N58" s="8" t="b">
        <f t="shared" si="48"/>
        <v>0</v>
      </c>
      <c r="O58" s="9"/>
      <c r="P58" s="8" t="b">
        <f t="shared" si="16"/>
        <v>0</v>
      </c>
      <c r="Q58" s="9"/>
      <c r="R58" s="8" t="b">
        <f t="shared" si="28"/>
        <v>0</v>
      </c>
      <c r="S58" s="9"/>
      <c r="T58" s="8">
        <v>1.0</v>
      </c>
      <c r="U58" s="9">
        <v>46097.0</v>
      </c>
      <c r="V58" s="9">
        <v>46097.0</v>
      </c>
      <c r="W58" s="8" t="s">
        <v>121</v>
      </c>
      <c r="X58" s="8" t="s">
        <v>204</v>
      </c>
      <c r="Y58" s="8" t="s">
        <v>317</v>
      </c>
      <c r="Z58" s="8" t="s">
        <v>119</v>
      </c>
      <c r="AA58" s="13"/>
      <c r="AB58" s="8"/>
      <c r="AC58" s="8"/>
      <c r="AD58" s="8"/>
      <c r="AE58" s="8" t="s">
        <v>367</v>
      </c>
      <c r="AF58" s="8" t="s">
        <v>293</v>
      </c>
      <c r="AG58" s="8" t="s">
        <v>514</v>
      </c>
      <c r="AH58" s="8"/>
      <c r="AI58" s="8"/>
      <c r="AJ58" s="8"/>
      <c r="AK58" s="8" t="s">
        <v>127</v>
      </c>
      <c r="AL58" s="8" t="s">
        <v>318</v>
      </c>
      <c r="AM58" s="8" t="b">
        <f t="shared" ref="AM58:AM62" si="93">TRUE()</f>
        <v>1</v>
      </c>
      <c r="AN58" s="8" t="s">
        <v>227</v>
      </c>
      <c r="AO58" s="8">
        <v>3.11206342E8</v>
      </c>
      <c r="AP58" s="8">
        <v>2.35290071E8</v>
      </c>
      <c r="AQ58" s="8" t="s">
        <v>650</v>
      </c>
      <c r="AR58" s="8" t="s">
        <v>650</v>
      </c>
      <c r="AS58" s="8" t="s">
        <v>651</v>
      </c>
      <c r="AT58" s="10"/>
      <c r="AU58" s="8" t="b">
        <f t="shared" si="77"/>
        <v>0</v>
      </c>
      <c r="AV58" s="10"/>
      <c r="AW58" s="8" t="s">
        <v>233</v>
      </c>
      <c r="AX58" s="8">
        <v>2.0</v>
      </c>
      <c r="AY58" s="8" t="b">
        <f>FALSE()</f>
        <v>0</v>
      </c>
      <c r="AZ58" s="8" t="b">
        <f>TRUE()</f>
        <v>1</v>
      </c>
      <c r="BA58" s="8" t="b">
        <f t="shared" ref="BA58:BA59" si="95">FALSE()</f>
        <v>0</v>
      </c>
      <c r="BB58" s="8" t="b">
        <f>TRUE()</f>
        <v>1</v>
      </c>
      <c r="BC58" s="8" t="b">
        <f>FALSE()</f>
        <v>0</v>
      </c>
      <c r="BD58" s="10"/>
    </row>
    <row r="59" ht="15.0" customHeight="1">
      <c r="A59" s="8" t="s">
        <v>666</v>
      </c>
      <c r="B59" s="8" t="s">
        <v>480</v>
      </c>
      <c r="C59" s="8"/>
      <c r="D59" s="8" t="b">
        <f t="shared" si="60"/>
        <v>0</v>
      </c>
      <c r="E59" s="10"/>
      <c r="F59" s="9"/>
      <c r="G59" s="9"/>
      <c r="H59" s="8">
        <v>0.0</v>
      </c>
      <c r="I59" s="8" t="s">
        <v>167</v>
      </c>
      <c r="J59" s="9">
        <v>45944.0</v>
      </c>
      <c r="K59" s="8" t="s">
        <v>167</v>
      </c>
      <c r="L59" s="8" t="b">
        <f t="shared" si="32"/>
        <v>1</v>
      </c>
      <c r="M59" s="9">
        <v>45944.0</v>
      </c>
      <c r="N59" s="8" t="b">
        <f t="shared" si="48"/>
        <v>0</v>
      </c>
      <c r="O59" s="9"/>
      <c r="P59" s="8" t="b">
        <f t="shared" si="16"/>
        <v>0</v>
      </c>
      <c r="Q59" s="9"/>
      <c r="R59" s="8" t="b">
        <f t="shared" si="28"/>
        <v>0</v>
      </c>
      <c r="S59" s="9"/>
      <c r="T59" s="8">
        <v>6.0</v>
      </c>
      <c r="U59" s="9">
        <v>45944.0</v>
      </c>
      <c r="V59" s="9">
        <v>45978.0</v>
      </c>
      <c r="W59" s="8" t="s">
        <v>121</v>
      </c>
      <c r="X59" s="8" t="s">
        <v>204</v>
      </c>
      <c r="Y59" s="8" t="s">
        <v>317</v>
      </c>
      <c r="Z59" s="8" t="s">
        <v>119</v>
      </c>
      <c r="AA59" s="13">
        <v>3000000.0</v>
      </c>
      <c r="AB59" s="8"/>
      <c r="AC59" s="8"/>
      <c r="AD59" s="8"/>
      <c r="AE59" s="8" t="s">
        <v>367</v>
      </c>
      <c r="AF59" s="8" t="s">
        <v>200</v>
      </c>
      <c r="AG59" s="8" t="s">
        <v>471</v>
      </c>
      <c r="AH59" s="8"/>
      <c r="AI59" s="8"/>
      <c r="AJ59" s="8"/>
      <c r="AK59" s="8" t="s">
        <v>154</v>
      </c>
      <c r="AL59" s="8" t="s">
        <v>337</v>
      </c>
      <c r="AM59" s="8" t="b">
        <f t="shared" si="93"/>
        <v>1</v>
      </c>
      <c r="AN59" s="8" t="s">
        <v>227</v>
      </c>
      <c r="AO59" s="8">
        <v>3.08664124E8</v>
      </c>
      <c r="AP59" s="8">
        <v>2.24901692E8</v>
      </c>
      <c r="AQ59" s="8" t="s">
        <v>382</v>
      </c>
      <c r="AR59" s="8"/>
      <c r="AS59" s="8"/>
      <c r="AT59" s="10"/>
      <c r="AU59" s="8" t="b">
        <f t="shared" si="77"/>
        <v>0</v>
      </c>
      <c r="AV59" s="10"/>
      <c r="AW59" s="8" t="s">
        <v>233</v>
      </c>
      <c r="AX59" s="8">
        <v>2.0</v>
      </c>
      <c r="AY59" s="8" t="b">
        <f t="shared" ref="AY59:AZ59" si="94">TRUE()</f>
        <v>1</v>
      </c>
      <c r="AZ59" s="8" t="b">
        <f t="shared" si="94"/>
        <v>1</v>
      </c>
      <c r="BA59" s="8" t="b">
        <f t="shared" si="95"/>
        <v>0</v>
      </c>
      <c r="BB59" s="8" t="b">
        <f t="shared" ref="BB59:BC59" si="96">FALSE()</f>
        <v>0</v>
      </c>
      <c r="BC59" s="8" t="b">
        <f t="shared" si="96"/>
        <v>0</v>
      </c>
      <c r="BD59" s="10"/>
    </row>
    <row r="60" ht="15.0" customHeight="1">
      <c r="A60" s="8" t="s">
        <v>690</v>
      </c>
      <c r="B60" s="8" t="s">
        <v>481</v>
      </c>
      <c r="C60" s="8" t="s">
        <v>692</v>
      </c>
      <c r="D60" s="8" t="b">
        <f t="shared" si="60"/>
        <v>0</v>
      </c>
      <c r="E60" s="10"/>
      <c r="F60" s="9"/>
      <c r="G60" s="9"/>
      <c r="H60" s="8">
        <v>0.0</v>
      </c>
      <c r="I60" s="8" t="s">
        <v>167</v>
      </c>
      <c r="J60" s="9">
        <v>45950.0</v>
      </c>
      <c r="K60" s="8" t="s">
        <v>377</v>
      </c>
      <c r="L60" s="8" t="b">
        <f t="shared" si="32"/>
        <v>1</v>
      </c>
      <c r="M60" s="9">
        <v>45950.0</v>
      </c>
      <c r="N60" s="8" t="b">
        <f t="shared" si="48"/>
        <v>0</v>
      </c>
      <c r="O60" s="9"/>
      <c r="P60" s="8" t="b">
        <f t="shared" si="16"/>
        <v>0</v>
      </c>
      <c r="Q60" s="9"/>
      <c r="R60" s="8" t="b">
        <f t="shared" si="28"/>
        <v>0</v>
      </c>
      <c r="S60" s="9"/>
      <c r="T60" s="8">
        <v>9.0</v>
      </c>
      <c r="U60" s="9">
        <v>45944.0</v>
      </c>
      <c r="V60" s="9">
        <v>45999.0</v>
      </c>
      <c r="W60" s="8" t="s">
        <v>140</v>
      </c>
      <c r="X60" s="8" t="s">
        <v>204</v>
      </c>
      <c r="Y60" s="8" t="s">
        <v>328</v>
      </c>
      <c r="Z60" s="8" t="s">
        <v>281</v>
      </c>
      <c r="AA60" s="13">
        <v>2500000.0</v>
      </c>
      <c r="AB60" s="8" t="s">
        <v>247</v>
      </c>
      <c r="AC60" s="8" t="s">
        <v>247</v>
      </c>
      <c r="AD60" s="8" t="s">
        <v>87</v>
      </c>
      <c r="AE60" s="8" t="s">
        <v>87</v>
      </c>
      <c r="AF60" s="8" t="s">
        <v>185</v>
      </c>
      <c r="AG60" s="8"/>
      <c r="AH60" s="8"/>
      <c r="AI60" s="8"/>
      <c r="AJ60" s="8"/>
      <c r="AK60" s="8" t="s">
        <v>74</v>
      </c>
      <c r="AL60" s="8" t="s">
        <v>223</v>
      </c>
      <c r="AM60" s="8" t="b">
        <f t="shared" si="93"/>
        <v>1</v>
      </c>
      <c r="AN60" s="8" t="s">
        <v>227</v>
      </c>
      <c r="AO60" s="8">
        <v>3.01735133E8</v>
      </c>
      <c r="AP60" s="8">
        <v>2.22537432E8</v>
      </c>
      <c r="AQ60" s="8" t="s">
        <v>701</v>
      </c>
      <c r="AR60" s="8" t="s">
        <v>701</v>
      </c>
      <c r="AS60" s="8" t="s">
        <v>702</v>
      </c>
      <c r="AT60" s="10"/>
      <c r="AU60" s="8" t="b">
        <f t="shared" si="77"/>
        <v>0</v>
      </c>
      <c r="AV60" s="10"/>
      <c r="AW60" s="8" t="s">
        <v>233</v>
      </c>
      <c r="AX60" s="8">
        <v>0.0</v>
      </c>
      <c r="AY60" s="8" t="b">
        <f t="shared" ref="AY60:BC60" si="97">FALSE()</f>
        <v>0</v>
      </c>
      <c r="AZ60" s="8" t="b">
        <f t="shared" si="97"/>
        <v>0</v>
      </c>
      <c r="BA60" s="8" t="b">
        <f t="shared" si="97"/>
        <v>0</v>
      </c>
      <c r="BB60" s="8" t="b">
        <f t="shared" si="97"/>
        <v>0</v>
      </c>
      <c r="BC60" s="8" t="b">
        <f t="shared" si="97"/>
        <v>0</v>
      </c>
      <c r="BD60" s="10" t="s">
        <v>703</v>
      </c>
    </row>
    <row r="61" ht="15.0" customHeight="1">
      <c r="A61" s="8" t="s">
        <v>704</v>
      </c>
      <c r="B61" s="8" t="s">
        <v>705</v>
      </c>
      <c r="C61" s="8" t="s">
        <v>706</v>
      </c>
      <c r="D61" s="8" t="b">
        <f t="shared" si="60"/>
        <v>0</v>
      </c>
      <c r="E61" s="10"/>
      <c r="F61" s="9"/>
      <c r="G61" s="9"/>
      <c r="H61" s="8">
        <v>0.0</v>
      </c>
      <c r="I61" s="8" t="s">
        <v>167</v>
      </c>
      <c r="J61" s="9">
        <v>46083.0</v>
      </c>
      <c r="K61" s="8" t="s">
        <v>167</v>
      </c>
      <c r="L61" s="8" t="b">
        <f t="shared" si="32"/>
        <v>1</v>
      </c>
      <c r="M61" s="9">
        <v>46083.0</v>
      </c>
      <c r="N61" s="8" t="b">
        <f t="shared" si="48"/>
        <v>0</v>
      </c>
      <c r="O61" s="9"/>
      <c r="P61" s="8" t="b">
        <f t="shared" si="16"/>
        <v>0</v>
      </c>
      <c r="Q61" s="9"/>
      <c r="R61" s="8" t="b">
        <f t="shared" si="28"/>
        <v>0</v>
      </c>
      <c r="S61" s="9"/>
      <c r="T61" s="8">
        <v>2.0</v>
      </c>
      <c r="U61" s="9">
        <v>46083.0</v>
      </c>
      <c r="V61" s="9">
        <v>46090.0</v>
      </c>
      <c r="W61" s="8" t="s">
        <v>140</v>
      </c>
      <c r="X61" s="8" t="s">
        <v>204</v>
      </c>
      <c r="Y61" s="8" t="s">
        <v>328</v>
      </c>
      <c r="Z61" s="8"/>
      <c r="AA61" s="13"/>
      <c r="AB61" s="8" t="s">
        <v>240</v>
      </c>
      <c r="AC61" s="8" t="s">
        <v>166</v>
      </c>
      <c r="AD61" s="8" t="s">
        <v>87</v>
      </c>
      <c r="AE61" s="8" t="s">
        <v>87</v>
      </c>
      <c r="AF61" s="8" t="s">
        <v>185</v>
      </c>
      <c r="AG61" s="8"/>
      <c r="AH61" s="8"/>
      <c r="AI61" s="8"/>
      <c r="AJ61" s="8"/>
      <c r="AK61" s="8" t="s">
        <v>267</v>
      </c>
      <c r="AL61" s="8" t="s">
        <v>445</v>
      </c>
      <c r="AM61" s="8" t="b">
        <f t="shared" si="93"/>
        <v>1</v>
      </c>
      <c r="AN61" s="8" t="s">
        <v>319</v>
      </c>
      <c r="AO61" s="8">
        <v>3.10734539E8</v>
      </c>
      <c r="AP61" s="8">
        <v>2.33321354E8</v>
      </c>
      <c r="AQ61" s="8" t="s">
        <v>412</v>
      </c>
      <c r="AR61" s="8" t="s">
        <v>707</v>
      </c>
      <c r="AS61" s="8" t="s">
        <v>707</v>
      </c>
      <c r="AT61" s="10"/>
      <c r="AU61" s="8" t="b">
        <f t="shared" si="77"/>
        <v>0</v>
      </c>
      <c r="AV61" s="10"/>
      <c r="AW61" s="8" t="s">
        <v>233</v>
      </c>
      <c r="AX61" s="8">
        <v>2.0</v>
      </c>
      <c r="AY61" s="8" t="b">
        <f t="shared" ref="AY61:AZ61" si="98">FALSE()</f>
        <v>0</v>
      </c>
      <c r="AZ61" s="8" t="b">
        <f t="shared" si="98"/>
        <v>0</v>
      </c>
      <c r="BA61" s="8" t="b">
        <f t="shared" ref="BA61:BB61" si="99">TRUE()</f>
        <v>1</v>
      </c>
      <c r="BB61" s="8" t="b">
        <f t="shared" si="99"/>
        <v>1</v>
      </c>
      <c r="BC61" s="8" t="b">
        <f>FALSE()</f>
        <v>0</v>
      </c>
      <c r="BD61" s="10"/>
    </row>
    <row r="62" ht="15.0" customHeight="1">
      <c r="A62" s="8" t="s">
        <v>708</v>
      </c>
      <c r="B62" s="8" t="s">
        <v>709</v>
      </c>
      <c r="C62" s="8"/>
      <c r="D62" s="8" t="b">
        <f t="shared" si="60"/>
        <v>0</v>
      </c>
      <c r="E62" s="10"/>
      <c r="F62" s="9"/>
      <c r="G62" s="9"/>
      <c r="H62" s="8">
        <v>0.0</v>
      </c>
      <c r="I62" s="8" t="s">
        <v>167</v>
      </c>
      <c r="J62" s="9">
        <v>46223.0</v>
      </c>
      <c r="K62" s="8" t="s">
        <v>167</v>
      </c>
      <c r="L62" s="8" t="b">
        <f t="shared" si="32"/>
        <v>1</v>
      </c>
      <c r="M62" s="9">
        <v>46223.0</v>
      </c>
      <c r="N62" s="8" t="b">
        <f t="shared" si="48"/>
        <v>0</v>
      </c>
      <c r="O62" s="9"/>
      <c r="P62" s="8" t="b">
        <f t="shared" si="16"/>
        <v>0</v>
      </c>
      <c r="Q62" s="9"/>
      <c r="R62" s="8" t="b">
        <f t="shared" si="28"/>
        <v>0</v>
      </c>
      <c r="S62" s="9"/>
      <c r="T62" s="8">
        <v>9.0</v>
      </c>
      <c r="U62" s="9">
        <v>46209.0</v>
      </c>
      <c r="V62" s="9">
        <v>46265.0</v>
      </c>
      <c r="W62" s="8" t="s">
        <v>83</v>
      </c>
      <c r="X62" s="8" t="s">
        <v>204</v>
      </c>
      <c r="Y62" s="8" t="s">
        <v>205</v>
      </c>
      <c r="Z62" s="8" t="s">
        <v>119</v>
      </c>
      <c r="AA62" s="13">
        <v>1.0E7</v>
      </c>
      <c r="AB62" s="8"/>
      <c r="AC62" s="8"/>
      <c r="AD62" s="8"/>
      <c r="AE62" s="8" t="s">
        <v>367</v>
      </c>
      <c r="AF62" s="8" t="s">
        <v>167</v>
      </c>
      <c r="AG62" s="8" t="s">
        <v>471</v>
      </c>
      <c r="AH62" s="8" t="s">
        <v>220</v>
      </c>
      <c r="AI62" s="8" t="s">
        <v>220</v>
      </c>
      <c r="AJ62" s="8" t="s">
        <v>220</v>
      </c>
      <c r="AK62" s="8" t="s">
        <v>297</v>
      </c>
      <c r="AL62" s="8" t="s">
        <v>515</v>
      </c>
      <c r="AM62" s="8" t="b">
        <f t="shared" si="93"/>
        <v>1</v>
      </c>
      <c r="AN62" s="8" t="s">
        <v>227</v>
      </c>
      <c r="AO62" s="8">
        <v>3.12823601E8</v>
      </c>
      <c r="AP62" s="8">
        <v>2.44268524E8</v>
      </c>
      <c r="AQ62" s="8" t="s">
        <v>710</v>
      </c>
      <c r="AR62" s="8" t="s">
        <v>711</v>
      </c>
      <c r="AS62" s="8" t="s">
        <v>711</v>
      </c>
      <c r="AT62" s="10"/>
      <c r="AU62" s="8" t="b">
        <f t="shared" si="77"/>
        <v>0</v>
      </c>
      <c r="AV62" s="10"/>
      <c r="AW62" s="8" t="s">
        <v>233</v>
      </c>
      <c r="AX62" s="8">
        <v>2.0</v>
      </c>
      <c r="AY62" s="8" t="b">
        <f t="shared" ref="AY62:AZ62" si="100">TRUE()</f>
        <v>1</v>
      </c>
      <c r="AZ62" s="8" t="b">
        <f t="shared" si="100"/>
        <v>1</v>
      </c>
      <c r="BA62" s="8" t="b">
        <f t="shared" ref="BA62:BC62" si="101">FALSE()</f>
        <v>0</v>
      </c>
      <c r="BB62" s="8" t="b">
        <f t="shared" si="101"/>
        <v>0</v>
      </c>
      <c r="BC62" s="8" t="b">
        <f t="shared" si="101"/>
        <v>0</v>
      </c>
      <c r="BD62" s="10"/>
    </row>
    <row r="63" ht="15.0" customHeight="1">
      <c r="A63" s="8" t="s">
        <v>712</v>
      </c>
      <c r="B63" s="8" t="s">
        <v>713</v>
      </c>
      <c r="C63" s="8"/>
      <c r="D63" s="8" t="b">
        <f t="shared" si="60"/>
        <v>0</v>
      </c>
      <c r="E63" s="10"/>
      <c r="F63" s="9"/>
      <c r="G63" s="9"/>
      <c r="H63" s="8">
        <v>0.0</v>
      </c>
      <c r="I63" s="8" t="s">
        <v>167</v>
      </c>
      <c r="J63" s="9">
        <v>46055.0</v>
      </c>
      <c r="K63" s="8" t="s">
        <v>167</v>
      </c>
      <c r="L63" s="8" t="b">
        <f t="shared" si="32"/>
        <v>1</v>
      </c>
      <c r="M63" s="9">
        <v>46055.0</v>
      </c>
      <c r="N63" s="8" t="b">
        <f t="shared" si="48"/>
        <v>0</v>
      </c>
      <c r="O63" s="9"/>
      <c r="P63" s="8" t="b">
        <f t="shared" si="16"/>
        <v>0</v>
      </c>
      <c r="Q63" s="9"/>
      <c r="R63" s="8" t="b">
        <f t="shared" si="28"/>
        <v>0</v>
      </c>
      <c r="S63" s="9"/>
      <c r="T63" s="8">
        <v>3.0</v>
      </c>
      <c r="U63" s="9">
        <v>46055.0</v>
      </c>
      <c r="V63" s="9">
        <v>46070.0</v>
      </c>
      <c r="W63" s="8" t="s">
        <v>121</v>
      </c>
      <c r="X63" s="8" t="s">
        <v>266</v>
      </c>
      <c r="Y63" s="8" t="s">
        <v>317</v>
      </c>
      <c r="Z63" s="8"/>
      <c r="AA63" s="13"/>
      <c r="AB63" s="8"/>
      <c r="AC63" s="8"/>
      <c r="AD63" s="8"/>
      <c r="AE63" s="8" t="s">
        <v>367</v>
      </c>
      <c r="AF63" s="8"/>
      <c r="AG63" s="8"/>
      <c r="AH63" s="8"/>
      <c r="AI63" s="8"/>
      <c r="AJ63" s="8"/>
      <c r="AK63" s="8"/>
      <c r="AL63" s="8"/>
      <c r="AM63" s="8" t="b">
        <f t="shared" ref="AM63:AM67" si="103">FALSE()</f>
        <v>0</v>
      </c>
      <c r="AN63" s="8"/>
      <c r="AO63" s="8"/>
      <c r="AP63" s="8"/>
      <c r="AQ63" s="8"/>
      <c r="AR63" s="8"/>
      <c r="AS63" s="8"/>
      <c r="AT63" s="10"/>
      <c r="AU63" s="8" t="b">
        <f t="shared" si="77"/>
        <v>0</v>
      </c>
      <c r="AV63" s="10"/>
      <c r="AW63" s="8" t="s">
        <v>554</v>
      </c>
      <c r="AX63" s="8">
        <v>5.0</v>
      </c>
      <c r="AY63" s="8" t="b">
        <f t="shared" ref="AY63:BC63" si="102">TRUE()</f>
        <v>1</v>
      </c>
      <c r="AZ63" s="8" t="b">
        <f t="shared" si="102"/>
        <v>1</v>
      </c>
      <c r="BA63" s="8" t="b">
        <f t="shared" si="102"/>
        <v>1</v>
      </c>
      <c r="BB63" s="8" t="b">
        <f t="shared" si="102"/>
        <v>1</v>
      </c>
      <c r="BC63" s="8" t="b">
        <f t="shared" si="102"/>
        <v>1</v>
      </c>
      <c r="BD63" s="10"/>
    </row>
    <row r="64" ht="15.0" customHeight="1">
      <c r="A64" s="8" t="s">
        <v>716</v>
      </c>
      <c r="B64" s="8" t="s">
        <v>574</v>
      </c>
      <c r="C64" s="8"/>
      <c r="D64" s="8" t="b">
        <f t="shared" si="60"/>
        <v>0</v>
      </c>
      <c r="E64" s="10"/>
      <c r="F64" s="9"/>
      <c r="G64" s="9"/>
      <c r="H64" s="8">
        <v>0.0</v>
      </c>
      <c r="I64" s="8" t="s">
        <v>167</v>
      </c>
      <c r="J64" s="9">
        <v>45978.0</v>
      </c>
      <c r="K64" s="8" t="s">
        <v>167</v>
      </c>
      <c r="L64" s="8" t="b">
        <f t="shared" si="32"/>
        <v>1</v>
      </c>
      <c r="M64" s="9">
        <v>45978.0</v>
      </c>
      <c r="N64" s="8" t="b">
        <f t="shared" si="48"/>
        <v>0</v>
      </c>
      <c r="O64" s="9"/>
      <c r="P64" s="8" t="b">
        <f t="shared" si="16"/>
        <v>0</v>
      </c>
      <c r="Q64" s="9"/>
      <c r="R64" s="8" t="b">
        <f t="shared" si="28"/>
        <v>0</v>
      </c>
      <c r="S64" s="9"/>
      <c r="T64" s="8">
        <v>8.0</v>
      </c>
      <c r="U64" s="9">
        <v>45978.0</v>
      </c>
      <c r="V64" s="9">
        <v>46042.0</v>
      </c>
      <c r="W64" s="8" t="s">
        <v>140</v>
      </c>
      <c r="X64" s="8" t="s">
        <v>266</v>
      </c>
      <c r="Y64" s="8" t="s">
        <v>328</v>
      </c>
      <c r="Z64" s="8"/>
      <c r="AA64" s="13"/>
      <c r="AB64" s="8"/>
      <c r="AC64" s="8"/>
      <c r="AD64" s="8"/>
      <c r="AE64" s="8" t="s">
        <v>367</v>
      </c>
      <c r="AF64" s="8"/>
      <c r="AG64" s="8"/>
      <c r="AH64" s="8"/>
      <c r="AI64" s="8"/>
      <c r="AJ64" s="8"/>
      <c r="AK64" s="8"/>
      <c r="AL64" s="8"/>
      <c r="AM64" s="8" t="b">
        <f t="shared" si="103"/>
        <v>0</v>
      </c>
      <c r="AN64" s="8"/>
      <c r="AO64" s="8"/>
      <c r="AP64" s="8"/>
      <c r="AQ64" s="8"/>
      <c r="AR64" s="8"/>
      <c r="AS64" s="8"/>
      <c r="AT64" s="10"/>
      <c r="AU64" s="8" t="b">
        <f t="shared" si="77"/>
        <v>0</v>
      </c>
      <c r="AV64" s="10"/>
      <c r="AW64" s="8" t="s">
        <v>554</v>
      </c>
      <c r="AX64" s="8">
        <v>5.0</v>
      </c>
      <c r="AY64" s="8" t="b">
        <f t="shared" ref="AY64:BC64" si="104">TRUE()</f>
        <v>1</v>
      </c>
      <c r="AZ64" s="8" t="b">
        <f t="shared" si="104"/>
        <v>1</v>
      </c>
      <c r="BA64" s="8" t="b">
        <f t="shared" si="104"/>
        <v>1</v>
      </c>
      <c r="BB64" s="8" t="b">
        <f t="shared" si="104"/>
        <v>1</v>
      </c>
      <c r="BC64" s="8" t="b">
        <f t="shared" si="104"/>
        <v>1</v>
      </c>
      <c r="BD64" s="10"/>
    </row>
    <row r="65" ht="15.0" customHeight="1">
      <c r="A65" s="8" t="s">
        <v>717</v>
      </c>
      <c r="B65" s="8" t="s">
        <v>718</v>
      </c>
      <c r="C65" s="8"/>
      <c r="D65" s="8" t="b">
        <f t="shared" si="60"/>
        <v>0</v>
      </c>
      <c r="E65" s="10"/>
      <c r="F65" s="9"/>
      <c r="G65" s="9"/>
      <c r="H65" s="8">
        <v>0.0</v>
      </c>
      <c r="I65" s="8" t="s">
        <v>167</v>
      </c>
      <c r="J65" s="9">
        <v>46146.0</v>
      </c>
      <c r="K65" s="8" t="s">
        <v>167</v>
      </c>
      <c r="L65" s="8" t="b">
        <f t="shared" si="32"/>
        <v>1</v>
      </c>
      <c r="M65" s="9">
        <v>46146.0</v>
      </c>
      <c r="N65" s="8" t="b">
        <f t="shared" si="48"/>
        <v>0</v>
      </c>
      <c r="O65" s="9"/>
      <c r="P65" s="8" t="b">
        <f t="shared" si="16"/>
        <v>0</v>
      </c>
      <c r="Q65" s="9"/>
      <c r="R65" s="8" t="b">
        <f t="shared" si="28"/>
        <v>0</v>
      </c>
      <c r="S65" s="9"/>
      <c r="T65" s="8">
        <v>9.0</v>
      </c>
      <c r="U65" s="9">
        <v>46146.0</v>
      </c>
      <c r="V65" s="9">
        <v>46209.0</v>
      </c>
      <c r="W65" s="8" t="s">
        <v>121</v>
      </c>
      <c r="X65" s="8" t="s">
        <v>266</v>
      </c>
      <c r="Y65" s="8" t="s">
        <v>317</v>
      </c>
      <c r="Z65" s="8"/>
      <c r="AA65" s="13"/>
      <c r="AB65" s="8"/>
      <c r="AC65" s="8"/>
      <c r="AD65" s="8"/>
      <c r="AE65" s="8" t="s">
        <v>367</v>
      </c>
      <c r="AF65" s="8"/>
      <c r="AG65" s="8"/>
      <c r="AH65" s="8"/>
      <c r="AI65" s="8"/>
      <c r="AJ65" s="8"/>
      <c r="AK65" s="8"/>
      <c r="AL65" s="8"/>
      <c r="AM65" s="8" t="b">
        <f t="shared" si="103"/>
        <v>0</v>
      </c>
      <c r="AN65" s="8"/>
      <c r="AO65" s="8"/>
      <c r="AP65" s="8"/>
      <c r="AQ65" s="8"/>
      <c r="AR65" s="8"/>
      <c r="AS65" s="8"/>
      <c r="AT65" s="10"/>
      <c r="AU65" s="8" t="b">
        <f t="shared" si="77"/>
        <v>0</v>
      </c>
      <c r="AV65" s="10"/>
      <c r="AW65" s="8" t="s">
        <v>554</v>
      </c>
      <c r="AX65" s="8">
        <v>5.0</v>
      </c>
      <c r="AY65" s="8" t="b">
        <f t="shared" ref="AY65:BC65" si="105">TRUE()</f>
        <v>1</v>
      </c>
      <c r="AZ65" s="8" t="b">
        <f t="shared" si="105"/>
        <v>1</v>
      </c>
      <c r="BA65" s="8" t="b">
        <f t="shared" si="105"/>
        <v>1</v>
      </c>
      <c r="BB65" s="8" t="b">
        <f t="shared" si="105"/>
        <v>1</v>
      </c>
      <c r="BC65" s="8" t="b">
        <f t="shared" si="105"/>
        <v>1</v>
      </c>
      <c r="BD65" s="10"/>
    </row>
    <row r="66" ht="15.0" customHeight="1">
      <c r="A66" s="8" t="s">
        <v>719</v>
      </c>
      <c r="B66" s="8" t="s">
        <v>720</v>
      </c>
      <c r="C66" s="30" t="s">
        <v>721</v>
      </c>
      <c r="D66" s="8" t="b">
        <f t="shared" si="60"/>
        <v>0</v>
      </c>
      <c r="E66" s="10"/>
      <c r="F66" s="9"/>
      <c r="G66" s="9"/>
      <c r="H66" s="8">
        <v>0.0</v>
      </c>
      <c r="I66" s="8" t="s">
        <v>167</v>
      </c>
      <c r="J66" s="9">
        <v>46209.0</v>
      </c>
      <c r="K66" s="8" t="s">
        <v>377</v>
      </c>
      <c r="L66" s="8" t="b">
        <f t="shared" si="32"/>
        <v>1</v>
      </c>
      <c r="M66" s="9">
        <v>46209.0</v>
      </c>
      <c r="N66" s="8" t="b">
        <f t="shared" si="48"/>
        <v>0</v>
      </c>
      <c r="O66" s="9"/>
      <c r="P66" s="8" t="b">
        <f t="shared" si="16"/>
        <v>0</v>
      </c>
      <c r="Q66" s="9"/>
      <c r="R66" s="8" t="b">
        <f t="shared" si="28"/>
        <v>0</v>
      </c>
      <c r="S66" s="9"/>
      <c r="T66" s="8">
        <v>1.0</v>
      </c>
      <c r="U66" s="9">
        <v>46209.0</v>
      </c>
      <c r="V66" s="9">
        <v>46209.0</v>
      </c>
      <c r="W66" s="8" t="s">
        <v>83</v>
      </c>
      <c r="X66" s="8" t="s">
        <v>266</v>
      </c>
      <c r="Y66" s="8" t="s">
        <v>205</v>
      </c>
      <c r="Z66" s="8"/>
      <c r="AA66" s="13"/>
      <c r="AB66" s="8"/>
      <c r="AC66" s="8"/>
      <c r="AD66" s="8"/>
      <c r="AE66" s="8" t="s">
        <v>367</v>
      </c>
      <c r="AF66" s="8"/>
      <c r="AG66" s="8"/>
      <c r="AH66" s="8"/>
      <c r="AI66" s="8"/>
      <c r="AJ66" s="8"/>
      <c r="AK66" s="8"/>
      <c r="AL66" s="8"/>
      <c r="AM66" s="8" t="b">
        <f t="shared" si="103"/>
        <v>0</v>
      </c>
      <c r="AN66" s="8"/>
      <c r="AO66" s="8"/>
      <c r="AP66" s="8"/>
      <c r="AQ66" s="8"/>
      <c r="AR66" s="8"/>
      <c r="AS66" s="8"/>
      <c r="AT66" s="10"/>
      <c r="AU66" s="8" t="b">
        <f t="shared" si="77"/>
        <v>0</v>
      </c>
      <c r="AV66" s="10"/>
      <c r="AW66" s="8" t="s">
        <v>554</v>
      </c>
      <c r="AX66" s="8">
        <v>5.0</v>
      </c>
      <c r="AY66" s="8" t="b">
        <f t="shared" ref="AY66:BC66" si="106">TRUE()</f>
        <v>1</v>
      </c>
      <c r="AZ66" s="8" t="b">
        <f t="shared" si="106"/>
        <v>1</v>
      </c>
      <c r="BA66" s="8" t="b">
        <f t="shared" si="106"/>
        <v>1</v>
      </c>
      <c r="BB66" s="8" t="b">
        <f t="shared" si="106"/>
        <v>1</v>
      </c>
      <c r="BC66" s="8" t="b">
        <f t="shared" si="106"/>
        <v>1</v>
      </c>
      <c r="BD66" s="10"/>
    </row>
    <row r="67" ht="15.0" customHeight="1">
      <c r="A67" s="8" t="s">
        <v>722</v>
      </c>
      <c r="B67" s="8" t="s">
        <v>724</v>
      </c>
      <c r="C67" s="28" t="s">
        <v>725</v>
      </c>
      <c r="D67" s="8" t="b">
        <f t="shared" si="60"/>
        <v>0</v>
      </c>
      <c r="E67" s="10"/>
      <c r="F67" s="9"/>
      <c r="G67" s="9"/>
      <c r="H67" s="8">
        <v>0.0</v>
      </c>
      <c r="I67" s="8" t="s">
        <v>167</v>
      </c>
      <c r="J67" s="9">
        <v>46174.0</v>
      </c>
      <c r="K67" s="8" t="s">
        <v>167</v>
      </c>
      <c r="L67" s="8" t="b">
        <f t="shared" si="32"/>
        <v>1</v>
      </c>
      <c r="M67" s="9">
        <v>46174.0</v>
      </c>
      <c r="N67" s="8" t="b">
        <f t="shared" si="48"/>
        <v>0</v>
      </c>
      <c r="O67" s="9"/>
      <c r="P67" s="8" t="b">
        <f t="shared" si="16"/>
        <v>0</v>
      </c>
      <c r="Q67" s="9"/>
      <c r="R67" s="8" t="b">
        <f t="shared" si="28"/>
        <v>0</v>
      </c>
      <c r="S67" s="9"/>
      <c r="T67" s="8">
        <v>2.0</v>
      </c>
      <c r="U67" s="9">
        <v>46174.0</v>
      </c>
      <c r="V67" s="9">
        <v>46181.0</v>
      </c>
      <c r="W67" s="8" t="s">
        <v>360</v>
      </c>
      <c r="X67" s="8" t="s">
        <v>266</v>
      </c>
      <c r="Y67" s="8" t="s">
        <v>360</v>
      </c>
      <c r="Z67" s="8"/>
      <c r="AA67" s="13"/>
      <c r="AB67" s="8"/>
      <c r="AC67" s="8"/>
      <c r="AD67" s="8"/>
      <c r="AE67" s="8" t="s">
        <v>367</v>
      </c>
      <c r="AF67" s="8"/>
      <c r="AG67" s="8"/>
      <c r="AH67" s="8"/>
      <c r="AI67" s="8"/>
      <c r="AJ67" s="8"/>
      <c r="AK67" s="8"/>
      <c r="AL67" s="8"/>
      <c r="AM67" s="8" t="b">
        <f t="shared" si="103"/>
        <v>0</v>
      </c>
      <c r="AN67" s="8"/>
      <c r="AO67" s="8"/>
      <c r="AP67" s="8"/>
      <c r="AQ67" s="8"/>
      <c r="AR67" s="8"/>
      <c r="AS67" s="8"/>
      <c r="AT67" s="10"/>
      <c r="AU67" s="8" t="b">
        <f t="shared" si="77"/>
        <v>0</v>
      </c>
      <c r="AV67" s="10"/>
      <c r="AW67" s="8" t="s">
        <v>554</v>
      </c>
      <c r="AX67" s="8">
        <v>5.0</v>
      </c>
      <c r="AY67" s="8" t="b">
        <f t="shared" ref="AY67:BC67" si="107">TRUE()</f>
        <v>1</v>
      </c>
      <c r="AZ67" s="8" t="b">
        <f t="shared" si="107"/>
        <v>1</v>
      </c>
      <c r="BA67" s="8" t="b">
        <f t="shared" si="107"/>
        <v>1</v>
      </c>
      <c r="BB67" s="8" t="b">
        <f t="shared" si="107"/>
        <v>1</v>
      </c>
      <c r="BC67" s="8" t="b">
        <f t="shared" si="107"/>
        <v>1</v>
      </c>
      <c r="BD67" s="10"/>
    </row>
    <row r="68" ht="34.5" customHeight="1">
      <c r="A68" s="8" t="s">
        <v>727</v>
      </c>
      <c r="B68" s="8" t="s">
        <v>728</v>
      </c>
      <c r="C68" s="8" t="s">
        <v>729</v>
      </c>
      <c r="D68" s="8" t="b">
        <f t="shared" si="60"/>
        <v>0</v>
      </c>
      <c r="E68" s="10"/>
      <c r="F68" s="9"/>
      <c r="G68" s="9"/>
      <c r="H68" s="8">
        <v>0.0</v>
      </c>
      <c r="I68" s="8" t="s">
        <v>167</v>
      </c>
      <c r="J68" s="9">
        <v>46230.0</v>
      </c>
      <c r="K68" s="8" t="s">
        <v>167</v>
      </c>
      <c r="L68" s="8" t="b">
        <f t="shared" si="32"/>
        <v>1</v>
      </c>
      <c r="M68" s="9">
        <v>46230.0</v>
      </c>
      <c r="N68" s="8" t="b">
        <f t="shared" si="48"/>
        <v>0</v>
      </c>
      <c r="O68" s="9"/>
      <c r="P68" s="8" t="b">
        <f t="shared" si="16"/>
        <v>0</v>
      </c>
      <c r="Q68" s="9"/>
      <c r="R68" s="8" t="b">
        <f t="shared" si="28"/>
        <v>0</v>
      </c>
      <c r="S68" s="9"/>
      <c r="T68" s="8">
        <v>4.0</v>
      </c>
      <c r="U68" s="9">
        <v>46223.0</v>
      </c>
      <c r="V68" s="9">
        <v>46244.0</v>
      </c>
      <c r="W68" s="8" t="s">
        <v>121</v>
      </c>
      <c r="X68" s="8" t="s">
        <v>204</v>
      </c>
      <c r="Y68" s="8" t="s">
        <v>317</v>
      </c>
      <c r="Z68" s="8" t="s">
        <v>119</v>
      </c>
      <c r="AA68" s="13">
        <v>3.5E7</v>
      </c>
      <c r="AB68" s="8"/>
      <c r="AC68" s="8"/>
      <c r="AD68" s="8"/>
      <c r="AE68" s="8" t="s">
        <v>367</v>
      </c>
      <c r="AF68" s="8" t="s">
        <v>293</v>
      </c>
      <c r="AG68" s="8" t="s">
        <v>405</v>
      </c>
      <c r="AH68" s="8"/>
      <c r="AI68" s="8"/>
      <c r="AJ68" s="8"/>
      <c r="AK68" s="8" t="s">
        <v>127</v>
      </c>
      <c r="AL68" s="8" t="s">
        <v>318</v>
      </c>
      <c r="AM68" s="8" t="b">
        <f>TRUE()</f>
        <v>1</v>
      </c>
      <c r="AN68" s="8" t="s">
        <v>227</v>
      </c>
      <c r="AO68" s="8">
        <v>3.13282361E8</v>
      </c>
      <c r="AP68" s="8">
        <v>2.48261333E8</v>
      </c>
      <c r="AQ68" s="8" t="s">
        <v>732</v>
      </c>
      <c r="AR68" s="8" t="s">
        <v>733</v>
      </c>
      <c r="AS68" s="8" t="s">
        <v>549</v>
      </c>
      <c r="AT68" s="10" t="s">
        <v>734</v>
      </c>
      <c r="AU68" s="8">
        <v>0.0</v>
      </c>
      <c r="AV68" s="10"/>
      <c r="AW68" s="8" t="s">
        <v>233</v>
      </c>
      <c r="AX68" s="8">
        <v>1.0</v>
      </c>
      <c r="AY68" s="8">
        <v>0.0</v>
      </c>
      <c r="AZ68" s="8">
        <v>1.0</v>
      </c>
      <c r="BA68" s="8">
        <v>0.0</v>
      </c>
      <c r="BB68" s="8">
        <v>0.0</v>
      </c>
      <c r="BC68" s="8">
        <v>0.0</v>
      </c>
      <c r="BD68" s="10"/>
    </row>
    <row r="69" ht="15.0" customHeight="1">
      <c r="A69" s="8" t="s">
        <v>730</v>
      </c>
      <c r="B69" s="8" t="s">
        <v>731</v>
      </c>
      <c r="C69" s="31" t="s">
        <v>739</v>
      </c>
      <c r="D69" s="8" t="b">
        <f t="shared" si="60"/>
        <v>0</v>
      </c>
      <c r="E69" s="10"/>
      <c r="F69" s="9"/>
      <c r="G69" s="9"/>
      <c r="H69" s="8">
        <v>0.0</v>
      </c>
      <c r="I69" s="8" t="s">
        <v>167</v>
      </c>
      <c r="J69" s="9">
        <v>46076.0</v>
      </c>
      <c r="K69" s="8" t="s">
        <v>167</v>
      </c>
      <c r="L69" s="8" t="b">
        <f t="shared" si="32"/>
        <v>1</v>
      </c>
      <c r="M69" s="9">
        <v>46076.0</v>
      </c>
      <c r="N69" s="8" t="b">
        <f t="shared" si="48"/>
        <v>0</v>
      </c>
      <c r="O69" s="9"/>
      <c r="P69" s="8" t="b">
        <f t="shared" si="16"/>
        <v>0</v>
      </c>
      <c r="Q69" s="9"/>
      <c r="R69" s="8" t="b">
        <f t="shared" si="28"/>
        <v>0</v>
      </c>
      <c r="S69" s="9"/>
      <c r="T69" s="8">
        <v>2.0</v>
      </c>
      <c r="U69" s="9">
        <v>46070.0</v>
      </c>
      <c r="V69" s="9">
        <v>46076.0</v>
      </c>
      <c r="W69" s="8" t="s">
        <v>83</v>
      </c>
      <c r="X69" s="8" t="s">
        <v>266</v>
      </c>
      <c r="Y69" s="8" t="s">
        <v>205</v>
      </c>
      <c r="Z69" s="8"/>
      <c r="AA69" s="13"/>
      <c r="AB69" s="8"/>
      <c r="AC69" s="8"/>
      <c r="AD69" s="8"/>
      <c r="AE69" s="8" t="s">
        <v>367</v>
      </c>
      <c r="AF69" s="8"/>
      <c r="AG69" s="8"/>
      <c r="AH69" s="8"/>
      <c r="AI69" s="8"/>
      <c r="AJ69" s="8"/>
      <c r="AK69" s="8"/>
      <c r="AL69" s="8"/>
      <c r="AM69" s="8" t="b">
        <f t="shared" ref="AM69:AM70" si="109">FALSE()</f>
        <v>0</v>
      </c>
      <c r="AN69" s="8"/>
      <c r="AO69" s="8"/>
      <c r="AP69" s="8"/>
      <c r="AQ69" s="8"/>
      <c r="AR69" s="8"/>
      <c r="AS69" s="8"/>
      <c r="AT69" s="10"/>
      <c r="AU69" s="8" t="b">
        <f t="shared" ref="AU69:AU80" si="110">FALSE()</f>
        <v>0</v>
      </c>
      <c r="AV69" s="10"/>
      <c r="AW69" s="8" t="s">
        <v>554</v>
      </c>
      <c r="AX69" s="8">
        <v>5.0</v>
      </c>
      <c r="AY69" s="8" t="b">
        <f t="shared" ref="AY69:BC69" si="108">TRUE()</f>
        <v>1</v>
      </c>
      <c r="AZ69" s="8" t="b">
        <f t="shared" si="108"/>
        <v>1</v>
      </c>
      <c r="BA69" s="8" t="b">
        <f t="shared" si="108"/>
        <v>1</v>
      </c>
      <c r="BB69" s="8" t="b">
        <f t="shared" si="108"/>
        <v>1</v>
      </c>
      <c r="BC69" s="8" t="b">
        <f t="shared" si="108"/>
        <v>1</v>
      </c>
      <c r="BD69" s="10"/>
    </row>
    <row r="70" ht="15.0" customHeight="1">
      <c r="A70" s="8" t="s">
        <v>735</v>
      </c>
      <c r="B70" s="8" t="s">
        <v>736</v>
      </c>
      <c r="C70" s="28" t="s">
        <v>746</v>
      </c>
      <c r="D70" s="8" t="b">
        <f t="shared" si="60"/>
        <v>0</v>
      </c>
      <c r="E70" s="10"/>
      <c r="F70" s="9"/>
      <c r="G70" s="9"/>
      <c r="H70" s="8">
        <v>0.0</v>
      </c>
      <c r="I70" s="8" t="s">
        <v>167</v>
      </c>
      <c r="J70" s="9">
        <v>46265.0</v>
      </c>
      <c r="K70" s="8" t="s">
        <v>167</v>
      </c>
      <c r="L70" s="8" t="b">
        <f t="shared" si="32"/>
        <v>1</v>
      </c>
      <c r="M70" s="9">
        <v>46265.0</v>
      </c>
      <c r="N70" s="8" t="b">
        <f t="shared" si="48"/>
        <v>0</v>
      </c>
      <c r="O70" s="9"/>
      <c r="P70" s="8" t="b">
        <f t="shared" si="16"/>
        <v>0</v>
      </c>
      <c r="Q70" s="9"/>
      <c r="R70" s="8" t="b">
        <f t="shared" si="28"/>
        <v>0</v>
      </c>
      <c r="S70" s="9"/>
      <c r="T70" s="8">
        <v>2.0</v>
      </c>
      <c r="U70" s="9">
        <v>46258.0</v>
      </c>
      <c r="V70" s="9">
        <v>46265.0</v>
      </c>
      <c r="W70" s="8" t="s">
        <v>83</v>
      </c>
      <c r="X70" s="8" t="s">
        <v>266</v>
      </c>
      <c r="Y70" s="8" t="s">
        <v>205</v>
      </c>
      <c r="Z70" s="8"/>
      <c r="AA70" s="13"/>
      <c r="AB70" s="8"/>
      <c r="AC70" s="8"/>
      <c r="AD70" s="8"/>
      <c r="AE70" s="8" t="s">
        <v>367</v>
      </c>
      <c r="AF70" s="8"/>
      <c r="AG70" s="8"/>
      <c r="AH70" s="8"/>
      <c r="AI70" s="8"/>
      <c r="AJ70" s="8"/>
      <c r="AK70" s="8"/>
      <c r="AL70" s="8"/>
      <c r="AM70" s="8" t="b">
        <f t="shared" si="109"/>
        <v>0</v>
      </c>
      <c r="AN70" s="8"/>
      <c r="AO70" s="8"/>
      <c r="AP70" s="8"/>
      <c r="AQ70" s="8"/>
      <c r="AR70" s="8"/>
      <c r="AS70" s="8"/>
      <c r="AT70" s="10"/>
      <c r="AU70" s="8" t="b">
        <f t="shared" si="110"/>
        <v>0</v>
      </c>
      <c r="AV70" s="10"/>
      <c r="AW70" s="8" t="s">
        <v>554</v>
      </c>
      <c r="AX70" s="8">
        <v>5.0</v>
      </c>
      <c r="AY70" s="8" t="b">
        <f t="shared" ref="AY70:BC70" si="111">TRUE()</f>
        <v>1</v>
      </c>
      <c r="AZ70" s="8" t="b">
        <f t="shared" si="111"/>
        <v>1</v>
      </c>
      <c r="BA70" s="8" t="b">
        <f t="shared" si="111"/>
        <v>1</v>
      </c>
      <c r="BB70" s="8" t="b">
        <f t="shared" si="111"/>
        <v>1</v>
      </c>
      <c r="BC70" s="8" t="b">
        <f t="shared" si="111"/>
        <v>1</v>
      </c>
      <c r="BD70" s="10"/>
    </row>
    <row r="71" ht="15.0" customHeight="1">
      <c r="A71" s="8" t="s">
        <v>756</v>
      </c>
      <c r="B71" s="8" t="s">
        <v>487</v>
      </c>
      <c r="C71" s="8"/>
      <c r="D71" s="8" t="b">
        <f t="shared" si="60"/>
        <v>0</v>
      </c>
      <c r="E71" s="10"/>
      <c r="F71" s="9"/>
      <c r="G71" s="9"/>
      <c r="H71" s="8">
        <v>0.0</v>
      </c>
      <c r="I71" s="8" t="s">
        <v>167</v>
      </c>
      <c r="J71" s="9">
        <v>45944.0</v>
      </c>
      <c r="K71" s="8" t="s">
        <v>167</v>
      </c>
      <c r="L71" s="8" t="b">
        <f t="shared" si="32"/>
        <v>1</v>
      </c>
      <c r="M71" s="9">
        <v>45944.0</v>
      </c>
      <c r="N71" s="8" t="b">
        <f t="shared" si="48"/>
        <v>0</v>
      </c>
      <c r="O71" s="9"/>
      <c r="P71" s="8" t="b">
        <f t="shared" si="16"/>
        <v>0</v>
      </c>
      <c r="Q71" s="9"/>
      <c r="R71" s="8" t="b">
        <f t="shared" si="28"/>
        <v>0</v>
      </c>
      <c r="S71" s="9"/>
      <c r="T71" s="8">
        <v>1.0</v>
      </c>
      <c r="U71" s="9">
        <v>45944.0</v>
      </c>
      <c r="V71" s="9">
        <v>45944.0</v>
      </c>
      <c r="W71" s="8" t="s">
        <v>121</v>
      </c>
      <c r="X71" s="8" t="s">
        <v>204</v>
      </c>
      <c r="Y71" s="8" t="s">
        <v>317</v>
      </c>
      <c r="Z71" s="8" t="s">
        <v>119</v>
      </c>
      <c r="AA71" s="13">
        <v>2000000.0</v>
      </c>
      <c r="AB71" s="8"/>
      <c r="AC71" s="8"/>
      <c r="AD71" s="8"/>
      <c r="AE71" s="8" t="s">
        <v>367</v>
      </c>
      <c r="AF71" s="8" t="s">
        <v>185</v>
      </c>
      <c r="AG71" s="8" t="s">
        <v>514</v>
      </c>
      <c r="AH71" s="8"/>
      <c r="AI71" s="8"/>
      <c r="AJ71" s="8"/>
      <c r="AK71" s="8" t="s">
        <v>154</v>
      </c>
      <c r="AL71" s="8" t="s">
        <v>337</v>
      </c>
      <c r="AM71" s="8" t="b">
        <f>TRUE()</f>
        <v>1</v>
      </c>
      <c r="AN71" s="8" t="s">
        <v>227</v>
      </c>
      <c r="AO71" s="8">
        <v>3.07254013E8</v>
      </c>
      <c r="AP71" s="8">
        <v>2.22532634E8</v>
      </c>
      <c r="AQ71" s="8" t="s">
        <v>701</v>
      </c>
      <c r="AR71" s="8"/>
      <c r="AS71" s="8"/>
      <c r="AT71" s="10"/>
      <c r="AU71" s="8" t="b">
        <f t="shared" si="110"/>
        <v>0</v>
      </c>
      <c r="AV71" s="10"/>
      <c r="AW71" s="8" t="s">
        <v>233</v>
      </c>
      <c r="AX71" s="8">
        <v>2.0</v>
      </c>
      <c r="AY71" s="8" t="b">
        <f t="shared" ref="AY71:AZ71" si="112">TRUE()</f>
        <v>1</v>
      </c>
      <c r="AZ71" s="8" t="b">
        <f t="shared" si="112"/>
        <v>1</v>
      </c>
      <c r="BA71" s="8" t="b">
        <f t="shared" ref="BA71:BC71" si="113">FALSE()</f>
        <v>0</v>
      </c>
      <c r="BB71" s="8" t="b">
        <f t="shared" si="113"/>
        <v>0</v>
      </c>
      <c r="BC71" s="8" t="b">
        <f t="shared" si="113"/>
        <v>0</v>
      </c>
      <c r="BD71" s="10"/>
    </row>
    <row r="72" ht="15.0" customHeight="1">
      <c r="A72" s="8" t="s">
        <v>737</v>
      </c>
      <c r="B72" s="8" t="s">
        <v>738</v>
      </c>
      <c r="C72" s="8"/>
      <c r="D72" s="8" t="b">
        <f t="shared" si="60"/>
        <v>0</v>
      </c>
      <c r="E72" s="10"/>
      <c r="F72" s="9"/>
      <c r="G72" s="9"/>
      <c r="H72" s="8">
        <v>0.0</v>
      </c>
      <c r="I72" s="8" t="s">
        <v>167</v>
      </c>
      <c r="J72" s="9">
        <v>46174.0</v>
      </c>
      <c r="K72" s="8" t="s">
        <v>167</v>
      </c>
      <c r="L72" s="8" t="b">
        <f t="shared" si="32"/>
        <v>1</v>
      </c>
      <c r="M72" s="9">
        <v>46174.0</v>
      </c>
      <c r="N72" s="8" t="b">
        <f t="shared" si="48"/>
        <v>0</v>
      </c>
      <c r="O72" s="9"/>
      <c r="P72" s="8" t="b">
        <f t="shared" si="16"/>
        <v>0</v>
      </c>
      <c r="Q72" s="9"/>
      <c r="R72" s="8" t="b">
        <f t="shared" si="28"/>
        <v>0</v>
      </c>
      <c r="S72" s="9"/>
      <c r="T72" s="8">
        <v>4.0</v>
      </c>
      <c r="U72" s="9">
        <v>46174.0</v>
      </c>
      <c r="V72" s="9">
        <v>46195.0</v>
      </c>
      <c r="W72" s="8" t="s">
        <v>121</v>
      </c>
      <c r="X72" s="8" t="s">
        <v>266</v>
      </c>
      <c r="Y72" s="8" t="s">
        <v>317</v>
      </c>
      <c r="Z72" s="8"/>
      <c r="AA72" s="13"/>
      <c r="AB72" s="8"/>
      <c r="AC72" s="8"/>
      <c r="AD72" s="8"/>
      <c r="AE72" s="8" t="s">
        <v>367</v>
      </c>
      <c r="AF72" s="8"/>
      <c r="AG72" s="8"/>
      <c r="AH72" s="8"/>
      <c r="AI72" s="8"/>
      <c r="AJ72" s="8"/>
      <c r="AK72" s="8"/>
      <c r="AL72" s="8"/>
      <c r="AM72" s="8" t="b">
        <f>FALSE()</f>
        <v>0</v>
      </c>
      <c r="AN72" s="8"/>
      <c r="AO72" s="8"/>
      <c r="AP72" s="8"/>
      <c r="AQ72" s="8"/>
      <c r="AR72" s="8"/>
      <c r="AS72" s="8"/>
      <c r="AT72" s="10"/>
      <c r="AU72" s="8" t="b">
        <f t="shared" si="110"/>
        <v>0</v>
      </c>
      <c r="AV72" s="10"/>
      <c r="AW72" s="8" t="s">
        <v>554</v>
      </c>
      <c r="AX72" s="8">
        <v>5.0</v>
      </c>
      <c r="AY72" s="8" t="b">
        <f t="shared" ref="AY72:BC72" si="114">TRUE()</f>
        <v>1</v>
      </c>
      <c r="AZ72" s="8" t="b">
        <f t="shared" si="114"/>
        <v>1</v>
      </c>
      <c r="BA72" s="8" t="b">
        <f t="shared" si="114"/>
        <v>1</v>
      </c>
      <c r="BB72" s="8" t="b">
        <f t="shared" si="114"/>
        <v>1</v>
      </c>
      <c r="BC72" s="8" t="b">
        <f t="shared" si="114"/>
        <v>1</v>
      </c>
      <c r="BD72" s="10"/>
    </row>
    <row r="73" ht="15.0" customHeight="1">
      <c r="A73" s="8" t="s">
        <v>768</v>
      </c>
      <c r="B73" s="8" t="s">
        <v>770</v>
      </c>
      <c r="C73" s="8" t="s">
        <v>771</v>
      </c>
      <c r="D73" s="8" t="b">
        <f t="shared" si="60"/>
        <v>0</v>
      </c>
      <c r="E73" s="10"/>
      <c r="F73" s="9"/>
      <c r="G73" s="9"/>
      <c r="H73" s="8">
        <v>0.0</v>
      </c>
      <c r="I73" s="8" t="s">
        <v>167</v>
      </c>
      <c r="J73" s="9">
        <v>46216.0</v>
      </c>
      <c r="K73" s="8" t="s">
        <v>167</v>
      </c>
      <c r="L73" s="8" t="b">
        <f t="shared" si="32"/>
        <v>1</v>
      </c>
      <c r="M73" s="9">
        <v>46216.0</v>
      </c>
      <c r="N73" s="8" t="b">
        <f t="shared" si="48"/>
        <v>0</v>
      </c>
      <c r="O73" s="9"/>
      <c r="P73" s="8" t="b">
        <f t="shared" si="16"/>
        <v>0</v>
      </c>
      <c r="Q73" s="9"/>
      <c r="R73" s="8" t="b">
        <f t="shared" si="28"/>
        <v>0</v>
      </c>
      <c r="S73" s="9"/>
      <c r="T73" s="8">
        <v>8.0</v>
      </c>
      <c r="U73" s="9">
        <v>46216.0</v>
      </c>
      <c r="V73" s="9">
        <v>46265.0</v>
      </c>
      <c r="W73" s="8" t="s">
        <v>140</v>
      </c>
      <c r="X73" s="8" t="s">
        <v>204</v>
      </c>
      <c r="Y73" s="8" t="s">
        <v>328</v>
      </c>
      <c r="Z73" s="8"/>
      <c r="AA73" s="13"/>
      <c r="AB73" s="8" t="s">
        <v>774</v>
      </c>
      <c r="AC73" s="8" t="s">
        <v>166</v>
      </c>
      <c r="AD73" s="8" t="s">
        <v>87</v>
      </c>
      <c r="AE73" s="8" t="s">
        <v>87</v>
      </c>
      <c r="AF73" s="8" t="s">
        <v>539</v>
      </c>
      <c r="AG73" s="8"/>
      <c r="AH73" s="8"/>
      <c r="AI73" s="8"/>
      <c r="AJ73" s="8"/>
      <c r="AK73" s="8" t="s">
        <v>74</v>
      </c>
      <c r="AL73" s="8" t="s">
        <v>223</v>
      </c>
      <c r="AM73" s="8" t="b">
        <f t="shared" ref="AM73:AM75" si="117">TRUE()</f>
        <v>1</v>
      </c>
      <c r="AN73" s="8" t="s">
        <v>227</v>
      </c>
      <c r="AO73" s="8">
        <v>3.12423978E8</v>
      </c>
      <c r="AP73" s="8">
        <v>2.45017841E8</v>
      </c>
      <c r="AQ73" s="8" t="s">
        <v>473</v>
      </c>
      <c r="AR73" s="8" t="s">
        <v>473</v>
      </c>
      <c r="AS73" s="8" t="s">
        <v>560</v>
      </c>
      <c r="AT73" s="10"/>
      <c r="AU73" s="8" t="b">
        <f t="shared" si="110"/>
        <v>0</v>
      </c>
      <c r="AV73" s="10"/>
      <c r="AW73" s="8" t="s">
        <v>233</v>
      </c>
      <c r="AX73" s="8">
        <v>2.0</v>
      </c>
      <c r="AY73" s="8" t="b">
        <f t="shared" ref="AY73:AZ73" si="115">FALSE()</f>
        <v>0</v>
      </c>
      <c r="AZ73" s="8" t="b">
        <f t="shared" si="115"/>
        <v>0</v>
      </c>
      <c r="BA73" s="8" t="b">
        <f t="shared" ref="BA73:BB73" si="116">TRUE()</f>
        <v>1</v>
      </c>
      <c r="BB73" s="8" t="b">
        <f t="shared" si="116"/>
        <v>1</v>
      </c>
      <c r="BC73" s="8" t="b">
        <f>FALSE()</f>
        <v>0</v>
      </c>
      <c r="BD73" s="10" t="s">
        <v>780</v>
      </c>
    </row>
    <row r="74" ht="15.0" customHeight="1">
      <c r="A74" s="8" t="s">
        <v>781</v>
      </c>
      <c r="B74" s="8" t="s">
        <v>750</v>
      </c>
      <c r="C74" s="8"/>
      <c r="D74" s="8" t="b">
        <f t="shared" si="60"/>
        <v>0</v>
      </c>
      <c r="E74" s="10"/>
      <c r="F74" s="9"/>
      <c r="G74" s="9"/>
      <c r="H74" s="8">
        <v>0.0</v>
      </c>
      <c r="I74" s="8" t="s">
        <v>167</v>
      </c>
      <c r="J74" s="9">
        <v>46070.0</v>
      </c>
      <c r="K74" s="8" t="s">
        <v>377</v>
      </c>
      <c r="L74" s="8" t="b">
        <f t="shared" si="32"/>
        <v>1</v>
      </c>
      <c r="M74" s="9">
        <v>46070.0</v>
      </c>
      <c r="N74" s="8" t="b">
        <f t="shared" si="48"/>
        <v>0</v>
      </c>
      <c r="O74" s="9"/>
      <c r="P74" s="8" t="b">
        <f t="shared" si="16"/>
        <v>0</v>
      </c>
      <c r="Q74" s="9"/>
      <c r="R74" s="8" t="b">
        <f t="shared" si="28"/>
        <v>0</v>
      </c>
      <c r="S74" s="9"/>
      <c r="T74" s="8">
        <v>4.0</v>
      </c>
      <c r="U74" s="9">
        <v>46062.0</v>
      </c>
      <c r="V74" s="9">
        <v>46083.0</v>
      </c>
      <c r="W74" s="8" t="s">
        <v>121</v>
      </c>
      <c r="X74" s="8" t="s">
        <v>204</v>
      </c>
      <c r="Y74" s="8" t="s">
        <v>317</v>
      </c>
      <c r="Z74" s="8" t="s">
        <v>56</v>
      </c>
      <c r="AA74" s="13">
        <v>2.0E7</v>
      </c>
      <c r="AB74" s="8"/>
      <c r="AC74" s="8"/>
      <c r="AD74" s="8"/>
      <c r="AE74" s="8" t="s">
        <v>367</v>
      </c>
      <c r="AF74" s="8" t="s">
        <v>185</v>
      </c>
      <c r="AG74" s="8" t="s">
        <v>471</v>
      </c>
      <c r="AH74" s="8"/>
      <c r="AI74" s="8"/>
      <c r="AJ74" s="8"/>
      <c r="AK74" s="8" t="s">
        <v>154</v>
      </c>
      <c r="AL74" s="8" t="s">
        <v>337</v>
      </c>
      <c r="AM74" s="8" t="b">
        <f t="shared" si="117"/>
        <v>1</v>
      </c>
      <c r="AN74" s="8" t="s">
        <v>227</v>
      </c>
      <c r="AO74" s="8">
        <v>3.09473157E8</v>
      </c>
      <c r="AP74" s="8">
        <v>2.27999108E8</v>
      </c>
      <c r="AQ74" s="8" t="s">
        <v>783</v>
      </c>
      <c r="AR74" s="8"/>
      <c r="AS74" s="8"/>
      <c r="AT74" s="10"/>
      <c r="AU74" s="8" t="b">
        <f t="shared" si="110"/>
        <v>0</v>
      </c>
      <c r="AV74" s="10"/>
      <c r="AW74" s="8" t="s">
        <v>233</v>
      </c>
      <c r="AX74" s="8">
        <v>2.0</v>
      </c>
      <c r="AY74" s="8" t="b">
        <f t="shared" ref="AY74:AZ74" si="118">TRUE()</f>
        <v>1</v>
      </c>
      <c r="AZ74" s="8" t="b">
        <f t="shared" si="118"/>
        <v>1</v>
      </c>
      <c r="BA74" s="8" t="b">
        <f t="shared" ref="BA74:BC74" si="119">FALSE()</f>
        <v>0</v>
      </c>
      <c r="BB74" s="8" t="b">
        <f t="shared" si="119"/>
        <v>0</v>
      </c>
      <c r="BC74" s="8" t="b">
        <f t="shared" si="119"/>
        <v>0</v>
      </c>
      <c r="BD74" s="10"/>
    </row>
    <row r="75" ht="23.25" customHeight="1">
      <c r="A75" s="8" t="s">
        <v>740</v>
      </c>
      <c r="B75" s="8" t="s">
        <v>741</v>
      </c>
      <c r="C75" s="8" t="s">
        <v>742</v>
      </c>
      <c r="D75" s="8" t="b">
        <f t="shared" si="60"/>
        <v>0</v>
      </c>
      <c r="E75" s="10"/>
      <c r="F75" s="9"/>
      <c r="G75" s="9"/>
      <c r="H75" s="8">
        <v>0.0</v>
      </c>
      <c r="I75" s="8" t="s">
        <v>167</v>
      </c>
      <c r="J75" s="9">
        <v>46265.0</v>
      </c>
      <c r="K75" s="8" t="s">
        <v>167</v>
      </c>
      <c r="L75" s="8" t="b">
        <f t="shared" si="32"/>
        <v>1</v>
      </c>
      <c r="M75" s="9">
        <v>46265.0</v>
      </c>
      <c r="N75" s="8" t="b">
        <f t="shared" si="48"/>
        <v>0</v>
      </c>
      <c r="O75" s="9"/>
      <c r="P75" s="8" t="b">
        <f t="shared" si="16"/>
        <v>0</v>
      </c>
      <c r="Q75" s="9"/>
      <c r="R75" s="8" t="b">
        <f t="shared" si="28"/>
        <v>0</v>
      </c>
      <c r="S75" s="9"/>
      <c r="T75" s="8">
        <v>1.0</v>
      </c>
      <c r="U75" s="9">
        <v>46265.0</v>
      </c>
      <c r="V75" s="9">
        <v>46265.0</v>
      </c>
      <c r="W75" s="8" t="s">
        <v>140</v>
      </c>
      <c r="X75" s="8" t="s">
        <v>204</v>
      </c>
      <c r="Y75" s="8" t="s">
        <v>328</v>
      </c>
      <c r="Z75" s="8"/>
      <c r="AA75" s="13"/>
      <c r="AB75" s="8" t="s">
        <v>292</v>
      </c>
      <c r="AC75" s="8" t="s">
        <v>70</v>
      </c>
      <c r="AD75" s="8" t="s">
        <v>71</v>
      </c>
      <c r="AE75" s="8" t="s">
        <v>214</v>
      </c>
      <c r="AF75" s="8" t="s">
        <v>599</v>
      </c>
      <c r="AG75" s="8"/>
      <c r="AH75" s="8"/>
      <c r="AI75" s="8"/>
      <c r="AJ75" s="8"/>
      <c r="AK75" s="8"/>
      <c r="AL75" s="8"/>
      <c r="AM75" s="8" t="b">
        <f t="shared" si="117"/>
        <v>1</v>
      </c>
      <c r="AN75" s="8" t="s">
        <v>319</v>
      </c>
      <c r="AO75" s="8">
        <v>3.02244927E8</v>
      </c>
      <c r="AP75" s="8">
        <v>2.30911415E8</v>
      </c>
      <c r="AQ75" s="8" t="s">
        <v>600</v>
      </c>
      <c r="AR75" s="8"/>
      <c r="AS75" s="8"/>
      <c r="AT75" s="10"/>
      <c r="AU75" s="8" t="b">
        <f t="shared" si="110"/>
        <v>0</v>
      </c>
      <c r="AV75" s="10"/>
      <c r="AW75" s="8" t="s">
        <v>554</v>
      </c>
      <c r="AX75" s="8">
        <v>3.0</v>
      </c>
      <c r="AY75" s="8" t="b">
        <f t="shared" ref="AY75:AZ75" si="120">FALSE()</f>
        <v>0</v>
      </c>
      <c r="AZ75" s="8" t="b">
        <f t="shared" si="120"/>
        <v>0</v>
      </c>
      <c r="BA75" s="8" t="b">
        <f t="shared" ref="BA75:BC75" si="121">TRUE()</f>
        <v>1</v>
      </c>
      <c r="BB75" s="8" t="b">
        <f t="shared" si="121"/>
        <v>1</v>
      </c>
      <c r="BC75" s="8" t="b">
        <f t="shared" si="121"/>
        <v>1</v>
      </c>
      <c r="BD75" s="10" t="s">
        <v>788</v>
      </c>
    </row>
    <row r="76" ht="102.0" customHeight="1">
      <c r="A76" s="8" t="s">
        <v>743</v>
      </c>
      <c r="B76" s="8" t="s">
        <v>488</v>
      </c>
      <c r="C76" s="8"/>
      <c r="D76" s="8" t="b">
        <f t="shared" si="60"/>
        <v>0</v>
      </c>
      <c r="E76" s="10"/>
      <c r="F76" s="9"/>
      <c r="G76" s="9"/>
      <c r="H76" s="8">
        <v>0.0</v>
      </c>
      <c r="I76" s="8" t="s">
        <v>167</v>
      </c>
      <c r="J76" s="9">
        <v>45944.0</v>
      </c>
      <c r="K76" s="8" t="s">
        <v>167</v>
      </c>
      <c r="L76" s="8" t="b">
        <f t="shared" si="32"/>
        <v>1</v>
      </c>
      <c r="M76" s="9">
        <v>45944.0</v>
      </c>
      <c r="N76" s="8" t="b">
        <f t="shared" si="48"/>
        <v>0</v>
      </c>
      <c r="O76" s="9"/>
      <c r="P76" s="8" t="b">
        <f t="shared" si="16"/>
        <v>0</v>
      </c>
      <c r="Q76" s="9"/>
      <c r="R76" s="8" t="b">
        <f t="shared" si="28"/>
        <v>0</v>
      </c>
      <c r="S76" s="9"/>
      <c r="T76" s="8">
        <v>2.0</v>
      </c>
      <c r="U76" s="9">
        <v>45944.0</v>
      </c>
      <c r="V76" s="9">
        <v>45950.0</v>
      </c>
      <c r="W76" s="8" t="s">
        <v>83</v>
      </c>
      <c r="X76" s="8" t="s">
        <v>266</v>
      </c>
      <c r="Y76" s="8" t="s">
        <v>205</v>
      </c>
      <c r="Z76" s="8"/>
      <c r="AA76" s="13"/>
      <c r="AB76" s="8"/>
      <c r="AC76" s="8"/>
      <c r="AD76" s="8"/>
      <c r="AE76" s="8" t="s">
        <v>367</v>
      </c>
      <c r="AF76" s="8"/>
      <c r="AG76" s="8"/>
      <c r="AH76" s="8"/>
      <c r="AI76" s="8"/>
      <c r="AJ76" s="8"/>
      <c r="AK76" s="8"/>
      <c r="AL76" s="8"/>
      <c r="AM76" s="8" t="b">
        <f t="shared" ref="AM76:AM77" si="123">FALSE()</f>
        <v>0</v>
      </c>
      <c r="AN76" s="8"/>
      <c r="AO76" s="8"/>
      <c r="AP76" s="8"/>
      <c r="AQ76" s="8"/>
      <c r="AR76" s="8"/>
      <c r="AS76" s="8"/>
      <c r="AT76" s="10"/>
      <c r="AU76" s="8" t="b">
        <f t="shared" si="110"/>
        <v>0</v>
      </c>
      <c r="AV76" s="10"/>
      <c r="AW76" s="8" t="s">
        <v>554</v>
      </c>
      <c r="AX76" s="8">
        <v>5.0</v>
      </c>
      <c r="AY76" s="8" t="b">
        <f t="shared" ref="AY76:BC76" si="122">TRUE()</f>
        <v>1</v>
      </c>
      <c r="AZ76" s="8" t="b">
        <f t="shared" si="122"/>
        <v>1</v>
      </c>
      <c r="BA76" s="8" t="b">
        <f t="shared" si="122"/>
        <v>1</v>
      </c>
      <c r="BB76" s="8" t="b">
        <f t="shared" si="122"/>
        <v>1</v>
      </c>
      <c r="BC76" s="8" t="b">
        <f t="shared" si="122"/>
        <v>1</v>
      </c>
      <c r="BD76" s="10"/>
    </row>
    <row r="77" ht="15.0" customHeight="1">
      <c r="A77" s="8" t="s">
        <v>744</v>
      </c>
      <c r="B77" s="8" t="s">
        <v>723</v>
      </c>
      <c r="C77" s="28" t="s">
        <v>795</v>
      </c>
      <c r="D77" s="8" t="b">
        <f t="shared" si="60"/>
        <v>0</v>
      </c>
      <c r="E77" s="10"/>
      <c r="F77" s="9"/>
      <c r="G77" s="9"/>
      <c r="H77" s="8">
        <v>0.0</v>
      </c>
      <c r="I77" s="8" t="s">
        <v>167</v>
      </c>
      <c r="J77" s="9">
        <v>46062.0</v>
      </c>
      <c r="K77" s="8" t="s">
        <v>167</v>
      </c>
      <c r="L77" s="8" t="b">
        <f t="shared" si="32"/>
        <v>1</v>
      </c>
      <c r="M77" s="9">
        <v>46062.0</v>
      </c>
      <c r="N77" s="8" t="b">
        <f t="shared" si="48"/>
        <v>0</v>
      </c>
      <c r="O77" s="9"/>
      <c r="P77" s="8" t="b">
        <f t="shared" si="16"/>
        <v>0</v>
      </c>
      <c r="Q77" s="9"/>
      <c r="R77" s="8" t="b">
        <f t="shared" si="28"/>
        <v>0</v>
      </c>
      <c r="S77" s="9"/>
      <c r="T77" s="8">
        <v>2.0</v>
      </c>
      <c r="U77" s="9">
        <v>46055.0</v>
      </c>
      <c r="V77" s="9">
        <v>46062.0</v>
      </c>
      <c r="W77" s="8" t="s">
        <v>121</v>
      </c>
      <c r="X77" s="8" t="s">
        <v>266</v>
      </c>
      <c r="Y77" s="8" t="s">
        <v>317</v>
      </c>
      <c r="Z77" s="8"/>
      <c r="AA77" s="13"/>
      <c r="AB77" s="8"/>
      <c r="AC77" s="8"/>
      <c r="AD77" s="8"/>
      <c r="AE77" s="8" t="s">
        <v>367</v>
      </c>
      <c r="AF77" s="8"/>
      <c r="AG77" s="8"/>
      <c r="AH77" s="8"/>
      <c r="AI77" s="8"/>
      <c r="AJ77" s="8"/>
      <c r="AK77" s="8"/>
      <c r="AL77" s="8"/>
      <c r="AM77" s="8" t="b">
        <f t="shared" si="123"/>
        <v>0</v>
      </c>
      <c r="AN77" s="8"/>
      <c r="AO77" s="8"/>
      <c r="AP77" s="8"/>
      <c r="AQ77" s="8"/>
      <c r="AR77" s="8"/>
      <c r="AS77" s="8"/>
      <c r="AT77" s="10" t="s">
        <v>751</v>
      </c>
      <c r="AU77" s="8" t="b">
        <f t="shared" si="110"/>
        <v>0</v>
      </c>
      <c r="AV77" s="10"/>
      <c r="AW77" s="8" t="s">
        <v>554</v>
      </c>
      <c r="AX77" s="8">
        <v>5.0</v>
      </c>
      <c r="AY77" s="8" t="b">
        <f t="shared" ref="AY77:BC77" si="124">TRUE()</f>
        <v>1</v>
      </c>
      <c r="AZ77" s="8" t="b">
        <f t="shared" si="124"/>
        <v>1</v>
      </c>
      <c r="BA77" s="8" t="b">
        <f t="shared" si="124"/>
        <v>1</v>
      </c>
      <c r="BB77" s="8" t="b">
        <f t="shared" si="124"/>
        <v>1</v>
      </c>
      <c r="BC77" s="8" t="b">
        <f t="shared" si="124"/>
        <v>1</v>
      </c>
      <c r="BD77" s="10"/>
    </row>
    <row r="78" ht="247.5" customHeight="1">
      <c r="A78" s="8" t="s">
        <v>804</v>
      </c>
      <c r="B78" s="8" t="s">
        <v>490</v>
      </c>
      <c r="C78" s="8" t="s">
        <v>805</v>
      </c>
      <c r="D78" s="8" t="b">
        <f t="shared" si="60"/>
        <v>0</v>
      </c>
      <c r="E78" s="10"/>
      <c r="F78" s="9"/>
      <c r="G78" s="9"/>
      <c r="H78" s="8">
        <v>0.0</v>
      </c>
      <c r="I78" s="8" t="s">
        <v>167</v>
      </c>
      <c r="J78" s="9">
        <v>45944.0</v>
      </c>
      <c r="K78" s="8" t="s">
        <v>167</v>
      </c>
      <c r="L78" s="8" t="b">
        <f t="shared" si="32"/>
        <v>1</v>
      </c>
      <c r="M78" s="9">
        <v>45944.0</v>
      </c>
      <c r="N78" s="8" t="b">
        <f t="shared" si="48"/>
        <v>0</v>
      </c>
      <c r="O78" s="9"/>
      <c r="P78" s="8" t="b">
        <f t="shared" si="16"/>
        <v>0</v>
      </c>
      <c r="Q78" s="9"/>
      <c r="R78" s="8" t="b">
        <f t="shared" si="28"/>
        <v>0</v>
      </c>
      <c r="S78" s="9"/>
      <c r="T78" s="8">
        <v>3.0</v>
      </c>
      <c r="U78" s="9">
        <v>45944.0</v>
      </c>
      <c r="V78" s="9">
        <v>45957.0</v>
      </c>
      <c r="W78" s="8" t="s">
        <v>121</v>
      </c>
      <c r="X78" s="8" t="s">
        <v>204</v>
      </c>
      <c r="Y78" s="8" t="s">
        <v>317</v>
      </c>
      <c r="Z78" s="8" t="s">
        <v>56</v>
      </c>
      <c r="AA78" s="13">
        <v>4.0E7</v>
      </c>
      <c r="AB78" s="8" t="s">
        <v>808</v>
      </c>
      <c r="AC78" s="8" t="s">
        <v>809</v>
      </c>
      <c r="AD78" s="8" t="s">
        <v>87</v>
      </c>
      <c r="AE78" s="8" t="s">
        <v>87</v>
      </c>
      <c r="AF78" s="8" t="s">
        <v>185</v>
      </c>
      <c r="AG78" s="8" t="s">
        <v>405</v>
      </c>
      <c r="AH78" s="8"/>
      <c r="AI78" s="8"/>
      <c r="AJ78" s="8"/>
      <c r="AK78" s="8" t="s">
        <v>127</v>
      </c>
      <c r="AL78" s="8" t="s">
        <v>318</v>
      </c>
      <c r="AM78" s="8" t="b">
        <f>TRUE()</f>
        <v>1</v>
      </c>
      <c r="AN78" s="8" t="s">
        <v>227</v>
      </c>
      <c r="AO78" s="8">
        <v>2.81851328E8</v>
      </c>
      <c r="AP78" s="8">
        <v>2.2091874E8</v>
      </c>
      <c r="AQ78" s="8" t="s">
        <v>529</v>
      </c>
      <c r="AR78" s="8" t="s">
        <v>329</v>
      </c>
      <c r="AS78" s="8" t="s">
        <v>529</v>
      </c>
      <c r="AT78" s="10"/>
      <c r="AU78" s="8" t="b">
        <f t="shared" si="110"/>
        <v>0</v>
      </c>
      <c r="AV78" s="10"/>
      <c r="AW78" s="8" t="s">
        <v>233</v>
      </c>
      <c r="AX78" s="8">
        <v>0.0</v>
      </c>
      <c r="AY78" s="8" t="b">
        <f t="shared" ref="AY78:BC78" si="125">FALSE()</f>
        <v>0</v>
      </c>
      <c r="AZ78" s="8" t="b">
        <f t="shared" si="125"/>
        <v>0</v>
      </c>
      <c r="BA78" s="8" t="b">
        <f t="shared" si="125"/>
        <v>0</v>
      </c>
      <c r="BB78" s="8" t="b">
        <f t="shared" si="125"/>
        <v>0</v>
      </c>
      <c r="BC78" s="8" t="b">
        <f t="shared" si="125"/>
        <v>0</v>
      </c>
      <c r="BD78" s="10" t="s">
        <v>812</v>
      </c>
    </row>
    <row r="79" ht="79.5" customHeight="1">
      <c r="A79" s="8" t="s">
        <v>747</v>
      </c>
      <c r="B79" s="8" t="s">
        <v>492</v>
      </c>
      <c r="C79" s="30" t="s">
        <v>813</v>
      </c>
      <c r="D79" s="8" t="b">
        <f t="shared" si="60"/>
        <v>0</v>
      </c>
      <c r="E79" s="10"/>
      <c r="F79" s="9"/>
      <c r="G79" s="9"/>
      <c r="H79" s="8">
        <v>0.0</v>
      </c>
      <c r="I79" s="8" t="s">
        <v>167</v>
      </c>
      <c r="J79" s="9">
        <v>45944.0</v>
      </c>
      <c r="K79" s="8" t="s">
        <v>167</v>
      </c>
      <c r="L79" s="8" t="b">
        <f t="shared" si="32"/>
        <v>1</v>
      </c>
      <c r="M79" s="9">
        <v>45944.0</v>
      </c>
      <c r="N79" s="8" t="b">
        <f t="shared" si="48"/>
        <v>0</v>
      </c>
      <c r="O79" s="9"/>
      <c r="P79" s="8" t="b">
        <f t="shared" si="16"/>
        <v>0</v>
      </c>
      <c r="Q79" s="9"/>
      <c r="R79" s="8" t="b">
        <f t="shared" si="28"/>
        <v>0</v>
      </c>
      <c r="S79" s="9"/>
      <c r="T79" s="8">
        <v>2.0</v>
      </c>
      <c r="U79" s="9">
        <v>45944.0</v>
      </c>
      <c r="V79" s="9">
        <v>45950.0</v>
      </c>
      <c r="W79" s="8" t="s">
        <v>140</v>
      </c>
      <c r="X79" s="8" t="s">
        <v>266</v>
      </c>
      <c r="Y79" s="8" t="s">
        <v>328</v>
      </c>
      <c r="Z79" s="8"/>
      <c r="AA79" s="13"/>
      <c r="AB79" s="8"/>
      <c r="AC79" s="8"/>
      <c r="AD79" s="8"/>
      <c r="AE79" s="8" t="s">
        <v>367</v>
      </c>
      <c r="AF79" s="8"/>
      <c r="AG79" s="8"/>
      <c r="AH79" s="8"/>
      <c r="AI79" s="8"/>
      <c r="AJ79" s="8"/>
      <c r="AK79" s="8"/>
      <c r="AL79" s="8"/>
      <c r="AM79" s="8" t="b">
        <f t="shared" ref="AM79:AM80" si="127">FALSE()</f>
        <v>0</v>
      </c>
      <c r="AN79" s="8"/>
      <c r="AO79" s="8"/>
      <c r="AP79" s="8"/>
      <c r="AQ79" s="8"/>
      <c r="AR79" s="8"/>
      <c r="AS79" s="8"/>
      <c r="AT79" s="10"/>
      <c r="AU79" s="8" t="b">
        <f t="shared" si="110"/>
        <v>0</v>
      </c>
      <c r="AV79" s="10"/>
      <c r="AW79" s="8" t="s">
        <v>554</v>
      </c>
      <c r="AX79" s="8">
        <v>5.0</v>
      </c>
      <c r="AY79" s="8" t="b">
        <f t="shared" ref="AY79:BC79" si="126">TRUE()</f>
        <v>1</v>
      </c>
      <c r="AZ79" s="8" t="b">
        <f t="shared" si="126"/>
        <v>1</v>
      </c>
      <c r="BA79" s="8" t="b">
        <f t="shared" si="126"/>
        <v>1</v>
      </c>
      <c r="BB79" s="8" t="b">
        <f t="shared" si="126"/>
        <v>1</v>
      </c>
      <c r="BC79" s="8" t="b">
        <f t="shared" si="126"/>
        <v>1</v>
      </c>
      <c r="BD79" s="10"/>
    </row>
    <row r="80" ht="113.25" customHeight="1">
      <c r="A80" s="8" t="s">
        <v>748</v>
      </c>
      <c r="B80" s="8" t="s">
        <v>749</v>
      </c>
      <c r="C80" s="8"/>
      <c r="D80" s="8" t="b">
        <f t="shared" si="60"/>
        <v>0</v>
      </c>
      <c r="E80" s="10"/>
      <c r="F80" s="9"/>
      <c r="G80" s="9"/>
      <c r="H80" s="8">
        <v>0.0</v>
      </c>
      <c r="I80" s="8" t="s">
        <v>167</v>
      </c>
      <c r="J80" s="9">
        <v>46153.0</v>
      </c>
      <c r="K80" s="8" t="s">
        <v>167</v>
      </c>
      <c r="L80" s="8" t="b">
        <f t="shared" si="32"/>
        <v>1</v>
      </c>
      <c r="M80" s="9">
        <v>46153.0</v>
      </c>
      <c r="N80" s="8" t="b">
        <f t="shared" si="48"/>
        <v>0</v>
      </c>
      <c r="O80" s="9"/>
      <c r="P80" s="8" t="b">
        <f t="shared" si="16"/>
        <v>0</v>
      </c>
      <c r="Q80" s="9"/>
      <c r="R80" s="8" t="b">
        <f t="shared" si="28"/>
        <v>0</v>
      </c>
      <c r="S80" s="9"/>
      <c r="T80" s="8">
        <v>2.0</v>
      </c>
      <c r="U80" s="9">
        <v>46153.0</v>
      </c>
      <c r="V80" s="9">
        <v>46160.0</v>
      </c>
      <c r="W80" s="8" t="s">
        <v>121</v>
      </c>
      <c r="X80" s="8" t="s">
        <v>266</v>
      </c>
      <c r="Y80" s="8" t="s">
        <v>317</v>
      </c>
      <c r="Z80" s="8"/>
      <c r="AA80" s="13"/>
      <c r="AB80" s="8"/>
      <c r="AC80" s="8"/>
      <c r="AD80" s="8"/>
      <c r="AE80" s="8" t="s">
        <v>367</v>
      </c>
      <c r="AF80" s="8"/>
      <c r="AG80" s="8"/>
      <c r="AH80" s="8"/>
      <c r="AI80" s="8"/>
      <c r="AJ80" s="8"/>
      <c r="AK80" s="8"/>
      <c r="AL80" s="8"/>
      <c r="AM80" s="8" t="b">
        <f t="shared" si="127"/>
        <v>0</v>
      </c>
      <c r="AN80" s="8"/>
      <c r="AO80" s="8"/>
      <c r="AP80" s="8"/>
      <c r="AQ80" s="8"/>
      <c r="AR80" s="8"/>
      <c r="AS80" s="8"/>
      <c r="AT80" s="10"/>
      <c r="AU80" s="8" t="b">
        <f t="shared" si="110"/>
        <v>0</v>
      </c>
      <c r="AV80" s="10"/>
      <c r="AW80" s="8" t="s">
        <v>554</v>
      </c>
      <c r="AX80" s="8">
        <v>5.0</v>
      </c>
      <c r="AY80" s="8" t="b">
        <f t="shared" ref="AY80:BC80" si="128">TRUE()</f>
        <v>1</v>
      </c>
      <c r="AZ80" s="8" t="b">
        <f t="shared" si="128"/>
        <v>1</v>
      </c>
      <c r="BA80" s="8" t="b">
        <f t="shared" si="128"/>
        <v>1</v>
      </c>
      <c r="BB80" s="8" t="b">
        <f t="shared" si="128"/>
        <v>1</v>
      </c>
      <c r="BC80" s="8" t="b">
        <f t="shared" si="128"/>
        <v>1</v>
      </c>
      <c r="BD80" s="10"/>
    </row>
    <row r="81" ht="15.0" customHeight="1">
      <c r="A81" s="8" t="s">
        <v>822</v>
      </c>
      <c r="B81" s="8" t="s">
        <v>823</v>
      </c>
      <c r="C81" s="8" t="s">
        <v>824</v>
      </c>
      <c r="D81" s="8" t="b">
        <f t="shared" si="60"/>
        <v>0</v>
      </c>
      <c r="E81" s="10"/>
      <c r="F81" s="9"/>
      <c r="G81" s="9"/>
      <c r="H81" s="8">
        <v>0.0</v>
      </c>
      <c r="I81" s="8" t="s">
        <v>167</v>
      </c>
      <c r="J81" s="9">
        <v>46223.0</v>
      </c>
      <c r="K81" s="8" t="s">
        <v>167</v>
      </c>
      <c r="L81" s="8" t="b">
        <f t="shared" si="32"/>
        <v>1</v>
      </c>
      <c r="M81" s="9">
        <v>46223.0</v>
      </c>
      <c r="N81" s="8" t="b">
        <f t="shared" si="48"/>
        <v>0</v>
      </c>
      <c r="O81" s="9"/>
      <c r="P81" s="8" t="b">
        <f t="shared" si="16"/>
        <v>0</v>
      </c>
      <c r="Q81" s="9"/>
      <c r="R81" s="8" t="b">
        <f t="shared" si="28"/>
        <v>0</v>
      </c>
      <c r="S81" s="9"/>
      <c r="T81" s="8">
        <v>6.0</v>
      </c>
      <c r="U81" s="9">
        <v>46223.0</v>
      </c>
      <c r="V81" s="9">
        <v>46258.0</v>
      </c>
      <c r="W81" s="8" t="s">
        <v>140</v>
      </c>
      <c r="X81" s="8" t="s">
        <v>204</v>
      </c>
      <c r="Y81" s="8" t="s">
        <v>328</v>
      </c>
      <c r="Z81" s="8" t="s">
        <v>281</v>
      </c>
      <c r="AA81" s="13">
        <v>1400000.0</v>
      </c>
      <c r="AB81" s="8" t="s">
        <v>827</v>
      </c>
      <c r="AC81" s="8" t="s">
        <v>828</v>
      </c>
      <c r="AD81" s="8" t="s">
        <v>829</v>
      </c>
      <c r="AE81" s="8" t="s">
        <v>214</v>
      </c>
      <c r="AF81" s="8" t="s">
        <v>200</v>
      </c>
      <c r="AG81" s="8" t="s">
        <v>353</v>
      </c>
      <c r="AH81" s="8"/>
      <c r="AI81" s="8" t="s">
        <v>220</v>
      </c>
      <c r="AJ81" s="8" t="s">
        <v>218</v>
      </c>
      <c r="AK81" s="8" t="s">
        <v>215</v>
      </c>
      <c r="AL81" s="8" t="s">
        <v>393</v>
      </c>
      <c r="AM81" s="8" t="b">
        <f>TRUE()</f>
        <v>1</v>
      </c>
      <c r="AN81" s="8" t="s">
        <v>338</v>
      </c>
      <c r="AO81" s="8">
        <v>3.13251173E8</v>
      </c>
      <c r="AP81" s="8">
        <v>2.4703267E8</v>
      </c>
      <c r="AQ81" s="8" t="s">
        <v>831</v>
      </c>
      <c r="AR81" s="8" t="s">
        <v>560</v>
      </c>
      <c r="AS81" s="8" t="s">
        <v>560</v>
      </c>
      <c r="AT81" s="10" t="s">
        <v>832</v>
      </c>
      <c r="AU81" s="8">
        <v>0.0</v>
      </c>
      <c r="AV81" s="10"/>
      <c r="AW81" s="8" t="s">
        <v>233</v>
      </c>
      <c r="AX81" s="8">
        <v>0.0</v>
      </c>
      <c r="AY81" s="8">
        <v>0.0</v>
      </c>
      <c r="AZ81" s="8">
        <v>0.0</v>
      </c>
      <c r="BA81" s="8">
        <v>0.0</v>
      </c>
      <c r="BB81" s="8">
        <v>0.0</v>
      </c>
      <c r="BC81" s="8">
        <v>0.0</v>
      </c>
      <c r="BD81" s="10" t="s">
        <v>835</v>
      </c>
    </row>
    <row r="82" ht="102.0" customHeight="1">
      <c r="A82" s="8" t="s">
        <v>752</v>
      </c>
      <c r="B82" s="8" t="s">
        <v>753</v>
      </c>
      <c r="C82" s="8"/>
      <c r="D82" s="8" t="b">
        <f t="shared" si="60"/>
        <v>0</v>
      </c>
      <c r="E82" s="10"/>
      <c r="F82" s="9"/>
      <c r="G82" s="9"/>
      <c r="H82" s="8">
        <v>0.0</v>
      </c>
      <c r="I82" s="8" t="s">
        <v>167</v>
      </c>
      <c r="J82" s="9">
        <v>46265.0</v>
      </c>
      <c r="K82" s="8" t="s">
        <v>167</v>
      </c>
      <c r="L82" s="8" t="b">
        <f t="shared" si="32"/>
        <v>1</v>
      </c>
      <c r="M82" s="9">
        <v>46265.0</v>
      </c>
      <c r="N82" s="8" t="b">
        <f t="shared" si="48"/>
        <v>0</v>
      </c>
      <c r="O82" s="9"/>
      <c r="P82" s="8" t="b">
        <f t="shared" si="16"/>
        <v>0</v>
      </c>
      <c r="Q82" s="9"/>
      <c r="R82" s="8" t="b">
        <f t="shared" si="28"/>
        <v>0</v>
      </c>
      <c r="S82" s="9"/>
      <c r="T82" s="8">
        <v>2.0</v>
      </c>
      <c r="U82" s="9">
        <v>46258.0</v>
      </c>
      <c r="V82" s="9">
        <v>46265.0</v>
      </c>
      <c r="W82" s="8" t="s">
        <v>121</v>
      </c>
      <c r="X82" s="8" t="s">
        <v>266</v>
      </c>
      <c r="Y82" s="8" t="s">
        <v>317</v>
      </c>
      <c r="Z82" s="8"/>
      <c r="AA82" s="13"/>
      <c r="AB82" s="8"/>
      <c r="AC82" s="8"/>
      <c r="AD82" s="8"/>
      <c r="AE82" s="8" t="s">
        <v>367</v>
      </c>
      <c r="AF82" s="8"/>
      <c r="AG82" s="8"/>
      <c r="AH82" s="8"/>
      <c r="AI82" s="8"/>
      <c r="AJ82" s="8"/>
      <c r="AK82" s="8"/>
      <c r="AL82" s="8"/>
      <c r="AM82" s="8" t="b">
        <f t="shared" ref="AM82:AM84" si="130">FALSE()</f>
        <v>0</v>
      </c>
      <c r="AN82" s="8"/>
      <c r="AO82" s="8"/>
      <c r="AP82" s="8"/>
      <c r="AQ82" s="8"/>
      <c r="AR82" s="8"/>
      <c r="AS82" s="8"/>
      <c r="AT82" s="10"/>
      <c r="AU82" s="8" t="b">
        <f t="shared" ref="AU82:AU86" si="131">FALSE()</f>
        <v>0</v>
      </c>
      <c r="AV82" s="10"/>
      <c r="AW82" s="8" t="s">
        <v>554</v>
      </c>
      <c r="AX82" s="8">
        <v>5.0</v>
      </c>
      <c r="AY82" s="8" t="b">
        <f t="shared" ref="AY82:BC82" si="129">TRUE()</f>
        <v>1</v>
      </c>
      <c r="AZ82" s="8" t="b">
        <f t="shared" si="129"/>
        <v>1</v>
      </c>
      <c r="BA82" s="8" t="b">
        <f t="shared" si="129"/>
        <v>1</v>
      </c>
      <c r="BB82" s="8" t="b">
        <f t="shared" si="129"/>
        <v>1</v>
      </c>
      <c r="BC82" s="8" t="b">
        <f t="shared" si="129"/>
        <v>1</v>
      </c>
      <c r="BD82" s="10"/>
    </row>
    <row r="83" ht="102.0" customHeight="1">
      <c r="A83" s="8" t="s">
        <v>755</v>
      </c>
      <c r="B83" s="8" t="s">
        <v>493</v>
      </c>
      <c r="C83" s="8"/>
      <c r="D83" s="8" t="b">
        <f t="shared" si="60"/>
        <v>0</v>
      </c>
      <c r="E83" s="10"/>
      <c r="F83" s="9"/>
      <c r="G83" s="9"/>
      <c r="H83" s="8">
        <v>0.0</v>
      </c>
      <c r="I83" s="8" t="s">
        <v>167</v>
      </c>
      <c r="J83" s="9">
        <v>45944.0</v>
      </c>
      <c r="K83" s="8" t="s">
        <v>167</v>
      </c>
      <c r="L83" s="8" t="b">
        <f t="shared" si="32"/>
        <v>1</v>
      </c>
      <c r="M83" s="9">
        <v>45944.0</v>
      </c>
      <c r="N83" s="8" t="b">
        <f t="shared" si="48"/>
        <v>0</v>
      </c>
      <c r="O83" s="9"/>
      <c r="P83" s="8" t="b">
        <f t="shared" si="16"/>
        <v>0</v>
      </c>
      <c r="Q83" s="9"/>
      <c r="R83" s="8" t="b">
        <f t="shared" si="28"/>
        <v>0</v>
      </c>
      <c r="S83" s="9"/>
      <c r="T83" s="8">
        <v>8.0</v>
      </c>
      <c r="U83" s="9">
        <v>45944.0</v>
      </c>
      <c r="V83" s="9">
        <v>45992.0</v>
      </c>
      <c r="W83" s="8" t="s">
        <v>121</v>
      </c>
      <c r="X83" s="8" t="s">
        <v>266</v>
      </c>
      <c r="Y83" s="8" t="s">
        <v>317</v>
      </c>
      <c r="Z83" s="8"/>
      <c r="AA83" s="13"/>
      <c r="AB83" s="8"/>
      <c r="AC83" s="8"/>
      <c r="AD83" s="8"/>
      <c r="AE83" s="8" t="s">
        <v>367</v>
      </c>
      <c r="AF83" s="8"/>
      <c r="AG83" s="8"/>
      <c r="AH83" s="8"/>
      <c r="AI83" s="8"/>
      <c r="AJ83" s="8"/>
      <c r="AK83" s="8"/>
      <c r="AL83" s="8"/>
      <c r="AM83" s="8" t="b">
        <f t="shared" si="130"/>
        <v>0</v>
      </c>
      <c r="AN83" s="8"/>
      <c r="AO83" s="8"/>
      <c r="AP83" s="8"/>
      <c r="AQ83" s="8"/>
      <c r="AR83" s="8"/>
      <c r="AS83" s="8"/>
      <c r="AT83" s="10"/>
      <c r="AU83" s="8" t="b">
        <f t="shared" si="131"/>
        <v>0</v>
      </c>
      <c r="AV83" s="10"/>
      <c r="AW83" s="8" t="s">
        <v>554</v>
      </c>
      <c r="AX83" s="8">
        <v>5.0</v>
      </c>
      <c r="AY83" s="8" t="b">
        <f t="shared" ref="AY83:BC83" si="132">TRUE()</f>
        <v>1</v>
      </c>
      <c r="AZ83" s="8" t="b">
        <f t="shared" si="132"/>
        <v>1</v>
      </c>
      <c r="BA83" s="8" t="b">
        <f t="shared" si="132"/>
        <v>1</v>
      </c>
      <c r="BB83" s="8" t="b">
        <f t="shared" si="132"/>
        <v>1</v>
      </c>
      <c r="BC83" s="8" t="b">
        <f t="shared" si="132"/>
        <v>1</v>
      </c>
      <c r="BD83" s="10"/>
    </row>
    <row r="84" ht="15.0" customHeight="1">
      <c r="A84" s="8" t="s">
        <v>758</v>
      </c>
      <c r="B84" s="8" t="s">
        <v>754</v>
      </c>
      <c r="C84" s="8"/>
      <c r="D84" s="8" t="b">
        <f t="shared" si="60"/>
        <v>0</v>
      </c>
      <c r="E84" s="10"/>
      <c r="F84" s="9"/>
      <c r="G84" s="9"/>
      <c r="H84" s="8">
        <v>0.0</v>
      </c>
      <c r="I84" s="8" t="s">
        <v>167</v>
      </c>
      <c r="J84" s="9">
        <v>46070.0</v>
      </c>
      <c r="K84" s="8" t="s">
        <v>167</v>
      </c>
      <c r="L84" s="8" t="b">
        <f t="shared" si="32"/>
        <v>1</v>
      </c>
      <c r="M84" s="9">
        <v>46070.0</v>
      </c>
      <c r="N84" s="8" t="b">
        <f t="shared" si="48"/>
        <v>0</v>
      </c>
      <c r="O84" s="9"/>
      <c r="P84" s="8" t="b">
        <f t="shared" si="16"/>
        <v>0</v>
      </c>
      <c r="Q84" s="9"/>
      <c r="R84" s="8" t="b">
        <f t="shared" si="28"/>
        <v>0</v>
      </c>
      <c r="S84" s="9"/>
      <c r="T84" s="8">
        <v>5.0</v>
      </c>
      <c r="U84" s="9">
        <v>46062.0</v>
      </c>
      <c r="V84" s="9">
        <v>46097.0</v>
      </c>
      <c r="W84" s="8" t="s">
        <v>83</v>
      </c>
      <c r="X84" s="8" t="s">
        <v>266</v>
      </c>
      <c r="Y84" s="8" t="s">
        <v>205</v>
      </c>
      <c r="Z84" s="8"/>
      <c r="AA84" s="13"/>
      <c r="AB84" s="8"/>
      <c r="AC84" s="8"/>
      <c r="AD84" s="8"/>
      <c r="AE84" s="8" t="s">
        <v>367</v>
      </c>
      <c r="AF84" s="8"/>
      <c r="AG84" s="8"/>
      <c r="AH84" s="8"/>
      <c r="AI84" s="8"/>
      <c r="AJ84" s="8"/>
      <c r="AK84" s="8"/>
      <c r="AL84" s="8"/>
      <c r="AM84" s="8" t="b">
        <f t="shared" si="130"/>
        <v>0</v>
      </c>
      <c r="AN84" s="8"/>
      <c r="AO84" s="8"/>
      <c r="AP84" s="8"/>
      <c r="AQ84" s="8"/>
      <c r="AR84" s="8"/>
      <c r="AS84" s="8"/>
      <c r="AT84" s="10"/>
      <c r="AU84" s="8" t="b">
        <f t="shared" si="131"/>
        <v>0</v>
      </c>
      <c r="AV84" s="10"/>
      <c r="AW84" s="8" t="s">
        <v>554</v>
      </c>
      <c r="AX84" s="8">
        <v>5.0</v>
      </c>
      <c r="AY84" s="8" t="b">
        <f t="shared" ref="AY84:BC84" si="133">TRUE()</f>
        <v>1</v>
      </c>
      <c r="AZ84" s="8" t="b">
        <f t="shared" si="133"/>
        <v>1</v>
      </c>
      <c r="BA84" s="8" t="b">
        <f t="shared" si="133"/>
        <v>1</v>
      </c>
      <c r="BB84" s="8" t="b">
        <f t="shared" si="133"/>
        <v>1</v>
      </c>
      <c r="BC84" s="8" t="b">
        <f t="shared" si="133"/>
        <v>1</v>
      </c>
      <c r="BD84" s="10"/>
    </row>
    <row r="85" ht="113.25" customHeight="1">
      <c r="A85" s="8" t="s">
        <v>848</v>
      </c>
      <c r="B85" s="8" t="s">
        <v>849</v>
      </c>
      <c r="C85" s="8" t="s">
        <v>850</v>
      </c>
      <c r="D85" s="8" t="b">
        <f t="shared" si="60"/>
        <v>0</v>
      </c>
      <c r="E85" s="10"/>
      <c r="F85" s="9"/>
      <c r="G85" s="9"/>
      <c r="H85" s="8">
        <v>0.0</v>
      </c>
      <c r="I85" s="8" t="s">
        <v>167</v>
      </c>
      <c r="J85" s="9">
        <v>46097.0</v>
      </c>
      <c r="K85" s="8" t="s">
        <v>167</v>
      </c>
      <c r="L85" s="8" t="b">
        <f t="shared" si="32"/>
        <v>1</v>
      </c>
      <c r="M85" s="9">
        <v>46097.0</v>
      </c>
      <c r="N85" s="8" t="b">
        <f t="shared" si="48"/>
        <v>0</v>
      </c>
      <c r="O85" s="9"/>
      <c r="P85" s="8" t="b">
        <f t="shared" si="16"/>
        <v>0</v>
      </c>
      <c r="Q85" s="9"/>
      <c r="R85" s="8" t="b">
        <f t="shared" si="28"/>
        <v>0</v>
      </c>
      <c r="S85" s="9"/>
      <c r="T85" s="8">
        <v>3.0</v>
      </c>
      <c r="U85" s="9">
        <v>46097.0</v>
      </c>
      <c r="V85" s="9">
        <v>46111.0</v>
      </c>
      <c r="W85" s="8" t="s">
        <v>121</v>
      </c>
      <c r="X85" s="8" t="s">
        <v>204</v>
      </c>
      <c r="Y85" s="8" t="s">
        <v>317</v>
      </c>
      <c r="Z85" s="8" t="s">
        <v>119</v>
      </c>
      <c r="AA85" s="13">
        <v>3000000.0</v>
      </c>
      <c r="AB85" s="8"/>
      <c r="AC85" s="8"/>
      <c r="AD85" s="8"/>
      <c r="AE85" s="8" t="s">
        <v>367</v>
      </c>
      <c r="AF85" s="8" t="s">
        <v>185</v>
      </c>
      <c r="AG85" s="8" t="s">
        <v>471</v>
      </c>
      <c r="AH85" s="8"/>
      <c r="AI85" s="8"/>
      <c r="AJ85" s="8"/>
      <c r="AK85" s="8" t="s">
        <v>127</v>
      </c>
      <c r="AL85" s="8" t="s">
        <v>318</v>
      </c>
      <c r="AM85" s="8" t="b">
        <f t="shared" ref="AM85:AM87" si="135">TRUE()</f>
        <v>1</v>
      </c>
      <c r="AN85" s="8" t="s">
        <v>227</v>
      </c>
      <c r="AO85" s="8">
        <v>3.11327115E8</v>
      </c>
      <c r="AP85" s="8">
        <v>2.35558154E8</v>
      </c>
      <c r="AQ85" s="8" t="s">
        <v>856</v>
      </c>
      <c r="AR85" s="8" t="s">
        <v>856</v>
      </c>
      <c r="AS85" s="8" t="s">
        <v>525</v>
      </c>
      <c r="AT85" s="10"/>
      <c r="AU85" s="8" t="b">
        <f t="shared" si="131"/>
        <v>0</v>
      </c>
      <c r="AV85" s="10"/>
      <c r="AW85" s="8" t="s">
        <v>233</v>
      </c>
      <c r="AX85" s="8">
        <v>1.0</v>
      </c>
      <c r="AY85" s="8" t="b">
        <f t="shared" ref="AY85:AY86" si="136">FALSE()</f>
        <v>0</v>
      </c>
      <c r="AZ85" s="8" t="b">
        <f>TRUE()</f>
        <v>1</v>
      </c>
      <c r="BA85" s="8" t="b">
        <f t="shared" ref="BA85:BC85" si="134">FALSE()</f>
        <v>0</v>
      </c>
      <c r="BB85" s="8" t="b">
        <f t="shared" si="134"/>
        <v>0</v>
      </c>
      <c r="BC85" s="8" t="b">
        <f t="shared" si="134"/>
        <v>0</v>
      </c>
      <c r="BD85" s="10" t="s">
        <v>859</v>
      </c>
    </row>
    <row r="86" ht="15.0" customHeight="1">
      <c r="A86" s="8" t="s">
        <v>860</v>
      </c>
      <c r="B86" s="8" t="s">
        <v>646</v>
      </c>
      <c r="C86" s="8" t="s">
        <v>861</v>
      </c>
      <c r="D86" s="8" t="b">
        <f t="shared" si="60"/>
        <v>0</v>
      </c>
      <c r="E86" s="10"/>
      <c r="F86" s="9"/>
      <c r="G86" s="9"/>
      <c r="H86" s="8">
        <v>0.0</v>
      </c>
      <c r="I86" s="8" t="s">
        <v>167</v>
      </c>
      <c r="J86" s="9">
        <v>46034.0</v>
      </c>
      <c r="K86" s="8" t="s">
        <v>167</v>
      </c>
      <c r="L86" s="8" t="b">
        <f t="shared" si="32"/>
        <v>1</v>
      </c>
      <c r="M86" s="9">
        <v>46034.0</v>
      </c>
      <c r="N86" s="8" t="b">
        <f t="shared" si="48"/>
        <v>0</v>
      </c>
      <c r="O86" s="9"/>
      <c r="P86" s="8" t="b">
        <f t="shared" si="16"/>
        <v>0</v>
      </c>
      <c r="Q86" s="9"/>
      <c r="R86" s="8" t="b">
        <f t="shared" si="28"/>
        <v>0</v>
      </c>
      <c r="S86" s="9"/>
      <c r="T86" s="8">
        <v>7.0</v>
      </c>
      <c r="U86" s="9">
        <v>46034.0</v>
      </c>
      <c r="V86" s="9">
        <v>46076.0</v>
      </c>
      <c r="W86" s="8" t="s">
        <v>140</v>
      </c>
      <c r="X86" s="8" t="s">
        <v>204</v>
      </c>
      <c r="Y86" s="8" t="s">
        <v>328</v>
      </c>
      <c r="Z86" s="8" t="s">
        <v>119</v>
      </c>
      <c r="AA86" s="13">
        <v>2.0E7</v>
      </c>
      <c r="AB86" s="8" t="s">
        <v>864</v>
      </c>
      <c r="AC86" s="8" t="s">
        <v>864</v>
      </c>
      <c r="AD86" s="8" t="s">
        <v>865</v>
      </c>
      <c r="AE86" s="8" t="s">
        <v>214</v>
      </c>
      <c r="AF86" s="8" t="s">
        <v>185</v>
      </c>
      <c r="AG86" s="8"/>
      <c r="AH86" s="8"/>
      <c r="AI86" s="8"/>
      <c r="AJ86" s="8"/>
      <c r="AK86" s="8" t="s">
        <v>267</v>
      </c>
      <c r="AL86" s="8" t="s">
        <v>445</v>
      </c>
      <c r="AM86" s="8" t="b">
        <f t="shared" si="135"/>
        <v>1</v>
      </c>
      <c r="AN86" s="8" t="s">
        <v>338</v>
      </c>
      <c r="AO86" s="8">
        <v>3.1055678E8</v>
      </c>
      <c r="AP86" s="8">
        <v>2.31883604E8</v>
      </c>
      <c r="AQ86" s="8" t="s">
        <v>497</v>
      </c>
      <c r="AR86" s="8" t="s">
        <v>868</v>
      </c>
      <c r="AS86" s="8" t="s">
        <v>499</v>
      </c>
      <c r="AT86" s="10"/>
      <c r="AU86" s="8" t="b">
        <f t="shared" si="131"/>
        <v>0</v>
      </c>
      <c r="AV86" s="10"/>
      <c r="AW86" s="8" t="s">
        <v>233</v>
      </c>
      <c r="AX86" s="8">
        <v>0.0</v>
      </c>
      <c r="AY86" s="8" t="b">
        <f t="shared" si="136"/>
        <v>0</v>
      </c>
      <c r="AZ86" s="8" t="b">
        <f t="shared" ref="AZ86:BC86" si="137">FALSE()</f>
        <v>0</v>
      </c>
      <c r="BA86" s="8" t="b">
        <f t="shared" si="137"/>
        <v>0</v>
      </c>
      <c r="BB86" s="8" t="b">
        <f t="shared" si="137"/>
        <v>0</v>
      </c>
      <c r="BC86" s="8" t="b">
        <f t="shared" si="137"/>
        <v>0</v>
      </c>
      <c r="BD86" s="10" t="s">
        <v>869</v>
      </c>
    </row>
    <row r="87" ht="15.0" customHeight="1">
      <c r="A87" s="8" t="s">
        <v>314</v>
      </c>
      <c r="B87" s="8" t="s">
        <v>315</v>
      </c>
      <c r="C87" s="8" t="s">
        <v>871</v>
      </c>
      <c r="D87" s="8" t="b">
        <f>TRUE()</f>
        <v>1</v>
      </c>
      <c r="E87" s="10" t="s">
        <v>257</v>
      </c>
      <c r="F87" s="9">
        <v>46118.0</v>
      </c>
      <c r="G87" s="9">
        <v>46118.0</v>
      </c>
      <c r="H87" s="8">
        <v>1.0</v>
      </c>
      <c r="I87" s="8" t="s">
        <v>167</v>
      </c>
      <c r="J87" s="9">
        <v>46070.0</v>
      </c>
      <c r="K87" s="8" t="s">
        <v>167</v>
      </c>
      <c r="L87" s="8" t="b">
        <f t="shared" si="32"/>
        <v>1</v>
      </c>
      <c r="M87" s="9">
        <v>46070.0</v>
      </c>
      <c r="N87" s="8" t="b">
        <f t="shared" si="48"/>
        <v>0</v>
      </c>
      <c r="O87" s="9"/>
      <c r="P87" s="8" t="b">
        <f t="shared" si="16"/>
        <v>0</v>
      </c>
      <c r="Q87" s="9"/>
      <c r="R87" s="8" t="b">
        <f t="shared" si="28"/>
        <v>0</v>
      </c>
      <c r="S87" s="9"/>
      <c r="T87" s="8">
        <v>4.0</v>
      </c>
      <c r="U87" s="9">
        <v>46062.0</v>
      </c>
      <c r="V87" s="9">
        <v>46118.0</v>
      </c>
      <c r="W87" s="8" t="s">
        <v>261</v>
      </c>
      <c r="X87" s="8" t="s">
        <v>204</v>
      </c>
      <c r="Y87" s="8" t="s">
        <v>205</v>
      </c>
      <c r="Z87" s="8" t="s">
        <v>56</v>
      </c>
      <c r="AA87" s="13">
        <v>2.0E7</v>
      </c>
      <c r="AB87" s="8" t="s">
        <v>247</v>
      </c>
      <c r="AC87" s="8" t="s">
        <v>247</v>
      </c>
      <c r="AD87" s="8" t="s">
        <v>87</v>
      </c>
      <c r="AE87" s="8" t="s">
        <v>87</v>
      </c>
      <c r="AF87" s="8" t="s">
        <v>185</v>
      </c>
      <c r="AG87" s="8" t="s">
        <v>216</v>
      </c>
      <c r="AH87" s="8"/>
      <c r="AI87" s="8"/>
      <c r="AJ87" s="8"/>
      <c r="AK87" s="8" t="s">
        <v>127</v>
      </c>
      <c r="AL87" s="8" t="s">
        <v>318</v>
      </c>
      <c r="AM87" s="8" t="b">
        <f t="shared" si="135"/>
        <v>1</v>
      </c>
      <c r="AN87" s="8" t="s">
        <v>227</v>
      </c>
      <c r="AO87" s="8">
        <v>1.20130338E8</v>
      </c>
      <c r="AP87" s="8">
        <v>2.33307669E8</v>
      </c>
      <c r="AQ87" s="8" t="s">
        <v>412</v>
      </c>
      <c r="AR87" s="8" t="s">
        <v>541</v>
      </c>
      <c r="AS87" s="8" t="s">
        <v>485</v>
      </c>
      <c r="AT87" s="10" t="s">
        <v>873</v>
      </c>
      <c r="AU87" s="8">
        <v>0.0</v>
      </c>
      <c r="AV87" s="10"/>
      <c r="AW87" s="8" t="s">
        <v>233</v>
      </c>
      <c r="AX87" s="8">
        <v>0.0</v>
      </c>
      <c r="AY87" s="8">
        <v>0.0</v>
      </c>
      <c r="AZ87" s="8">
        <v>0.0</v>
      </c>
      <c r="BA87" s="8">
        <v>0.0</v>
      </c>
      <c r="BB87" s="8">
        <v>0.0</v>
      </c>
      <c r="BC87" s="8">
        <v>0.0</v>
      </c>
      <c r="BD87" s="10" t="s">
        <v>876</v>
      </c>
    </row>
    <row r="88" ht="34.5" customHeight="1">
      <c r="A88" s="8" t="s">
        <v>761</v>
      </c>
      <c r="B88" s="8" t="s">
        <v>494</v>
      </c>
      <c r="C88" s="8"/>
      <c r="D88" s="8" t="b">
        <f t="shared" ref="D88:D186" si="139">FALSE()</f>
        <v>0</v>
      </c>
      <c r="E88" s="10"/>
      <c r="F88" s="9"/>
      <c r="G88" s="9"/>
      <c r="H88" s="8">
        <v>0.0</v>
      </c>
      <c r="I88" s="8" t="s">
        <v>167</v>
      </c>
      <c r="J88" s="9">
        <v>45944.0</v>
      </c>
      <c r="K88" s="8" t="s">
        <v>167</v>
      </c>
      <c r="L88" s="8" t="b">
        <f t="shared" si="32"/>
        <v>1</v>
      </c>
      <c r="M88" s="9">
        <v>45944.0</v>
      </c>
      <c r="N88" s="8" t="b">
        <f t="shared" si="48"/>
        <v>0</v>
      </c>
      <c r="O88" s="9"/>
      <c r="P88" s="8" t="b">
        <f t="shared" si="16"/>
        <v>0</v>
      </c>
      <c r="Q88" s="9"/>
      <c r="R88" s="8" t="b">
        <f t="shared" si="28"/>
        <v>0</v>
      </c>
      <c r="S88" s="9"/>
      <c r="T88" s="8">
        <v>3.0</v>
      </c>
      <c r="U88" s="9">
        <v>45944.0</v>
      </c>
      <c r="V88" s="9">
        <v>45957.0</v>
      </c>
      <c r="W88" s="8" t="s">
        <v>121</v>
      </c>
      <c r="X88" s="8" t="s">
        <v>266</v>
      </c>
      <c r="Y88" s="8" t="s">
        <v>317</v>
      </c>
      <c r="Z88" s="8"/>
      <c r="AA88" s="13"/>
      <c r="AB88" s="8"/>
      <c r="AC88" s="8"/>
      <c r="AD88" s="8"/>
      <c r="AE88" s="8" t="s">
        <v>367</v>
      </c>
      <c r="AF88" s="8"/>
      <c r="AG88" s="8"/>
      <c r="AH88" s="8"/>
      <c r="AI88" s="8"/>
      <c r="AJ88" s="8"/>
      <c r="AK88" s="8"/>
      <c r="AL88" s="8"/>
      <c r="AM88" s="8" t="b">
        <f>FALSE()</f>
        <v>0</v>
      </c>
      <c r="AN88" s="8"/>
      <c r="AO88" s="8"/>
      <c r="AP88" s="8"/>
      <c r="AQ88" s="8"/>
      <c r="AR88" s="8"/>
      <c r="AS88" s="8"/>
      <c r="AT88" s="10"/>
      <c r="AU88" s="8" t="b">
        <f t="shared" ref="AU88:AU92" si="140">FALSE()</f>
        <v>0</v>
      </c>
      <c r="AV88" s="10"/>
      <c r="AW88" s="8" t="s">
        <v>554</v>
      </c>
      <c r="AX88" s="8">
        <v>5.0</v>
      </c>
      <c r="AY88" s="8" t="b">
        <f t="shared" ref="AY88:BC88" si="138">TRUE()</f>
        <v>1</v>
      </c>
      <c r="AZ88" s="8" t="b">
        <f t="shared" si="138"/>
        <v>1</v>
      </c>
      <c r="BA88" s="8" t="b">
        <f t="shared" si="138"/>
        <v>1</v>
      </c>
      <c r="BB88" s="8" t="b">
        <f t="shared" si="138"/>
        <v>1</v>
      </c>
      <c r="BC88" s="8" t="b">
        <f t="shared" si="138"/>
        <v>1</v>
      </c>
      <c r="BD88" s="10"/>
    </row>
    <row r="89" ht="15.0" customHeight="1">
      <c r="A89" s="8" t="s">
        <v>879</v>
      </c>
      <c r="B89" s="8" t="s">
        <v>577</v>
      </c>
      <c r="C89" s="8"/>
      <c r="D89" s="8" t="b">
        <f t="shared" si="139"/>
        <v>0</v>
      </c>
      <c r="E89" s="10"/>
      <c r="F89" s="9"/>
      <c r="G89" s="9"/>
      <c r="H89" s="8">
        <v>0.0</v>
      </c>
      <c r="I89" s="8" t="s">
        <v>167</v>
      </c>
      <c r="J89" s="9">
        <v>45978.0</v>
      </c>
      <c r="K89" s="8" t="s">
        <v>167</v>
      </c>
      <c r="L89" s="8" t="b">
        <f t="shared" si="32"/>
        <v>1</v>
      </c>
      <c r="M89" s="9">
        <v>45978.0</v>
      </c>
      <c r="N89" s="8" t="b">
        <f t="shared" si="48"/>
        <v>0</v>
      </c>
      <c r="O89" s="9"/>
      <c r="P89" s="8" t="b">
        <f t="shared" si="16"/>
        <v>0</v>
      </c>
      <c r="Q89" s="9"/>
      <c r="R89" s="8" t="b">
        <f t="shared" si="28"/>
        <v>0</v>
      </c>
      <c r="S89" s="9"/>
      <c r="T89" s="8">
        <v>5.0</v>
      </c>
      <c r="U89" s="9">
        <v>45978.0</v>
      </c>
      <c r="V89" s="9">
        <v>46006.0</v>
      </c>
      <c r="W89" s="8" t="s">
        <v>121</v>
      </c>
      <c r="X89" s="8" t="s">
        <v>204</v>
      </c>
      <c r="Y89" s="8" t="s">
        <v>317</v>
      </c>
      <c r="Z89" s="8" t="s">
        <v>119</v>
      </c>
      <c r="AA89" s="13">
        <v>5000000.0</v>
      </c>
      <c r="AB89" s="8"/>
      <c r="AC89" s="8"/>
      <c r="AD89" s="8"/>
      <c r="AE89" s="8" t="s">
        <v>367</v>
      </c>
      <c r="AF89" s="8" t="s">
        <v>200</v>
      </c>
      <c r="AG89" s="8" t="s">
        <v>471</v>
      </c>
      <c r="AH89" s="8"/>
      <c r="AI89" s="8"/>
      <c r="AJ89" s="8"/>
      <c r="AK89" s="8" t="s">
        <v>154</v>
      </c>
      <c r="AL89" s="8" t="s">
        <v>337</v>
      </c>
      <c r="AM89" s="8" t="b">
        <f t="shared" ref="AM89:AM91" si="143">TRUE()</f>
        <v>1</v>
      </c>
      <c r="AN89" s="8" t="s">
        <v>227</v>
      </c>
      <c r="AO89" s="8">
        <v>3.08664889E8</v>
      </c>
      <c r="AP89" s="8">
        <v>2.24903191E8</v>
      </c>
      <c r="AQ89" s="8" t="s">
        <v>382</v>
      </c>
      <c r="AR89" s="8"/>
      <c r="AS89" s="8"/>
      <c r="AT89" s="10"/>
      <c r="AU89" s="8" t="b">
        <f t="shared" si="140"/>
        <v>0</v>
      </c>
      <c r="AV89" s="10"/>
      <c r="AW89" s="8" t="s">
        <v>233</v>
      </c>
      <c r="AX89" s="8">
        <v>2.0</v>
      </c>
      <c r="AY89" s="8" t="b">
        <f t="shared" ref="AY89:AZ89" si="141">TRUE()</f>
        <v>1</v>
      </c>
      <c r="AZ89" s="8" t="b">
        <f t="shared" si="141"/>
        <v>1</v>
      </c>
      <c r="BA89" s="8" t="b">
        <f t="shared" ref="BA89:BC89" si="142">FALSE()</f>
        <v>0</v>
      </c>
      <c r="BB89" s="8" t="b">
        <f t="shared" si="142"/>
        <v>0</v>
      </c>
      <c r="BC89" s="8" t="b">
        <f t="shared" si="142"/>
        <v>0</v>
      </c>
      <c r="BD89" s="10"/>
    </row>
    <row r="90" ht="15.0" customHeight="1">
      <c r="A90" s="8" t="s">
        <v>880</v>
      </c>
      <c r="B90" s="8" t="s">
        <v>881</v>
      </c>
      <c r="C90" s="8"/>
      <c r="D90" s="8" t="b">
        <f t="shared" si="139"/>
        <v>0</v>
      </c>
      <c r="E90" s="10"/>
      <c r="F90" s="9"/>
      <c r="G90" s="9"/>
      <c r="H90" s="8">
        <v>0.0</v>
      </c>
      <c r="I90" s="8" t="s">
        <v>167</v>
      </c>
      <c r="J90" s="9">
        <v>46125.0</v>
      </c>
      <c r="K90" s="8" t="s">
        <v>167</v>
      </c>
      <c r="L90" s="8" t="b">
        <f t="shared" si="32"/>
        <v>1</v>
      </c>
      <c r="M90" s="9">
        <v>46125.0</v>
      </c>
      <c r="N90" s="8" t="b">
        <f t="shared" si="48"/>
        <v>0</v>
      </c>
      <c r="O90" s="9"/>
      <c r="P90" s="8" t="b">
        <f t="shared" si="16"/>
        <v>0</v>
      </c>
      <c r="Q90" s="9"/>
      <c r="R90" s="8" t="b">
        <f t="shared" si="28"/>
        <v>0</v>
      </c>
      <c r="S90" s="9"/>
      <c r="T90" s="8">
        <v>5.0</v>
      </c>
      <c r="U90" s="9">
        <v>46125.0</v>
      </c>
      <c r="V90" s="9">
        <v>46160.0</v>
      </c>
      <c r="W90" s="8" t="s">
        <v>121</v>
      </c>
      <c r="X90" s="8" t="s">
        <v>204</v>
      </c>
      <c r="Y90" s="8" t="s">
        <v>317</v>
      </c>
      <c r="Z90" s="8" t="s">
        <v>119</v>
      </c>
      <c r="AA90" s="13">
        <v>2.0E7</v>
      </c>
      <c r="AB90" s="8"/>
      <c r="AC90" s="8"/>
      <c r="AD90" s="8"/>
      <c r="AE90" s="8" t="s">
        <v>367</v>
      </c>
      <c r="AF90" s="8" t="s">
        <v>185</v>
      </c>
      <c r="AG90" s="8" t="s">
        <v>353</v>
      </c>
      <c r="AH90" s="8"/>
      <c r="AI90" s="8"/>
      <c r="AJ90" s="8"/>
      <c r="AK90" s="8" t="s">
        <v>154</v>
      </c>
      <c r="AL90" s="8" t="s">
        <v>337</v>
      </c>
      <c r="AM90" s="8" t="b">
        <f t="shared" si="143"/>
        <v>1</v>
      </c>
      <c r="AN90" s="8" t="s">
        <v>319</v>
      </c>
      <c r="AO90" s="8">
        <v>3.11677211E8</v>
      </c>
      <c r="AP90" s="8">
        <v>2.37925857E8</v>
      </c>
      <c r="AQ90" s="8" t="s">
        <v>882</v>
      </c>
      <c r="AR90" s="8"/>
      <c r="AS90" s="8"/>
      <c r="AT90" s="10"/>
      <c r="AU90" s="8" t="b">
        <f t="shared" si="140"/>
        <v>0</v>
      </c>
      <c r="AV90" s="10"/>
      <c r="AW90" s="8" t="s">
        <v>233</v>
      </c>
      <c r="AX90" s="8">
        <v>2.0</v>
      </c>
      <c r="AY90" s="8" t="b">
        <f t="shared" ref="AY90:AZ90" si="144">TRUE()</f>
        <v>1</v>
      </c>
      <c r="AZ90" s="8" t="b">
        <f t="shared" si="144"/>
        <v>1</v>
      </c>
      <c r="BA90" s="8" t="b">
        <f t="shared" ref="BA90:BC90" si="145">FALSE()</f>
        <v>0</v>
      </c>
      <c r="BB90" s="8" t="b">
        <f t="shared" si="145"/>
        <v>0</v>
      </c>
      <c r="BC90" s="8" t="b">
        <f t="shared" si="145"/>
        <v>0</v>
      </c>
      <c r="BD90" s="10"/>
    </row>
    <row r="91" ht="15.0" customHeight="1">
      <c r="A91" s="8" t="s">
        <v>883</v>
      </c>
      <c r="B91" s="8" t="s">
        <v>884</v>
      </c>
      <c r="C91" s="8" t="s">
        <v>885</v>
      </c>
      <c r="D91" s="8" t="b">
        <f t="shared" si="139"/>
        <v>0</v>
      </c>
      <c r="E91" s="10"/>
      <c r="F91" s="9"/>
      <c r="G91" s="9"/>
      <c r="H91" s="8">
        <v>0.0</v>
      </c>
      <c r="I91" s="8" t="s">
        <v>167</v>
      </c>
      <c r="J91" s="9">
        <v>46223.0</v>
      </c>
      <c r="K91" s="8" t="s">
        <v>167</v>
      </c>
      <c r="L91" s="8" t="b">
        <f t="shared" si="32"/>
        <v>1</v>
      </c>
      <c r="M91" s="9">
        <v>46223.0</v>
      </c>
      <c r="N91" s="8" t="b">
        <f t="shared" si="48"/>
        <v>0</v>
      </c>
      <c r="O91" s="9"/>
      <c r="P91" s="8" t="b">
        <f t="shared" si="16"/>
        <v>0</v>
      </c>
      <c r="Q91" s="9"/>
      <c r="R91" s="8" t="b">
        <f t="shared" si="28"/>
        <v>0</v>
      </c>
      <c r="S91" s="9"/>
      <c r="T91" s="8">
        <v>8.0</v>
      </c>
      <c r="U91" s="9">
        <v>46216.0</v>
      </c>
      <c r="V91" s="9">
        <v>46265.0</v>
      </c>
      <c r="W91" s="8" t="s">
        <v>83</v>
      </c>
      <c r="X91" s="8" t="s">
        <v>204</v>
      </c>
      <c r="Y91" s="8" t="s">
        <v>205</v>
      </c>
      <c r="Z91" s="8" t="s">
        <v>119</v>
      </c>
      <c r="AA91" s="13">
        <v>6700000.0</v>
      </c>
      <c r="AB91" s="8" t="s">
        <v>194</v>
      </c>
      <c r="AC91" s="8" t="s">
        <v>70</v>
      </c>
      <c r="AD91" s="8" t="s">
        <v>71</v>
      </c>
      <c r="AE91" s="8" t="s">
        <v>214</v>
      </c>
      <c r="AF91" s="8" t="s">
        <v>167</v>
      </c>
      <c r="AG91" s="8"/>
      <c r="AH91" s="8"/>
      <c r="AI91" s="8"/>
      <c r="AJ91" s="8"/>
      <c r="AK91" s="8" t="s">
        <v>215</v>
      </c>
      <c r="AL91" s="8" t="s">
        <v>393</v>
      </c>
      <c r="AM91" s="8" t="b">
        <f t="shared" si="143"/>
        <v>1</v>
      </c>
      <c r="AN91" s="8" t="s">
        <v>227</v>
      </c>
      <c r="AO91" s="8">
        <v>2.88078088E8</v>
      </c>
      <c r="AP91" s="8">
        <v>2.46060581E8</v>
      </c>
      <c r="AQ91" s="8" t="s">
        <v>362</v>
      </c>
      <c r="AR91" s="8" t="s">
        <v>547</v>
      </c>
      <c r="AS91" s="8" t="s">
        <v>887</v>
      </c>
      <c r="AT91" s="10"/>
      <c r="AU91" s="8" t="b">
        <f t="shared" si="140"/>
        <v>0</v>
      </c>
      <c r="AV91" s="10"/>
      <c r="AW91" s="8" t="s">
        <v>233</v>
      </c>
      <c r="AX91" s="8">
        <v>0.0</v>
      </c>
      <c r="AY91" s="8" t="b">
        <f t="shared" ref="AY91:BC91" si="146">FALSE()</f>
        <v>0</v>
      </c>
      <c r="AZ91" s="8" t="b">
        <f t="shared" si="146"/>
        <v>0</v>
      </c>
      <c r="BA91" s="8" t="b">
        <f t="shared" si="146"/>
        <v>0</v>
      </c>
      <c r="BB91" s="8" t="b">
        <f t="shared" si="146"/>
        <v>0</v>
      </c>
      <c r="BC91" s="8" t="b">
        <f t="shared" si="146"/>
        <v>0</v>
      </c>
      <c r="BD91" s="10" t="s">
        <v>888</v>
      </c>
    </row>
    <row r="92" ht="15.0" customHeight="1">
      <c r="A92" s="8" t="s">
        <v>762</v>
      </c>
      <c r="B92" s="8" t="s">
        <v>763</v>
      </c>
      <c r="C92" s="28" t="s">
        <v>889</v>
      </c>
      <c r="D92" s="8" t="b">
        <f t="shared" si="139"/>
        <v>0</v>
      </c>
      <c r="E92" s="10"/>
      <c r="F92" s="9"/>
      <c r="G92" s="9"/>
      <c r="H92" s="8">
        <v>0.0</v>
      </c>
      <c r="I92" s="8" t="s">
        <v>167</v>
      </c>
      <c r="J92" s="9">
        <v>46258.0</v>
      </c>
      <c r="K92" s="8" t="s">
        <v>167</v>
      </c>
      <c r="L92" s="8" t="b">
        <f t="shared" si="32"/>
        <v>1</v>
      </c>
      <c r="M92" s="9">
        <v>46258.0</v>
      </c>
      <c r="N92" s="8" t="b">
        <f t="shared" si="48"/>
        <v>0</v>
      </c>
      <c r="O92" s="9"/>
      <c r="P92" s="8" t="b">
        <f t="shared" si="16"/>
        <v>0</v>
      </c>
      <c r="Q92" s="9"/>
      <c r="R92" s="8" t="b">
        <f t="shared" si="28"/>
        <v>0</v>
      </c>
      <c r="S92" s="9"/>
      <c r="T92" s="8">
        <v>2.0</v>
      </c>
      <c r="U92" s="9">
        <v>46258.0</v>
      </c>
      <c r="V92" s="9">
        <v>46265.0</v>
      </c>
      <c r="W92" s="8" t="s">
        <v>83</v>
      </c>
      <c r="X92" s="8" t="s">
        <v>266</v>
      </c>
      <c r="Y92" s="8" t="s">
        <v>205</v>
      </c>
      <c r="Z92" s="8"/>
      <c r="AA92" s="13"/>
      <c r="AB92" s="8"/>
      <c r="AC92" s="8"/>
      <c r="AD92" s="8"/>
      <c r="AE92" s="8" t="s">
        <v>367</v>
      </c>
      <c r="AF92" s="8"/>
      <c r="AG92" s="8"/>
      <c r="AH92" s="8"/>
      <c r="AI92" s="8"/>
      <c r="AJ92" s="8"/>
      <c r="AK92" s="8"/>
      <c r="AL92" s="8"/>
      <c r="AM92" s="8" t="b">
        <f>FALSE()</f>
        <v>0</v>
      </c>
      <c r="AN92" s="8"/>
      <c r="AO92" s="8"/>
      <c r="AP92" s="8"/>
      <c r="AQ92" s="8"/>
      <c r="AR92" s="8"/>
      <c r="AS92" s="8"/>
      <c r="AT92" s="10"/>
      <c r="AU92" s="8" t="b">
        <f t="shared" si="140"/>
        <v>0</v>
      </c>
      <c r="AV92" s="10"/>
      <c r="AW92" s="8" t="s">
        <v>554</v>
      </c>
      <c r="AX92" s="8">
        <v>5.0</v>
      </c>
      <c r="AY92" s="8" t="b">
        <f t="shared" ref="AY92:BC92" si="147">TRUE()</f>
        <v>1</v>
      </c>
      <c r="AZ92" s="8" t="b">
        <f t="shared" si="147"/>
        <v>1</v>
      </c>
      <c r="BA92" s="8" t="b">
        <f t="shared" si="147"/>
        <v>1</v>
      </c>
      <c r="BB92" s="8" t="b">
        <f t="shared" si="147"/>
        <v>1</v>
      </c>
      <c r="BC92" s="8" t="b">
        <f t="shared" si="147"/>
        <v>1</v>
      </c>
      <c r="BD92" s="10"/>
    </row>
    <row r="93" ht="15.0" customHeight="1">
      <c r="A93" s="8" t="s">
        <v>891</v>
      </c>
      <c r="B93" s="8" t="s">
        <v>892</v>
      </c>
      <c r="C93" s="8" t="s">
        <v>893</v>
      </c>
      <c r="D93" s="8" t="b">
        <f t="shared" si="139"/>
        <v>0</v>
      </c>
      <c r="E93" s="10"/>
      <c r="F93" s="9"/>
      <c r="G93" s="9"/>
      <c r="H93" s="8">
        <v>0.0</v>
      </c>
      <c r="I93" s="8" t="s">
        <v>167</v>
      </c>
      <c r="J93" s="9">
        <v>46188.0</v>
      </c>
      <c r="K93" s="8" t="s">
        <v>167</v>
      </c>
      <c r="L93" s="8" t="b">
        <f t="shared" si="32"/>
        <v>1</v>
      </c>
      <c r="M93" s="9">
        <v>46188.0</v>
      </c>
      <c r="N93" s="8" t="b">
        <f t="shared" si="48"/>
        <v>0</v>
      </c>
      <c r="O93" s="9"/>
      <c r="P93" s="8" t="b">
        <f t="shared" si="16"/>
        <v>0</v>
      </c>
      <c r="Q93" s="9"/>
      <c r="R93" s="8" t="b">
        <f t="shared" si="28"/>
        <v>0</v>
      </c>
      <c r="S93" s="9"/>
      <c r="T93" s="8">
        <v>11.0</v>
      </c>
      <c r="U93" s="9">
        <v>46181.0</v>
      </c>
      <c r="V93" s="9">
        <v>46265.0</v>
      </c>
      <c r="W93" s="8" t="s">
        <v>83</v>
      </c>
      <c r="X93" s="8" t="s">
        <v>204</v>
      </c>
      <c r="Y93" s="8" t="s">
        <v>205</v>
      </c>
      <c r="Z93" s="8" t="s">
        <v>119</v>
      </c>
      <c r="AA93" s="13">
        <v>3000000.0</v>
      </c>
      <c r="AB93" s="8" t="s">
        <v>247</v>
      </c>
      <c r="AC93" s="8" t="s">
        <v>247</v>
      </c>
      <c r="AD93" s="8" t="s">
        <v>87</v>
      </c>
      <c r="AE93" s="8" t="s">
        <v>87</v>
      </c>
      <c r="AF93" s="8" t="s">
        <v>167</v>
      </c>
      <c r="AG93" s="8" t="s">
        <v>471</v>
      </c>
      <c r="AH93" s="8"/>
      <c r="AI93" s="8"/>
      <c r="AJ93" s="8"/>
      <c r="AK93" s="8" t="s">
        <v>74</v>
      </c>
      <c r="AL93" s="8" t="s">
        <v>223</v>
      </c>
      <c r="AM93" s="8" t="b">
        <f t="shared" ref="AM93:AM95" si="148">TRUE()</f>
        <v>1</v>
      </c>
      <c r="AN93" s="8" t="s">
        <v>319</v>
      </c>
      <c r="AO93" s="8">
        <v>3.03067017E8</v>
      </c>
      <c r="AP93" s="8">
        <v>2.40981762E8</v>
      </c>
      <c r="AQ93" s="8" t="s">
        <v>895</v>
      </c>
      <c r="AR93" s="8" t="s">
        <v>895</v>
      </c>
      <c r="AS93" s="8" t="s">
        <v>439</v>
      </c>
      <c r="AT93" s="10" t="s">
        <v>896</v>
      </c>
      <c r="AU93" s="8">
        <v>0.0</v>
      </c>
      <c r="AV93" s="10"/>
      <c r="AW93" s="8" t="s">
        <v>233</v>
      </c>
      <c r="AX93" s="8">
        <v>0.0</v>
      </c>
      <c r="AY93" s="8">
        <v>0.0</v>
      </c>
      <c r="AZ93" s="8">
        <v>0.0</v>
      </c>
      <c r="BA93" s="8">
        <v>0.0</v>
      </c>
      <c r="BB93" s="8">
        <v>0.0</v>
      </c>
      <c r="BC93" s="8">
        <v>0.0</v>
      </c>
      <c r="BD93" s="10" t="s">
        <v>897</v>
      </c>
    </row>
    <row r="94" ht="15.0" customHeight="1">
      <c r="A94" s="8" t="s">
        <v>898</v>
      </c>
      <c r="B94" s="8" t="s">
        <v>495</v>
      </c>
      <c r="C94" s="8" t="s">
        <v>899</v>
      </c>
      <c r="D94" s="8" t="b">
        <f t="shared" si="139"/>
        <v>0</v>
      </c>
      <c r="E94" s="10"/>
      <c r="F94" s="9"/>
      <c r="G94" s="9"/>
      <c r="H94" s="8">
        <v>0.0</v>
      </c>
      <c r="I94" s="8" t="s">
        <v>167</v>
      </c>
      <c r="J94" s="9">
        <v>45944.0</v>
      </c>
      <c r="K94" s="8" t="s">
        <v>167</v>
      </c>
      <c r="L94" s="8" t="b">
        <f t="shared" si="32"/>
        <v>1</v>
      </c>
      <c r="M94" s="9">
        <v>45944.0</v>
      </c>
      <c r="N94" s="8" t="b">
        <f t="shared" si="48"/>
        <v>0</v>
      </c>
      <c r="O94" s="9"/>
      <c r="P94" s="8" t="b">
        <f t="shared" si="16"/>
        <v>0</v>
      </c>
      <c r="Q94" s="9"/>
      <c r="R94" s="8" t="b">
        <f t="shared" si="28"/>
        <v>0</v>
      </c>
      <c r="S94" s="9"/>
      <c r="T94" s="8">
        <v>2.0</v>
      </c>
      <c r="U94" s="9">
        <v>45944.0</v>
      </c>
      <c r="V94" s="9">
        <v>45950.0</v>
      </c>
      <c r="W94" s="8" t="s">
        <v>83</v>
      </c>
      <c r="X94" s="8" t="s">
        <v>204</v>
      </c>
      <c r="Y94" s="8" t="s">
        <v>205</v>
      </c>
      <c r="Z94" s="8" t="s">
        <v>119</v>
      </c>
      <c r="AA94" s="13"/>
      <c r="AB94" s="8"/>
      <c r="AC94" s="8"/>
      <c r="AD94" s="8"/>
      <c r="AE94" s="8" t="s">
        <v>367</v>
      </c>
      <c r="AF94" s="8" t="s">
        <v>293</v>
      </c>
      <c r="AG94" s="8" t="s">
        <v>514</v>
      </c>
      <c r="AH94" s="8"/>
      <c r="AI94" s="8"/>
      <c r="AJ94" s="8"/>
      <c r="AK94" s="8" t="s">
        <v>215</v>
      </c>
      <c r="AL94" s="8" t="s">
        <v>393</v>
      </c>
      <c r="AM94" s="8" t="b">
        <f t="shared" si="148"/>
        <v>1</v>
      </c>
      <c r="AN94" s="8" t="s">
        <v>227</v>
      </c>
      <c r="AO94" s="8">
        <v>3.01699768E8</v>
      </c>
      <c r="AP94" s="8">
        <v>2.18254273E8</v>
      </c>
      <c r="AQ94" s="8" t="s">
        <v>900</v>
      </c>
      <c r="AR94" s="8" t="s">
        <v>900</v>
      </c>
      <c r="AS94" s="8" t="s">
        <v>900</v>
      </c>
      <c r="AT94" s="10"/>
      <c r="AU94" s="8" t="b">
        <f t="shared" ref="AU94:AU126" si="149">FALSE()</f>
        <v>0</v>
      </c>
      <c r="AV94" s="10"/>
      <c r="AW94" s="8" t="s">
        <v>233</v>
      </c>
      <c r="AX94" s="8">
        <v>2.0</v>
      </c>
      <c r="AY94" s="8" t="b">
        <f t="shared" ref="AY94:AY95" si="150">FALSE()</f>
        <v>0</v>
      </c>
      <c r="AZ94" s="8" t="b">
        <f>TRUE()</f>
        <v>1</v>
      </c>
      <c r="BA94" s="8" t="b">
        <f>FALSE()</f>
        <v>0</v>
      </c>
      <c r="BB94" s="8" t="b">
        <f>TRUE()</f>
        <v>1</v>
      </c>
      <c r="BC94" s="8" t="b">
        <f>FALSE()</f>
        <v>0</v>
      </c>
      <c r="BD94" s="10" t="s">
        <v>901</v>
      </c>
    </row>
    <row r="95" ht="202.5" customHeight="1">
      <c r="A95" s="8" t="s">
        <v>902</v>
      </c>
      <c r="B95" s="8" t="s">
        <v>840</v>
      </c>
      <c r="C95" s="8" t="s">
        <v>903</v>
      </c>
      <c r="D95" s="8" t="b">
        <f t="shared" si="139"/>
        <v>0</v>
      </c>
      <c r="E95" s="10"/>
      <c r="F95" s="9"/>
      <c r="G95" s="9"/>
      <c r="H95" s="8">
        <v>0.0</v>
      </c>
      <c r="I95" s="8" t="s">
        <v>167</v>
      </c>
      <c r="J95" s="9">
        <v>46083.0</v>
      </c>
      <c r="K95" s="8" t="s">
        <v>167</v>
      </c>
      <c r="L95" s="8" t="b">
        <f t="shared" si="32"/>
        <v>1</v>
      </c>
      <c r="M95" s="9">
        <v>46083.0</v>
      </c>
      <c r="N95" s="8" t="b">
        <f t="shared" si="48"/>
        <v>0</v>
      </c>
      <c r="O95" s="9"/>
      <c r="P95" s="8" t="b">
        <f t="shared" si="16"/>
        <v>0</v>
      </c>
      <c r="Q95" s="9"/>
      <c r="R95" s="8" t="b">
        <f t="shared" si="28"/>
        <v>0</v>
      </c>
      <c r="S95" s="9"/>
      <c r="T95" s="8">
        <v>18.0</v>
      </c>
      <c r="U95" s="9">
        <v>46083.0</v>
      </c>
      <c r="V95" s="9">
        <v>46216.0</v>
      </c>
      <c r="W95" s="8" t="s">
        <v>140</v>
      </c>
      <c r="X95" s="8" t="s">
        <v>204</v>
      </c>
      <c r="Y95" s="8" t="s">
        <v>328</v>
      </c>
      <c r="Z95" s="8" t="s">
        <v>56</v>
      </c>
      <c r="AA95" s="13">
        <v>9.0E7</v>
      </c>
      <c r="AB95" s="8" t="s">
        <v>774</v>
      </c>
      <c r="AC95" s="8" t="s">
        <v>166</v>
      </c>
      <c r="AD95" s="8" t="s">
        <v>87</v>
      </c>
      <c r="AE95" s="8" t="s">
        <v>87</v>
      </c>
      <c r="AF95" s="8" t="s">
        <v>200</v>
      </c>
      <c r="AG95" s="8"/>
      <c r="AH95" s="8"/>
      <c r="AI95" s="8"/>
      <c r="AJ95" s="8"/>
      <c r="AK95" s="8" t="s">
        <v>267</v>
      </c>
      <c r="AL95" s="8" t="s">
        <v>445</v>
      </c>
      <c r="AM95" s="8" t="b">
        <f t="shared" si="148"/>
        <v>1</v>
      </c>
      <c r="AN95" s="8" t="s">
        <v>227</v>
      </c>
      <c r="AO95" s="8">
        <v>2.86407135E8</v>
      </c>
      <c r="AP95" s="8">
        <v>2.32413671E8</v>
      </c>
      <c r="AQ95" s="8" t="s">
        <v>905</v>
      </c>
      <c r="AR95" s="8" t="s">
        <v>906</v>
      </c>
      <c r="AS95" s="8" t="s">
        <v>906</v>
      </c>
      <c r="AT95" s="10"/>
      <c r="AU95" s="8" t="b">
        <f t="shared" si="149"/>
        <v>0</v>
      </c>
      <c r="AV95" s="10"/>
      <c r="AW95" s="8" t="s">
        <v>233</v>
      </c>
      <c r="AX95" s="8">
        <v>0.0</v>
      </c>
      <c r="AY95" s="8" t="b">
        <f t="shared" si="150"/>
        <v>0</v>
      </c>
      <c r="AZ95" s="8" t="b">
        <f t="shared" ref="AZ95:BC95" si="151">FALSE()</f>
        <v>0</v>
      </c>
      <c r="BA95" s="8" t="b">
        <f t="shared" si="151"/>
        <v>0</v>
      </c>
      <c r="BB95" s="8" t="b">
        <f t="shared" si="151"/>
        <v>0</v>
      </c>
      <c r="BC95" s="8" t="b">
        <f t="shared" si="151"/>
        <v>0</v>
      </c>
      <c r="BD95" s="10" t="s">
        <v>907</v>
      </c>
    </row>
    <row r="96" ht="15.0" customHeight="1">
      <c r="A96" s="8" t="s">
        <v>764</v>
      </c>
      <c r="B96" s="8" t="s">
        <v>757</v>
      </c>
      <c r="C96" s="28" t="s">
        <v>909</v>
      </c>
      <c r="D96" s="8" t="b">
        <f t="shared" si="139"/>
        <v>0</v>
      </c>
      <c r="E96" s="10"/>
      <c r="F96" s="9"/>
      <c r="G96" s="9"/>
      <c r="H96" s="8">
        <v>0.0</v>
      </c>
      <c r="I96" s="8" t="s">
        <v>167</v>
      </c>
      <c r="J96" s="9">
        <v>46070.0</v>
      </c>
      <c r="K96" s="8" t="s">
        <v>167</v>
      </c>
      <c r="L96" s="8" t="b">
        <f t="shared" si="32"/>
        <v>1</v>
      </c>
      <c r="M96" s="9">
        <v>46070.0</v>
      </c>
      <c r="N96" s="8" t="b">
        <f t="shared" si="48"/>
        <v>0</v>
      </c>
      <c r="O96" s="9"/>
      <c r="P96" s="8" t="b">
        <f t="shared" si="16"/>
        <v>0</v>
      </c>
      <c r="Q96" s="9"/>
      <c r="R96" s="8" t="b">
        <f t="shared" si="28"/>
        <v>0</v>
      </c>
      <c r="S96" s="9"/>
      <c r="T96" s="8">
        <v>6.0</v>
      </c>
      <c r="U96" s="9">
        <v>46062.0</v>
      </c>
      <c r="V96" s="9">
        <v>46097.0</v>
      </c>
      <c r="W96" s="8" t="s">
        <v>83</v>
      </c>
      <c r="X96" s="8" t="s">
        <v>266</v>
      </c>
      <c r="Y96" s="8" t="s">
        <v>205</v>
      </c>
      <c r="Z96" s="8"/>
      <c r="AA96" s="13"/>
      <c r="AB96" s="8"/>
      <c r="AC96" s="8"/>
      <c r="AD96" s="8"/>
      <c r="AE96" s="8" t="s">
        <v>367</v>
      </c>
      <c r="AF96" s="8"/>
      <c r="AG96" s="8"/>
      <c r="AH96" s="8"/>
      <c r="AI96" s="8"/>
      <c r="AJ96" s="8"/>
      <c r="AK96" s="8"/>
      <c r="AL96" s="8"/>
      <c r="AM96" s="8" t="b">
        <f>FALSE()</f>
        <v>0</v>
      </c>
      <c r="AN96" s="8"/>
      <c r="AO96" s="8"/>
      <c r="AP96" s="8"/>
      <c r="AQ96" s="8"/>
      <c r="AR96" s="8"/>
      <c r="AS96" s="8"/>
      <c r="AT96" s="10"/>
      <c r="AU96" s="8" t="b">
        <f t="shared" si="149"/>
        <v>0</v>
      </c>
      <c r="AV96" s="10"/>
      <c r="AW96" s="8" t="s">
        <v>554</v>
      </c>
      <c r="AX96" s="8">
        <v>5.0</v>
      </c>
      <c r="AY96" s="8" t="b">
        <f t="shared" ref="AY96:BC96" si="152">TRUE()</f>
        <v>1</v>
      </c>
      <c r="AZ96" s="8" t="b">
        <f t="shared" si="152"/>
        <v>1</v>
      </c>
      <c r="BA96" s="8" t="b">
        <f t="shared" si="152"/>
        <v>1</v>
      </c>
      <c r="BB96" s="8" t="b">
        <f t="shared" si="152"/>
        <v>1</v>
      </c>
      <c r="BC96" s="8" t="b">
        <f t="shared" si="152"/>
        <v>1</v>
      </c>
      <c r="BD96" s="10"/>
    </row>
    <row r="97" ht="15.0" customHeight="1">
      <c r="A97" s="8" t="s">
        <v>910</v>
      </c>
      <c r="B97" s="8" t="s">
        <v>517</v>
      </c>
      <c r="C97" s="8" t="s">
        <v>911</v>
      </c>
      <c r="D97" s="8" t="b">
        <f t="shared" si="139"/>
        <v>0</v>
      </c>
      <c r="E97" s="10"/>
      <c r="F97" s="9"/>
      <c r="G97" s="9"/>
      <c r="H97" s="8">
        <v>0.0</v>
      </c>
      <c r="I97" s="8" t="s">
        <v>167</v>
      </c>
      <c r="J97" s="9">
        <v>45957.0</v>
      </c>
      <c r="K97" s="8" t="s">
        <v>167</v>
      </c>
      <c r="L97" s="8" t="b">
        <f t="shared" si="32"/>
        <v>1</v>
      </c>
      <c r="M97" s="9">
        <v>45957.0</v>
      </c>
      <c r="N97" s="8" t="b">
        <f t="shared" si="48"/>
        <v>0</v>
      </c>
      <c r="O97" s="9"/>
      <c r="P97" s="8" t="b">
        <f t="shared" si="16"/>
        <v>0</v>
      </c>
      <c r="Q97" s="9"/>
      <c r="R97" s="8" t="b">
        <f t="shared" si="28"/>
        <v>0</v>
      </c>
      <c r="S97" s="9"/>
      <c r="T97" s="8">
        <v>4.0</v>
      </c>
      <c r="U97" s="9">
        <v>45950.0</v>
      </c>
      <c r="V97" s="9">
        <v>45971.0</v>
      </c>
      <c r="W97" s="8" t="s">
        <v>121</v>
      </c>
      <c r="X97" s="8" t="s">
        <v>204</v>
      </c>
      <c r="Y97" s="8" t="s">
        <v>317</v>
      </c>
      <c r="Z97" s="8" t="s">
        <v>56</v>
      </c>
      <c r="AA97" s="13">
        <v>2.0E7</v>
      </c>
      <c r="AB97" s="8" t="s">
        <v>194</v>
      </c>
      <c r="AC97" s="8" t="s">
        <v>143</v>
      </c>
      <c r="AD97" s="8" t="s">
        <v>87</v>
      </c>
      <c r="AE97" s="8" t="s">
        <v>87</v>
      </c>
      <c r="AF97" s="8" t="s">
        <v>185</v>
      </c>
      <c r="AG97" s="8" t="s">
        <v>405</v>
      </c>
      <c r="AH97" s="8"/>
      <c r="AI97" s="8"/>
      <c r="AJ97" s="8"/>
      <c r="AK97" s="8" t="s">
        <v>154</v>
      </c>
      <c r="AL97" s="8" t="s">
        <v>337</v>
      </c>
      <c r="AM97" s="8" t="b">
        <f t="shared" ref="AM97:AM105" si="154">TRUE()</f>
        <v>1</v>
      </c>
      <c r="AN97" s="8" t="s">
        <v>227</v>
      </c>
      <c r="AO97" s="8">
        <v>2.88108581E8</v>
      </c>
      <c r="AP97" s="8">
        <v>2.22532616E8</v>
      </c>
      <c r="AQ97" s="8" t="s">
        <v>701</v>
      </c>
      <c r="AR97" s="8" t="s">
        <v>917</v>
      </c>
      <c r="AS97" s="8" t="s">
        <v>918</v>
      </c>
      <c r="AT97" s="10"/>
      <c r="AU97" s="8" t="b">
        <f t="shared" si="149"/>
        <v>0</v>
      </c>
      <c r="AV97" s="10"/>
      <c r="AW97" s="8" t="s">
        <v>233</v>
      </c>
      <c r="AX97" s="8">
        <v>0.0</v>
      </c>
      <c r="AY97" s="8" t="b">
        <f t="shared" ref="AY97:BC97" si="153">FALSE()</f>
        <v>0</v>
      </c>
      <c r="AZ97" s="8" t="b">
        <f t="shared" si="153"/>
        <v>0</v>
      </c>
      <c r="BA97" s="8" t="b">
        <f t="shared" si="153"/>
        <v>0</v>
      </c>
      <c r="BB97" s="8" t="b">
        <f t="shared" si="153"/>
        <v>0</v>
      </c>
      <c r="BC97" s="8" t="b">
        <f t="shared" si="153"/>
        <v>0</v>
      </c>
      <c r="BD97" s="10" t="s">
        <v>920</v>
      </c>
    </row>
    <row r="98" ht="15.0" customHeight="1">
      <c r="A98" s="8" t="s">
        <v>766</v>
      </c>
      <c r="B98" s="8" t="s">
        <v>767</v>
      </c>
      <c r="C98" s="8" t="s">
        <v>769</v>
      </c>
      <c r="D98" s="8" t="b">
        <f t="shared" si="139"/>
        <v>0</v>
      </c>
      <c r="E98" s="10"/>
      <c r="F98" s="9"/>
      <c r="G98" s="9"/>
      <c r="H98" s="8">
        <v>0.0</v>
      </c>
      <c r="I98" s="8" t="s">
        <v>167</v>
      </c>
      <c r="J98" s="9">
        <v>46160.0</v>
      </c>
      <c r="K98" s="8" t="s">
        <v>167</v>
      </c>
      <c r="L98" s="8" t="b">
        <f t="shared" si="32"/>
        <v>1</v>
      </c>
      <c r="M98" s="9">
        <v>46160.0</v>
      </c>
      <c r="N98" s="8" t="b">
        <f t="shared" si="48"/>
        <v>0</v>
      </c>
      <c r="O98" s="9"/>
      <c r="P98" s="8" t="b">
        <f t="shared" si="16"/>
        <v>0</v>
      </c>
      <c r="Q98" s="9"/>
      <c r="R98" s="8" t="b">
        <f t="shared" si="28"/>
        <v>0</v>
      </c>
      <c r="S98" s="9"/>
      <c r="T98" s="8">
        <v>4.0</v>
      </c>
      <c r="U98" s="9">
        <v>46160.0</v>
      </c>
      <c r="V98" s="9">
        <v>46181.0</v>
      </c>
      <c r="W98" s="8" t="s">
        <v>140</v>
      </c>
      <c r="X98" s="8" t="s">
        <v>204</v>
      </c>
      <c r="Y98" s="8" t="s">
        <v>328</v>
      </c>
      <c r="Z98" s="8"/>
      <c r="AA98" s="13"/>
      <c r="AB98" s="8"/>
      <c r="AC98" s="8"/>
      <c r="AD98" s="8"/>
      <c r="AE98" s="8" t="s">
        <v>367</v>
      </c>
      <c r="AF98" s="8" t="s">
        <v>185</v>
      </c>
      <c r="AG98" s="8"/>
      <c r="AH98" s="8"/>
      <c r="AI98" s="8"/>
      <c r="AJ98" s="8"/>
      <c r="AK98" s="8" t="s">
        <v>74</v>
      </c>
      <c r="AL98" s="8" t="s">
        <v>223</v>
      </c>
      <c r="AM98" s="8" t="b">
        <f t="shared" si="154"/>
        <v>1</v>
      </c>
      <c r="AN98" s="8" t="s">
        <v>319</v>
      </c>
      <c r="AO98" s="8">
        <v>3.11423561E8</v>
      </c>
      <c r="AP98" s="8">
        <v>2.40855203E8</v>
      </c>
      <c r="AQ98" s="8" t="s">
        <v>617</v>
      </c>
      <c r="AR98" s="8"/>
      <c r="AS98" s="8"/>
      <c r="AT98" s="10"/>
      <c r="AU98" s="8" t="b">
        <f t="shared" si="149"/>
        <v>0</v>
      </c>
      <c r="AV98" s="10"/>
      <c r="AW98" s="8" t="s">
        <v>554</v>
      </c>
      <c r="AX98" s="8">
        <v>3.0</v>
      </c>
      <c r="AY98" s="8" t="b">
        <f t="shared" ref="AY98:AY100" si="156">FALSE()</f>
        <v>0</v>
      </c>
      <c r="AZ98" s="8" t="b">
        <f t="shared" ref="AZ98:BB98" si="155">TRUE()</f>
        <v>1</v>
      </c>
      <c r="BA98" s="8" t="b">
        <f t="shared" si="155"/>
        <v>1</v>
      </c>
      <c r="BB98" s="8" t="b">
        <f t="shared" si="155"/>
        <v>1</v>
      </c>
      <c r="BC98" s="8" t="b">
        <f>FALSE()</f>
        <v>0</v>
      </c>
      <c r="BD98" s="10" t="s">
        <v>927</v>
      </c>
    </row>
    <row r="99" ht="157.5" customHeight="1">
      <c r="A99" s="8" t="s">
        <v>928</v>
      </c>
      <c r="B99" s="8" t="s">
        <v>929</v>
      </c>
      <c r="C99" s="8" t="s">
        <v>930</v>
      </c>
      <c r="D99" s="8" t="b">
        <f t="shared" si="139"/>
        <v>0</v>
      </c>
      <c r="E99" s="10"/>
      <c r="F99" s="9"/>
      <c r="G99" s="9"/>
      <c r="H99" s="8">
        <v>0.0</v>
      </c>
      <c r="I99" s="8" t="s">
        <v>167</v>
      </c>
      <c r="J99" s="9">
        <v>46132.0</v>
      </c>
      <c r="K99" s="8" t="s">
        <v>167</v>
      </c>
      <c r="L99" s="8" t="b">
        <f t="shared" si="32"/>
        <v>1</v>
      </c>
      <c r="M99" s="9">
        <v>46132.0</v>
      </c>
      <c r="N99" s="8" t="b">
        <f t="shared" si="48"/>
        <v>0</v>
      </c>
      <c r="O99" s="9"/>
      <c r="P99" s="8" t="b">
        <f t="shared" si="16"/>
        <v>0</v>
      </c>
      <c r="Q99" s="9"/>
      <c r="R99" s="8" t="b">
        <f t="shared" si="28"/>
        <v>0</v>
      </c>
      <c r="S99" s="9"/>
      <c r="T99" s="8">
        <v>2.0</v>
      </c>
      <c r="U99" s="9">
        <v>46132.0</v>
      </c>
      <c r="V99" s="9">
        <v>46146.0</v>
      </c>
      <c r="W99" s="8" t="s">
        <v>121</v>
      </c>
      <c r="X99" s="8" t="s">
        <v>204</v>
      </c>
      <c r="Y99" s="8" t="s">
        <v>317</v>
      </c>
      <c r="Z99" s="8" t="s">
        <v>119</v>
      </c>
      <c r="AA99" s="13">
        <v>6000000.0</v>
      </c>
      <c r="AB99" s="8" t="s">
        <v>247</v>
      </c>
      <c r="AC99" s="8" t="s">
        <v>247</v>
      </c>
      <c r="AD99" s="8" t="s">
        <v>87</v>
      </c>
      <c r="AE99" s="8" t="s">
        <v>87</v>
      </c>
      <c r="AF99" s="8" t="s">
        <v>293</v>
      </c>
      <c r="AG99" s="8" t="s">
        <v>514</v>
      </c>
      <c r="AH99" s="8"/>
      <c r="AI99" s="8"/>
      <c r="AJ99" s="8"/>
      <c r="AK99" s="8" t="s">
        <v>127</v>
      </c>
      <c r="AL99" s="8" t="s">
        <v>318</v>
      </c>
      <c r="AM99" s="8" t="b">
        <f t="shared" si="154"/>
        <v>1</v>
      </c>
      <c r="AN99" s="8" t="s">
        <v>227</v>
      </c>
      <c r="AO99" s="8">
        <v>2.92366583E8</v>
      </c>
      <c r="AP99" s="8">
        <v>2.39363506E8</v>
      </c>
      <c r="AQ99" s="8" t="s">
        <v>934</v>
      </c>
      <c r="AR99" s="8" t="s">
        <v>935</v>
      </c>
      <c r="AS99" s="8" t="s">
        <v>935</v>
      </c>
      <c r="AT99" s="10"/>
      <c r="AU99" s="8" t="b">
        <f t="shared" si="149"/>
        <v>0</v>
      </c>
      <c r="AV99" s="10"/>
      <c r="AW99" s="8" t="s">
        <v>233</v>
      </c>
      <c r="AX99" s="8">
        <v>0.0</v>
      </c>
      <c r="AY99" s="8" t="b">
        <f t="shared" si="156"/>
        <v>0</v>
      </c>
      <c r="AZ99" s="8" t="b">
        <f t="shared" ref="AZ99:BC99" si="157">FALSE()</f>
        <v>0</v>
      </c>
      <c r="BA99" s="8" t="b">
        <f t="shared" si="157"/>
        <v>0</v>
      </c>
      <c r="BB99" s="8" t="b">
        <f t="shared" si="157"/>
        <v>0</v>
      </c>
      <c r="BC99" s="8" t="b">
        <f t="shared" si="157"/>
        <v>0</v>
      </c>
      <c r="BD99" s="10" t="s">
        <v>940</v>
      </c>
    </row>
    <row r="100" ht="15.0" customHeight="1">
      <c r="A100" s="8" t="s">
        <v>913</v>
      </c>
      <c r="B100" s="8" t="s">
        <v>914</v>
      </c>
      <c r="C100" s="8" t="s">
        <v>916</v>
      </c>
      <c r="D100" s="8" t="b">
        <f t="shared" si="139"/>
        <v>0</v>
      </c>
      <c r="E100" s="10"/>
      <c r="F100" s="9"/>
      <c r="G100" s="9"/>
      <c r="H100" s="8">
        <v>0.0</v>
      </c>
      <c r="I100" s="8" t="s">
        <v>167</v>
      </c>
      <c r="J100" s="9">
        <v>46223.0</v>
      </c>
      <c r="K100" s="8" t="s">
        <v>167</v>
      </c>
      <c r="L100" s="8" t="b">
        <f t="shared" si="32"/>
        <v>1</v>
      </c>
      <c r="M100" s="9">
        <v>46223.0</v>
      </c>
      <c r="N100" s="8" t="b">
        <f t="shared" si="48"/>
        <v>0</v>
      </c>
      <c r="O100" s="9"/>
      <c r="P100" s="8" t="b">
        <f t="shared" si="16"/>
        <v>0</v>
      </c>
      <c r="Q100" s="9"/>
      <c r="R100" s="8" t="b">
        <f t="shared" si="28"/>
        <v>0</v>
      </c>
      <c r="S100" s="9"/>
      <c r="T100" s="8">
        <v>2.0</v>
      </c>
      <c r="U100" s="9">
        <v>46223.0</v>
      </c>
      <c r="V100" s="9">
        <v>46230.0</v>
      </c>
      <c r="W100" s="8" t="s">
        <v>83</v>
      </c>
      <c r="X100" s="8" t="s">
        <v>204</v>
      </c>
      <c r="Y100" s="8" t="s">
        <v>205</v>
      </c>
      <c r="Z100" s="8"/>
      <c r="AA100" s="13"/>
      <c r="AB100" s="8" t="s">
        <v>943</v>
      </c>
      <c r="AC100" s="8" t="s">
        <v>944</v>
      </c>
      <c r="AD100" s="8" t="s">
        <v>87</v>
      </c>
      <c r="AE100" s="8" t="s">
        <v>87</v>
      </c>
      <c r="AF100" s="8" t="s">
        <v>539</v>
      </c>
      <c r="AG100" s="8"/>
      <c r="AH100" s="8"/>
      <c r="AI100" s="8"/>
      <c r="AJ100" s="8"/>
      <c r="AK100" s="8" t="s">
        <v>215</v>
      </c>
      <c r="AL100" s="8" t="s">
        <v>393</v>
      </c>
      <c r="AM100" s="8" t="b">
        <f t="shared" si="154"/>
        <v>1</v>
      </c>
      <c r="AN100" s="8" t="s">
        <v>227</v>
      </c>
      <c r="AO100" s="8">
        <v>2.68334762E8</v>
      </c>
      <c r="AP100" s="8">
        <v>2.46925054E8</v>
      </c>
      <c r="AQ100" s="8" t="s">
        <v>547</v>
      </c>
      <c r="AR100" s="8" t="s">
        <v>945</v>
      </c>
      <c r="AS100" s="8" t="s">
        <v>946</v>
      </c>
      <c r="AT100" s="10"/>
      <c r="AU100" s="8" t="b">
        <f t="shared" si="149"/>
        <v>0</v>
      </c>
      <c r="AV100" s="10"/>
      <c r="AW100" s="8" t="s">
        <v>233</v>
      </c>
      <c r="AX100" s="8">
        <v>2.0</v>
      </c>
      <c r="AY100" s="8" t="b">
        <f t="shared" si="156"/>
        <v>0</v>
      </c>
      <c r="AZ100" s="8" t="b">
        <f>FALSE()</f>
        <v>0</v>
      </c>
      <c r="BA100" s="8" t="b">
        <f t="shared" ref="BA100:BB100" si="158">TRUE()</f>
        <v>1</v>
      </c>
      <c r="BB100" s="8" t="b">
        <f t="shared" si="158"/>
        <v>1</v>
      </c>
      <c r="BC100" s="8" t="b">
        <f>FALSE()</f>
        <v>0</v>
      </c>
      <c r="BD100" s="10" t="s">
        <v>950</v>
      </c>
    </row>
    <row r="101" ht="102.0" customHeight="1">
      <c r="A101" s="8" t="s">
        <v>919</v>
      </c>
      <c r="B101" s="8" t="s">
        <v>886</v>
      </c>
      <c r="C101" s="8"/>
      <c r="D101" s="8" t="b">
        <f t="shared" si="139"/>
        <v>0</v>
      </c>
      <c r="E101" s="10"/>
      <c r="F101" s="9"/>
      <c r="G101" s="9"/>
      <c r="H101" s="8">
        <v>0.0</v>
      </c>
      <c r="I101" s="8" t="s">
        <v>167</v>
      </c>
      <c r="J101" s="9">
        <v>46097.0</v>
      </c>
      <c r="K101" s="8" t="s">
        <v>167</v>
      </c>
      <c r="L101" s="8" t="b">
        <f t="shared" si="32"/>
        <v>1</v>
      </c>
      <c r="M101" s="9">
        <v>46097.0</v>
      </c>
      <c r="N101" s="8" t="b">
        <f t="shared" si="48"/>
        <v>0</v>
      </c>
      <c r="O101" s="9"/>
      <c r="P101" s="8" t="b">
        <f t="shared" si="16"/>
        <v>0</v>
      </c>
      <c r="Q101" s="9"/>
      <c r="R101" s="8" t="b">
        <f t="shared" si="28"/>
        <v>0</v>
      </c>
      <c r="S101" s="9"/>
      <c r="T101" s="8">
        <v>1.0</v>
      </c>
      <c r="U101" s="9">
        <v>46097.0</v>
      </c>
      <c r="V101" s="9">
        <v>46097.0</v>
      </c>
      <c r="W101" s="8" t="s">
        <v>140</v>
      </c>
      <c r="X101" s="8" t="s">
        <v>204</v>
      </c>
      <c r="Y101" s="8" t="s">
        <v>328</v>
      </c>
      <c r="Z101" s="8" t="s">
        <v>119</v>
      </c>
      <c r="AA101" s="13">
        <v>4500000.0</v>
      </c>
      <c r="AB101" s="8"/>
      <c r="AC101" s="8"/>
      <c r="AD101" s="8"/>
      <c r="AE101" s="8" t="s">
        <v>367</v>
      </c>
      <c r="AF101" s="8" t="s">
        <v>185</v>
      </c>
      <c r="AG101" s="8"/>
      <c r="AH101" s="8"/>
      <c r="AI101" s="8"/>
      <c r="AJ101" s="8"/>
      <c r="AK101" s="8" t="s">
        <v>267</v>
      </c>
      <c r="AL101" s="8" t="s">
        <v>445</v>
      </c>
      <c r="AM101" s="8" t="b">
        <f t="shared" si="154"/>
        <v>1</v>
      </c>
      <c r="AN101" s="8" t="s">
        <v>227</v>
      </c>
      <c r="AO101" s="8">
        <v>3.10556893E8</v>
      </c>
      <c r="AP101" s="8">
        <v>2.31883826E8</v>
      </c>
      <c r="AQ101" s="8" t="s">
        <v>497</v>
      </c>
      <c r="AR101" s="8" t="s">
        <v>498</v>
      </c>
      <c r="AS101" s="8" t="s">
        <v>498</v>
      </c>
      <c r="AT101" s="10"/>
      <c r="AU101" s="8" t="b">
        <f t="shared" si="149"/>
        <v>0</v>
      </c>
      <c r="AV101" s="10"/>
      <c r="AW101" s="8" t="s">
        <v>233</v>
      </c>
      <c r="AX101" s="8">
        <v>2.0</v>
      </c>
      <c r="AY101" s="8" t="b">
        <f t="shared" ref="AY101:AZ101" si="159">TRUE()</f>
        <v>1</v>
      </c>
      <c r="AZ101" s="8" t="b">
        <f t="shared" si="159"/>
        <v>1</v>
      </c>
      <c r="BA101" s="8" t="b">
        <f t="shared" ref="BA101:BC101" si="160">FALSE()</f>
        <v>0</v>
      </c>
      <c r="BB101" s="8" t="b">
        <f t="shared" si="160"/>
        <v>0</v>
      </c>
      <c r="BC101" s="8" t="b">
        <f t="shared" si="160"/>
        <v>0</v>
      </c>
      <c r="BD101" s="10" t="s">
        <v>955</v>
      </c>
    </row>
    <row r="102" ht="15.0" customHeight="1">
      <c r="A102" s="8" t="s">
        <v>772</v>
      </c>
      <c r="B102" s="8" t="s">
        <v>773</v>
      </c>
      <c r="C102" s="8" t="s">
        <v>775</v>
      </c>
      <c r="D102" s="8" t="b">
        <f t="shared" si="139"/>
        <v>0</v>
      </c>
      <c r="E102" s="10"/>
      <c r="F102" s="9"/>
      <c r="G102" s="9"/>
      <c r="H102" s="8">
        <v>0.0</v>
      </c>
      <c r="I102" s="8" t="s">
        <v>167</v>
      </c>
      <c r="J102" s="9">
        <v>46244.0</v>
      </c>
      <c r="K102" s="8" t="s">
        <v>167</v>
      </c>
      <c r="L102" s="8" t="b">
        <f t="shared" si="32"/>
        <v>1</v>
      </c>
      <c r="M102" s="9">
        <v>46244.0</v>
      </c>
      <c r="N102" s="8" t="b">
        <f t="shared" si="48"/>
        <v>0</v>
      </c>
      <c r="O102" s="9"/>
      <c r="P102" s="8" t="b">
        <f t="shared" si="16"/>
        <v>0</v>
      </c>
      <c r="Q102" s="9"/>
      <c r="R102" s="8" t="b">
        <f t="shared" si="28"/>
        <v>0</v>
      </c>
      <c r="S102" s="9"/>
      <c r="T102" s="8">
        <v>4.0</v>
      </c>
      <c r="U102" s="9">
        <v>46244.0</v>
      </c>
      <c r="V102" s="9">
        <v>46265.0</v>
      </c>
      <c r="W102" s="8" t="s">
        <v>121</v>
      </c>
      <c r="X102" s="8" t="s">
        <v>204</v>
      </c>
      <c r="Y102" s="8" t="s">
        <v>317</v>
      </c>
      <c r="Z102" s="8"/>
      <c r="AA102" s="13"/>
      <c r="AB102" s="8"/>
      <c r="AC102" s="8"/>
      <c r="AD102" s="8"/>
      <c r="AE102" s="8" t="s">
        <v>367</v>
      </c>
      <c r="AF102" s="8" t="s">
        <v>293</v>
      </c>
      <c r="AG102" s="8" t="s">
        <v>471</v>
      </c>
      <c r="AH102" s="8"/>
      <c r="AI102" s="8"/>
      <c r="AJ102" s="8"/>
      <c r="AK102" s="8" t="s">
        <v>127</v>
      </c>
      <c r="AL102" s="8" t="s">
        <v>318</v>
      </c>
      <c r="AM102" s="8" t="b">
        <f t="shared" si="154"/>
        <v>1</v>
      </c>
      <c r="AN102" s="8" t="s">
        <v>227</v>
      </c>
      <c r="AO102" s="8">
        <v>3.13607831E8</v>
      </c>
      <c r="AP102" s="8">
        <v>2.49380263E8</v>
      </c>
      <c r="AQ102" s="8" t="s">
        <v>549</v>
      </c>
      <c r="AR102" s="8" t="s">
        <v>960</v>
      </c>
      <c r="AS102" s="8" t="s">
        <v>349</v>
      </c>
      <c r="AT102" s="10"/>
      <c r="AU102" s="8" t="b">
        <f t="shared" si="149"/>
        <v>0</v>
      </c>
      <c r="AV102" s="10"/>
      <c r="AW102" s="8" t="s">
        <v>554</v>
      </c>
      <c r="AX102" s="8">
        <v>3.0</v>
      </c>
      <c r="AY102" s="8" t="b">
        <f t="shared" ref="AY102:AY105" si="162">FALSE()</f>
        <v>0</v>
      </c>
      <c r="AZ102" s="8" t="b">
        <f t="shared" ref="AZ102:BB102" si="161">TRUE()</f>
        <v>1</v>
      </c>
      <c r="BA102" s="8" t="b">
        <f t="shared" si="161"/>
        <v>1</v>
      </c>
      <c r="BB102" s="8" t="b">
        <f t="shared" si="161"/>
        <v>1</v>
      </c>
      <c r="BC102" s="8" t="b">
        <f>FALSE()</f>
        <v>0</v>
      </c>
      <c r="BD102" s="10"/>
    </row>
    <row r="103" ht="15.0" customHeight="1">
      <c r="A103" s="8" t="s">
        <v>962</v>
      </c>
      <c r="B103" s="8" t="s">
        <v>963</v>
      </c>
      <c r="C103" s="8" t="s">
        <v>964</v>
      </c>
      <c r="D103" s="8" t="b">
        <f t="shared" si="139"/>
        <v>0</v>
      </c>
      <c r="E103" s="10"/>
      <c r="F103" s="9"/>
      <c r="G103" s="9"/>
      <c r="H103" s="8">
        <v>0.0</v>
      </c>
      <c r="I103" s="8" t="s">
        <v>167</v>
      </c>
      <c r="J103" s="9">
        <v>46153.0</v>
      </c>
      <c r="K103" s="8" t="s">
        <v>167</v>
      </c>
      <c r="L103" s="8" t="b">
        <f t="shared" si="32"/>
        <v>1</v>
      </c>
      <c r="M103" s="9">
        <v>46153.0</v>
      </c>
      <c r="N103" s="8" t="b">
        <f t="shared" si="48"/>
        <v>0</v>
      </c>
      <c r="O103" s="9"/>
      <c r="P103" s="8" t="b">
        <f t="shared" si="16"/>
        <v>0</v>
      </c>
      <c r="Q103" s="9"/>
      <c r="R103" s="8" t="b">
        <f t="shared" si="28"/>
        <v>0</v>
      </c>
      <c r="S103" s="9"/>
      <c r="T103" s="8">
        <v>3.0</v>
      </c>
      <c r="U103" s="9">
        <v>46146.0</v>
      </c>
      <c r="V103" s="9">
        <v>46160.0</v>
      </c>
      <c r="W103" s="8" t="s">
        <v>121</v>
      </c>
      <c r="X103" s="8" t="s">
        <v>204</v>
      </c>
      <c r="Y103" s="8" t="s">
        <v>317</v>
      </c>
      <c r="Z103" s="8" t="s">
        <v>119</v>
      </c>
      <c r="AA103" s="13">
        <v>1.0E7</v>
      </c>
      <c r="AB103" s="8" t="s">
        <v>968</v>
      </c>
      <c r="AC103" s="8" t="s">
        <v>969</v>
      </c>
      <c r="AD103" s="8" t="s">
        <v>356</v>
      </c>
      <c r="AE103" s="8" t="s">
        <v>214</v>
      </c>
      <c r="AF103" s="8" t="s">
        <v>293</v>
      </c>
      <c r="AG103" s="8" t="s">
        <v>514</v>
      </c>
      <c r="AH103" s="8"/>
      <c r="AI103" s="8"/>
      <c r="AJ103" s="8"/>
      <c r="AK103" s="8" t="s">
        <v>127</v>
      </c>
      <c r="AL103" s="8" t="s">
        <v>318</v>
      </c>
      <c r="AM103" s="8" t="b">
        <f t="shared" si="154"/>
        <v>1</v>
      </c>
      <c r="AN103" s="8" t="s">
        <v>227</v>
      </c>
      <c r="AO103" s="8">
        <v>2.93024682E8</v>
      </c>
      <c r="AP103" s="8">
        <v>2.40451287E8</v>
      </c>
      <c r="AQ103" s="8" t="s">
        <v>347</v>
      </c>
      <c r="AR103" s="8" t="s">
        <v>348</v>
      </c>
      <c r="AS103" s="8" t="s">
        <v>348</v>
      </c>
      <c r="AT103" s="10"/>
      <c r="AU103" s="8" t="b">
        <f t="shared" si="149"/>
        <v>0</v>
      </c>
      <c r="AV103" s="10"/>
      <c r="AW103" s="8" t="s">
        <v>233</v>
      </c>
      <c r="AX103" s="8">
        <v>0.0</v>
      </c>
      <c r="AY103" s="8" t="b">
        <f t="shared" si="162"/>
        <v>0</v>
      </c>
      <c r="AZ103" s="8" t="b">
        <f t="shared" ref="AZ103:BC103" si="163">FALSE()</f>
        <v>0</v>
      </c>
      <c r="BA103" s="8" t="b">
        <f t="shared" si="163"/>
        <v>0</v>
      </c>
      <c r="BB103" s="8" t="b">
        <f t="shared" si="163"/>
        <v>0</v>
      </c>
      <c r="BC103" s="8" t="b">
        <f t="shared" si="163"/>
        <v>0</v>
      </c>
      <c r="BD103" s="10" t="s">
        <v>972</v>
      </c>
    </row>
    <row r="104" ht="15.0" customHeight="1">
      <c r="A104" s="8" t="s">
        <v>922</v>
      </c>
      <c r="B104" s="8" t="s">
        <v>923</v>
      </c>
      <c r="C104" s="8" t="s">
        <v>924</v>
      </c>
      <c r="D104" s="8" t="b">
        <f t="shared" si="139"/>
        <v>0</v>
      </c>
      <c r="E104" s="10"/>
      <c r="F104" s="9"/>
      <c r="G104" s="9"/>
      <c r="H104" s="8">
        <v>0.0</v>
      </c>
      <c r="I104" s="8" t="s">
        <v>167</v>
      </c>
      <c r="J104" s="9">
        <v>46195.0</v>
      </c>
      <c r="K104" s="8" t="s">
        <v>167</v>
      </c>
      <c r="L104" s="8" t="b">
        <f t="shared" si="32"/>
        <v>1</v>
      </c>
      <c r="M104" s="9">
        <v>46195.0</v>
      </c>
      <c r="N104" s="8" t="b">
        <f t="shared" si="48"/>
        <v>0</v>
      </c>
      <c r="O104" s="9"/>
      <c r="P104" s="8" t="b">
        <f t="shared" si="16"/>
        <v>0</v>
      </c>
      <c r="Q104" s="9"/>
      <c r="R104" s="8" t="b">
        <f t="shared" si="28"/>
        <v>0</v>
      </c>
      <c r="S104" s="9"/>
      <c r="T104" s="8">
        <v>4.0</v>
      </c>
      <c r="U104" s="9">
        <v>46174.0</v>
      </c>
      <c r="V104" s="9">
        <v>46216.0</v>
      </c>
      <c r="W104" s="8" t="s">
        <v>121</v>
      </c>
      <c r="X104" s="8" t="s">
        <v>204</v>
      </c>
      <c r="Y104" s="8" t="s">
        <v>317</v>
      </c>
      <c r="Z104" s="8" t="s">
        <v>281</v>
      </c>
      <c r="AA104" s="13"/>
      <c r="AB104" s="8"/>
      <c r="AC104" s="8"/>
      <c r="AD104" s="8"/>
      <c r="AE104" s="8" t="s">
        <v>367</v>
      </c>
      <c r="AF104" s="8" t="s">
        <v>185</v>
      </c>
      <c r="AG104" s="8" t="s">
        <v>471</v>
      </c>
      <c r="AH104" s="8"/>
      <c r="AI104" s="8"/>
      <c r="AJ104" s="8"/>
      <c r="AK104" s="8" t="s">
        <v>127</v>
      </c>
      <c r="AL104" s="8" t="s">
        <v>318</v>
      </c>
      <c r="AM104" s="8" t="b">
        <f t="shared" si="154"/>
        <v>1</v>
      </c>
      <c r="AN104" s="8" t="s">
        <v>227</v>
      </c>
      <c r="AO104" s="8">
        <v>3.11825082E8</v>
      </c>
      <c r="AP104" s="8">
        <v>2.42318175E8</v>
      </c>
      <c r="AQ104" s="8" t="s">
        <v>974</v>
      </c>
      <c r="AR104" s="8" t="s">
        <v>974</v>
      </c>
      <c r="AS104" s="8" t="s">
        <v>887</v>
      </c>
      <c r="AT104" s="10"/>
      <c r="AU104" s="8" t="b">
        <f t="shared" si="149"/>
        <v>0</v>
      </c>
      <c r="AV104" s="10"/>
      <c r="AW104" s="8" t="s">
        <v>233</v>
      </c>
      <c r="AX104" s="8">
        <v>2.0</v>
      </c>
      <c r="AY104" s="8" t="b">
        <f t="shared" si="162"/>
        <v>0</v>
      </c>
      <c r="AZ104" s="8" t="b">
        <f t="shared" ref="AZ104:AZ105" si="164">TRUE()</f>
        <v>1</v>
      </c>
      <c r="BA104" s="8" t="b">
        <f t="shared" ref="BA104:BA105" si="165">FALSE()</f>
        <v>0</v>
      </c>
      <c r="BB104" s="8" t="b">
        <f t="shared" ref="BB104:BB105" si="166">TRUE()</f>
        <v>1</v>
      </c>
      <c r="BC104" s="8" t="b">
        <f t="shared" ref="BC104:BC105" si="167">FALSE()</f>
        <v>0</v>
      </c>
      <c r="BD104" s="10" t="s">
        <v>976</v>
      </c>
    </row>
    <row r="105" ht="15.0" customHeight="1">
      <c r="A105" s="8" t="s">
        <v>925</v>
      </c>
      <c r="B105" s="8" t="s">
        <v>926</v>
      </c>
      <c r="C105" s="8" t="s">
        <v>932</v>
      </c>
      <c r="D105" s="8" t="b">
        <f t="shared" si="139"/>
        <v>0</v>
      </c>
      <c r="E105" s="10"/>
      <c r="F105" s="9"/>
      <c r="G105" s="9"/>
      <c r="H105" s="8">
        <v>0.0</v>
      </c>
      <c r="I105" s="8" t="s">
        <v>167</v>
      </c>
      <c r="J105" s="9">
        <v>46168.0</v>
      </c>
      <c r="K105" s="8" t="s">
        <v>167</v>
      </c>
      <c r="L105" s="8" t="b">
        <f t="shared" si="32"/>
        <v>1</v>
      </c>
      <c r="M105" s="9">
        <v>46168.0</v>
      </c>
      <c r="N105" s="8" t="b">
        <f t="shared" si="48"/>
        <v>0</v>
      </c>
      <c r="O105" s="9"/>
      <c r="P105" s="8" t="b">
        <f t="shared" si="16"/>
        <v>0</v>
      </c>
      <c r="Q105" s="9"/>
      <c r="R105" s="8" t="b">
        <f t="shared" si="28"/>
        <v>0</v>
      </c>
      <c r="S105" s="9"/>
      <c r="T105" s="8">
        <v>3.0</v>
      </c>
      <c r="U105" s="9">
        <v>46168.0</v>
      </c>
      <c r="V105" s="9">
        <v>46181.0</v>
      </c>
      <c r="W105" s="8" t="s">
        <v>83</v>
      </c>
      <c r="X105" s="8" t="s">
        <v>204</v>
      </c>
      <c r="Y105" s="8" t="s">
        <v>205</v>
      </c>
      <c r="Z105" s="8" t="s">
        <v>281</v>
      </c>
      <c r="AA105" s="13"/>
      <c r="AB105" s="8"/>
      <c r="AC105" s="8"/>
      <c r="AD105" s="8"/>
      <c r="AE105" s="8" t="s">
        <v>367</v>
      </c>
      <c r="AF105" s="8" t="s">
        <v>293</v>
      </c>
      <c r="AG105" s="8"/>
      <c r="AH105" s="8"/>
      <c r="AI105" s="8"/>
      <c r="AJ105" s="8"/>
      <c r="AK105" s="8" t="s">
        <v>127</v>
      </c>
      <c r="AL105" s="8" t="s">
        <v>318</v>
      </c>
      <c r="AM105" s="8" t="b">
        <f t="shared" si="154"/>
        <v>1</v>
      </c>
      <c r="AN105" s="8" t="s">
        <v>227</v>
      </c>
      <c r="AO105" s="8">
        <v>3.12145165E8</v>
      </c>
      <c r="AP105" s="8">
        <v>2.41468428E8</v>
      </c>
      <c r="AQ105" s="8" t="s">
        <v>977</v>
      </c>
      <c r="AR105" s="8" t="s">
        <v>977</v>
      </c>
      <c r="AS105" s="8" t="s">
        <v>977</v>
      </c>
      <c r="AT105" s="10"/>
      <c r="AU105" s="8" t="b">
        <f t="shared" si="149"/>
        <v>0</v>
      </c>
      <c r="AV105" s="10"/>
      <c r="AW105" s="8" t="s">
        <v>233</v>
      </c>
      <c r="AX105" s="8">
        <v>2.0</v>
      </c>
      <c r="AY105" s="8" t="b">
        <f t="shared" si="162"/>
        <v>0</v>
      </c>
      <c r="AZ105" s="8" t="b">
        <f t="shared" si="164"/>
        <v>1</v>
      </c>
      <c r="BA105" s="8" t="b">
        <f t="shared" si="165"/>
        <v>0</v>
      </c>
      <c r="BB105" s="8" t="b">
        <f t="shared" si="166"/>
        <v>1</v>
      </c>
      <c r="BC105" s="8" t="b">
        <f t="shared" si="167"/>
        <v>0</v>
      </c>
      <c r="BD105" s="10"/>
    </row>
    <row r="106" ht="15.0" customHeight="1">
      <c r="A106" s="8" t="s">
        <v>778</v>
      </c>
      <c r="B106" s="8" t="s">
        <v>779</v>
      </c>
      <c r="C106" s="8"/>
      <c r="D106" s="8" t="b">
        <f t="shared" si="139"/>
        <v>0</v>
      </c>
      <c r="E106" s="10"/>
      <c r="F106" s="9"/>
      <c r="G106" s="9"/>
      <c r="H106" s="8">
        <v>0.0</v>
      </c>
      <c r="I106" s="8" t="s">
        <v>167</v>
      </c>
      <c r="J106" s="9">
        <v>46223.0</v>
      </c>
      <c r="K106" s="8" t="s">
        <v>167</v>
      </c>
      <c r="L106" s="8" t="b">
        <f t="shared" si="32"/>
        <v>1</v>
      </c>
      <c r="M106" s="9">
        <v>46223.0</v>
      </c>
      <c r="N106" s="8" t="b">
        <f t="shared" si="48"/>
        <v>0</v>
      </c>
      <c r="O106" s="9"/>
      <c r="P106" s="8" t="b">
        <f t="shared" si="16"/>
        <v>0</v>
      </c>
      <c r="Q106" s="9"/>
      <c r="R106" s="8" t="b">
        <f t="shared" si="28"/>
        <v>0</v>
      </c>
      <c r="S106" s="9"/>
      <c r="T106" s="8">
        <v>7.0</v>
      </c>
      <c r="U106" s="9">
        <v>46223.0</v>
      </c>
      <c r="V106" s="9">
        <v>46265.0</v>
      </c>
      <c r="W106" s="8" t="s">
        <v>121</v>
      </c>
      <c r="X106" s="8" t="s">
        <v>266</v>
      </c>
      <c r="Y106" s="8" t="s">
        <v>317</v>
      </c>
      <c r="Z106" s="8"/>
      <c r="AA106" s="13"/>
      <c r="AB106" s="8"/>
      <c r="AC106" s="8"/>
      <c r="AD106" s="8"/>
      <c r="AE106" s="8" t="s">
        <v>367</v>
      </c>
      <c r="AF106" s="8"/>
      <c r="AG106" s="8"/>
      <c r="AH106" s="8"/>
      <c r="AI106" s="8"/>
      <c r="AJ106" s="8"/>
      <c r="AK106" s="8"/>
      <c r="AL106" s="8"/>
      <c r="AM106" s="8" t="b">
        <f t="shared" ref="AM106:AM107" si="169">FALSE()</f>
        <v>0</v>
      </c>
      <c r="AN106" s="8"/>
      <c r="AO106" s="8"/>
      <c r="AP106" s="8"/>
      <c r="AQ106" s="8"/>
      <c r="AR106" s="8"/>
      <c r="AS106" s="8"/>
      <c r="AT106" s="10"/>
      <c r="AU106" s="8" t="b">
        <f t="shared" si="149"/>
        <v>0</v>
      </c>
      <c r="AV106" s="10"/>
      <c r="AW106" s="8" t="s">
        <v>554</v>
      </c>
      <c r="AX106" s="8">
        <v>5.0</v>
      </c>
      <c r="AY106" s="8" t="b">
        <f t="shared" ref="AY106:BC106" si="168">TRUE()</f>
        <v>1</v>
      </c>
      <c r="AZ106" s="8" t="b">
        <f t="shared" si="168"/>
        <v>1</v>
      </c>
      <c r="BA106" s="8" t="b">
        <f t="shared" si="168"/>
        <v>1</v>
      </c>
      <c r="BB106" s="8" t="b">
        <f t="shared" si="168"/>
        <v>1</v>
      </c>
      <c r="BC106" s="8" t="b">
        <f t="shared" si="168"/>
        <v>1</v>
      </c>
      <c r="BD106" s="10"/>
    </row>
    <row r="107" ht="124.5" customHeight="1">
      <c r="A107" s="8" t="s">
        <v>782</v>
      </c>
      <c r="B107" s="8" t="s">
        <v>518</v>
      </c>
      <c r="C107" s="28" t="s">
        <v>985</v>
      </c>
      <c r="D107" s="8" t="b">
        <f t="shared" si="139"/>
        <v>0</v>
      </c>
      <c r="E107" s="10"/>
      <c r="F107" s="9"/>
      <c r="G107" s="9"/>
      <c r="H107" s="8">
        <v>0.0</v>
      </c>
      <c r="I107" s="8" t="s">
        <v>167</v>
      </c>
      <c r="J107" s="9">
        <v>45950.0</v>
      </c>
      <c r="K107" s="8" t="s">
        <v>167</v>
      </c>
      <c r="L107" s="8" t="b">
        <f t="shared" si="32"/>
        <v>1</v>
      </c>
      <c r="M107" s="9">
        <v>45950.0</v>
      </c>
      <c r="N107" s="8" t="b">
        <f t="shared" si="48"/>
        <v>0</v>
      </c>
      <c r="O107" s="9"/>
      <c r="P107" s="8" t="b">
        <f t="shared" si="16"/>
        <v>0</v>
      </c>
      <c r="Q107" s="9"/>
      <c r="R107" s="8" t="b">
        <f t="shared" si="28"/>
        <v>0</v>
      </c>
      <c r="S107" s="9"/>
      <c r="T107" s="8">
        <v>1.0</v>
      </c>
      <c r="U107" s="9">
        <v>45950.0</v>
      </c>
      <c r="V107" s="9">
        <v>45950.0</v>
      </c>
      <c r="W107" s="8" t="s">
        <v>83</v>
      </c>
      <c r="X107" s="8" t="s">
        <v>266</v>
      </c>
      <c r="Y107" s="8" t="s">
        <v>205</v>
      </c>
      <c r="Z107" s="8"/>
      <c r="AA107" s="13"/>
      <c r="AB107" s="8"/>
      <c r="AC107" s="8"/>
      <c r="AD107" s="8"/>
      <c r="AE107" s="8" t="s">
        <v>367</v>
      </c>
      <c r="AF107" s="8"/>
      <c r="AG107" s="8"/>
      <c r="AH107" s="8"/>
      <c r="AI107" s="8"/>
      <c r="AJ107" s="8"/>
      <c r="AK107" s="8"/>
      <c r="AL107" s="8"/>
      <c r="AM107" s="8" t="b">
        <f t="shared" si="169"/>
        <v>0</v>
      </c>
      <c r="AN107" s="8"/>
      <c r="AO107" s="8"/>
      <c r="AP107" s="8"/>
      <c r="AQ107" s="8"/>
      <c r="AR107" s="8"/>
      <c r="AS107" s="8"/>
      <c r="AT107" s="10"/>
      <c r="AU107" s="8" t="b">
        <f t="shared" si="149"/>
        <v>0</v>
      </c>
      <c r="AV107" s="10"/>
      <c r="AW107" s="8" t="s">
        <v>554</v>
      </c>
      <c r="AX107" s="8">
        <v>5.0</v>
      </c>
      <c r="AY107" s="8" t="b">
        <f t="shared" ref="AY107:BC107" si="170">TRUE()</f>
        <v>1</v>
      </c>
      <c r="AZ107" s="8" t="b">
        <f t="shared" si="170"/>
        <v>1</v>
      </c>
      <c r="BA107" s="8" t="b">
        <f t="shared" si="170"/>
        <v>1</v>
      </c>
      <c r="BB107" s="8" t="b">
        <f t="shared" si="170"/>
        <v>1</v>
      </c>
      <c r="BC107" s="8" t="b">
        <f t="shared" si="170"/>
        <v>1</v>
      </c>
      <c r="BD107" s="10"/>
    </row>
    <row r="108" ht="15.0" customHeight="1">
      <c r="A108" s="8" t="s">
        <v>992</v>
      </c>
      <c r="B108" s="8" t="s">
        <v>759</v>
      </c>
      <c r="C108" s="8" t="s">
        <v>993</v>
      </c>
      <c r="D108" s="8" t="b">
        <f t="shared" si="139"/>
        <v>0</v>
      </c>
      <c r="E108" s="10"/>
      <c r="F108" s="9"/>
      <c r="G108" s="9"/>
      <c r="H108" s="8">
        <v>0.0</v>
      </c>
      <c r="I108" s="8" t="s">
        <v>167</v>
      </c>
      <c r="J108" s="9">
        <v>46070.0</v>
      </c>
      <c r="K108" s="8" t="s">
        <v>167</v>
      </c>
      <c r="L108" s="8" t="b">
        <f t="shared" si="32"/>
        <v>1</v>
      </c>
      <c r="M108" s="9">
        <v>46070.0</v>
      </c>
      <c r="N108" s="8" t="b">
        <f t="shared" si="48"/>
        <v>0</v>
      </c>
      <c r="O108" s="9"/>
      <c r="P108" s="8" t="b">
        <f t="shared" si="16"/>
        <v>0</v>
      </c>
      <c r="Q108" s="9"/>
      <c r="R108" s="8" t="b">
        <f t="shared" si="28"/>
        <v>0</v>
      </c>
      <c r="S108" s="9"/>
      <c r="T108" s="8">
        <v>3.0</v>
      </c>
      <c r="U108" s="9">
        <v>46062.0</v>
      </c>
      <c r="V108" s="9">
        <v>46076.0</v>
      </c>
      <c r="W108" s="8" t="s">
        <v>261</v>
      </c>
      <c r="X108" s="8" t="s">
        <v>204</v>
      </c>
      <c r="Y108" s="8" t="s">
        <v>205</v>
      </c>
      <c r="Z108" s="8" t="s">
        <v>119</v>
      </c>
      <c r="AA108" s="13">
        <v>2000000.0</v>
      </c>
      <c r="AB108" s="8" t="s">
        <v>292</v>
      </c>
      <c r="AC108" s="8" t="s">
        <v>70</v>
      </c>
      <c r="AD108" s="8" t="s">
        <v>71</v>
      </c>
      <c r="AE108" s="8" t="s">
        <v>214</v>
      </c>
      <c r="AF108" s="8" t="s">
        <v>167</v>
      </c>
      <c r="AG108" s="8" t="s">
        <v>405</v>
      </c>
      <c r="AH108" s="8"/>
      <c r="AI108" s="8"/>
      <c r="AJ108" s="8"/>
      <c r="AK108" s="8" t="s">
        <v>127</v>
      </c>
      <c r="AL108" s="8" t="s">
        <v>318</v>
      </c>
      <c r="AM108" s="8" t="b">
        <f t="shared" ref="AM108:AM109" si="172">TRUE()</f>
        <v>1</v>
      </c>
      <c r="AN108" s="8" t="s">
        <v>227</v>
      </c>
      <c r="AO108" s="8">
        <v>3.07484095E8</v>
      </c>
      <c r="AP108" s="8">
        <v>2.33310195E8</v>
      </c>
      <c r="AQ108" s="8" t="s">
        <v>412</v>
      </c>
      <c r="AR108" s="8" t="s">
        <v>412</v>
      </c>
      <c r="AS108" s="8" t="s">
        <v>412</v>
      </c>
      <c r="AT108" s="10"/>
      <c r="AU108" s="8" t="b">
        <f t="shared" si="149"/>
        <v>0</v>
      </c>
      <c r="AV108" s="10"/>
      <c r="AW108" s="8" t="s">
        <v>233</v>
      </c>
      <c r="AX108" s="8">
        <v>0.0</v>
      </c>
      <c r="AY108" s="8" t="b">
        <f t="shared" ref="AY108:BC108" si="171">FALSE()</f>
        <v>0</v>
      </c>
      <c r="AZ108" s="8" t="b">
        <f t="shared" si="171"/>
        <v>0</v>
      </c>
      <c r="BA108" s="8" t="b">
        <f t="shared" si="171"/>
        <v>0</v>
      </c>
      <c r="BB108" s="8" t="b">
        <f t="shared" si="171"/>
        <v>0</v>
      </c>
      <c r="BC108" s="8" t="b">
        <f t="shared" si="171"/>
        <v>0</v>
      </c>
      <c r="BD108" s="10" t="s">
        <v>998</v>
      </c>
    </row>
    <row r="109" ht="15.0" customHeight="1">
      <c r="A109" s="8" t="s">
        <v>933</v>
      </c>
      <c r="B109" s="8" t="s">
        <v>546</v>
      </c>
      <c r="C109" s="8"/>
      <c r="D109" s="8" t="b">
        <f t="shared" si="139"/>
        <v>0</v>
      </c>
      <c r="E109" s="10"/>
      <c r="F109" s="9"/>
      <c r="G109" s="9"/>
      <c r="H109" s="8">
        <v>0.0</v>
      </c>
      <c r="I109" s="8" t="s">
        <v>167</v>
      </c>
      <c r="J109" s="9">
        <v>45964.0</v>
      </c>
      <c r="K109" s="8" t="s">
        <v>167</v>
      </c>
      <c r="L109" s="8" t="b">
        <f t="shared" si="32"/>
        <v>1</v>
      </c>
      <c r="M109" s="9">
        <v>45964.0</v>
      </c>
      <c r="N109" s="8" t="b">
        <f t="shared" si="48"/>
        <v>0</v>
      </c>
      <c r="O109" s="9"/>
      <c r="P109" s="8" t="b">
        <f t="shared" si="16"/>
        <v>0</v>
      </c>
      <c r="Q109" s="9"/>
      <c r="R109" s="8" t="b">
        <f t="shared" si="28"/>
        <v>0</v>
      </c>
      <c r="S109" s="9"/>
      <c r="T109" s="8">
        <v>2.0</v>
      </c>
      <c r="U109" s="9">
        <v>45964.0</v>
      </c>
      <c r="V109" s="9">
        <v>45971.0</v>
      </c>
      <c r="W109" s="8" t="s">
        <v>83</v>
      </c>
      <c r="X109" s="8" t="s">
        <v>204</v>
      </c>
      <c r="Y109" s="8" t="s">
        <v>205</v>
      </c>
      <c r="Z109" s="8" t="s">
        <v>281</v>
      </c>
      <c r="AA109" s="13">
        <v>3000000.0</v>
      </c>
      <c r="AB109" s="8"/>
      <c r="AC109" s="8"/>
      <c r="AD109" s="8"/>
      <c r="AE109" s="8" t="s">
        <v>367</v>
      </c>
      <c r="AF109" s="8" t="s">
        <v>167</v>
      </c>
      <c r="AG109" s="8" t="s">
        <v>405</v>
      </c>
      <c r="AH109" s="8"/>
      <c r="AI109" s="8"/>
      <c r="AJ109" s="8"/>
      <c r="AK109" s="8" t="s">
        <v>127</v>
      </c>
      <c r="AL109" s="8" t="s">
        <v>318</v>
      </c>
      <c r="AM109" s="8" t="b">
        <f t="shared" si="172"/>
        <v>1</v>
      </c>
      <c r="AN109" s="8" t="s">
        <v>227</v>
      </c>
      <c r="AO109" s="8">
        <v>3.08568441E8</v>
      </c>
      <c r="AP109" s="8">
        <v>2.24510782E8</v>
      </c>
      <c r="AQ109" s="8" t="s">
        <v>1003</v>
      </c>
      <c r="AR109" s="8"/>
      <c r="AS109" s="8"/>
      <c r="AT109" s="10"/>
      <c r="AU109" s="8" t="b">
        <f t="shared" si="149"/>
        <v>0</v>
      </c>
      <c r="AV109" s="10"/>
      <c r="AW109" s="8" t="s">
        <v>233</v>
      </c>
      <c r="AX109" s="8">
        <v>2.0</v>
      </c>
      <c r="AY109" s="8" t="b">
        <f t="shared" ref="AY109:AZ109" si="173">TRUE()</f>
        <v>1</v>
      </c>
      <c r="AZ109" s="8" t="b">
        <f t="shared" si="173"/>
        <v>1</v>
      </c>
      <c r="BA109" s="8" t="b">
        <f t="shared" ref="BA109:BC109" si="174">FALSE()</f>
        <v>0</v>
      </c>
      <c r="BB109" s="8" t="b">
        <f t="shared" si="174"/>
        <v>0</v>
      </c>
      <c r="BC109" s="8" t="b">
        <f t="shared" si="174"/>
        <v>0</v>
      </c>
      <c r="BD109" s="10"/>
    </row>
    <row r="110" ht="15.0" customHeight="1">
      <c r="A110" s="8" t="s">
        <v>784</v>
      </c>
      <c r="B110" s="8" t="s">
        <v>760</v>
      </c>
      <c r="C110" s="8"/>
      <c r="D110" s="8" t="b">
        <f t="shared" si="139"/>
        <v>0</v>
      </c>
      <c r="E110" s="10"/>
      <c r="F110" s="9"/>
      <c r="G110" s="9"/>
      <c r="H110" s="8">
        <v>0.0</v>
      </c>
      <c r="I110" s="8" t="s">
        <v>167</v>
      </c>
      <c r="J110" s="9">
        <v>46070.0</v>
      </c>
      <c r="K110" s="8" t="s">
        <v>377</v>
      </c>
      <c r="L110" s="8" t="b">
        <f t="shared" si="32"/>
        <v>1</v>
      </c>
      <c r="M110" s="9">
        <v>46070.0</v>
      </c>
      <c r="N110" s="8" t="b">
        <f t="shared" si="48"/>
        <v>0</v>
      </c>
      <c r="O110" s="9"/>
      <c r="P110" s="8" t="b">
        <f t="shared" si="16"/>
        <v>0</v>
      </c>
      <c r="Q110" s="9"/>
      <c r="R110" s="8" t="b">
        <f t="shared" si="28"/>
        <v>0</v>
      </c>
      <c r="S110" s="9"/>
      <c r="T110" s="8">
        <v>2.0</v>
      </c>
      <c r="U110" s="9">
        <v>46062.0</v>
      </c>
      <c r="V110" s="9">
        <v>46070.0</v>
      </c>
      <c r="W110" s="8" t="s">
        <v>121</v>
      </c>
      <c r="X110" s="8" t="s">
        <v>266</v>
      </c>
      <c r="Y110" s="8" t="s">
        <v>317</v>
      </c>
      <c r="Z110" s="8"/>
      <c r="AA110" s="13"/>
      <c r="AB110" s="8"/>
      <c r="AC110" s="8"/>
      <c r="AD110" s="8"/>
      <c r="AE110" s="8" t="s">
        <v>367</v>
      </c>
      <c r="AF110" s="8"/>
      <c r="AG110" s="8"/>
      <c r="AH110" s="8"/>
      <c r="AI110" s="8"/>
      <c r="AJ110" s="8"/>
      <c r="AK110" s="8"/>
      <c r="AL110" s="8"/>
      <c r="AM110" s="8" t="b">
        <f>FALSE()</f>
        <v>0</v>
      </c>
      <c r="AN110" s="8"/>
      <c r="AO110" s="8"/>
      <c r="AP110" s="8"/>
      <c r="AQ110" s="8"/>
      <c r="AR110" s="8"/>
      <c r="AS110" s="8"/>
      <c r="AT110" s="10"/>
      <c r="AU110" s="8" t="b">
        <f t="shared" si="149"/>
        <v>0</v>
      </c>
      <c r="AV110" s="10"/>
      <c r="AW110" s="8" t="s">
        <v>554</v>
      </c>
      <c r="AX110" s="8">
        <v>5.0</v>
      </c>
      <c r="AY110" s="8" t="b">
        <f t="shared" ref="AY110:BC110" si="175">TRUE()</f>
        <v>1</v>
      </c>
      <c r="AZ110" s="8" t="b">
        <f t="shared" si="175"/>
        <v>1</v>
      </c>
      <c r="BA110" s="8" t="b">
        <f t="shared" si="175"/>
        <v>1</v>
      </c>
      <c r="BB110" s="8" t="b">
        <f t="shared" si="175"/>
        <v>1</v>
      </c>
      <c r="BC110" s="8" t="b">
        <f t="shared" si="175"/>
        <v>1</v>
      </c>
      <c r="BD110" s="10"/>
    </row>
    <row r="111" ht="15.0" customHeight="1">
      <c r="A111" s="8" t="s">
        <v>936</v>
      </c>
      <c r="B111" s="8" t="s">
        <v>636</v>
      </c>
      <c r="C111" s="8" t="s">
        <v>939</v>
      </c>
      <c r="D111" s="8" t="b">
        <f t="shared" si="139"/>
        <v>0</v>
      </c>
      <c r="E111" s="10"/>
      <c r="F111" s="9"/>
      <c r="G111" s="9"/>
      <c r="H111" s="8">
        <v>0.0</v>
      </c>
      <c r="I111" s="8" t="s">
        <v>167</v>
      </c>
      <c r="J111" s="9">
        <v>46034.0</v>
      </c>
      <c r="K111" s="8" t="s">
        <v>167</v>
      </c>
      <c r="L111" s="8" t="b">
        <f t="shared" si="32"/>
        <v>1</v>
      </c>
      <c r="M111" s="9">
        <v>46034.0</v>
      </c>
      <c r="N111" s="8" t="b">
        <f t="shared" si="48"/>
        <v>0</v>
      </c>
      <c r="O111" s="9"/>
      <c r="P111" s="8" t="b">
        <f t="shared" si="16"/>
        <v>0</v>
      </c>
      <c r="Q111" s="9"/>
      <c r="R111" s="8" t="b">
        <f t="shared" si="28"/>
        <v>0</v>
      </c>
      <c r="S111" s="9"/>
      <c r="T111" s="8">
        <v>4.0</v>
      </c>
      <c r="U111" s="9">
        <v>46027.0</v>
      </c>
      <c r="V111" s="9">
        <v>46048.0</v>
      </c>
      <c r="W111" s="8" t="s">
        <v>83</v>
      </c>
      <c r="X111" s="8" t="s">
        <v>204</v>
      </c>
      <c r="Y111" s="8" t="s">
        <v>205</v>
      </c>
      <c r="Z111" s="8" t="s">
        <v>281</v>
      </c>
      <c r="AA111" s="13">
        <v>5000000.0</v>
      </c>
      <c r="AB111" s="8"/>
      <c r="AC111" s="8"/>
      <c r="AD111" s="8"/>
      <c r="AE111" s="8" t="s">
        <v>367</v>
      </c>
      <c r="AF111" s="8" t="s">
        <v>185</v>
      </c>
      <c r="AG111" s="8" t="s">
        <v>471</v>
      </c>
      <c r="AH111" s="8"/>
      <c r="AI111" s="8"/>
      <c r="AJ111" s="8"/>
      <c r="AK111" s="8" t="s">
        <v>127</v>
      </c>
      <c r="AL111" s="8" t="s">
        <v>318</v>
      </c>
      <c r="AM111" s="8" t="b">
        <f t="shared" ref="AM111:AM114" si="177">TRUE()</f>
        <v>1</v>
      </c>
      <c r="AN111" s="8" t="s">
        <v>227</v>
      </c>
      <c r="AO111" s="8">
        <v>3.09928886E8</v>
      </c>
      <c r="AP111" s="8">
        <v>2.30014949E8</v>
      </c>
      <c r="AQ111" s="8" t="s">
        <v>510</v>
      </c>
      <c r="AR111" s="8"/>
      <c r="AS111" s="8"/>
      <c r="AT111" s="10"/>
      <c r="AU111" s="8" t="b">
        <f t="shared" si="149"/>
        <v>0</v>
      </c>
      <c r="AV111" s="10"/>
      <c r="AW111" s="8" t="s">
        <v>233</v>
      </c>
      <c r="AX111" s="8">
        <v>1.0</v>
      </c>
      <c r="AY111" s="8" t="b">
        <f>FALSE()</f>
        <v>0</v>
      </c>
      <c r="AZ111" s="8" t="b">
        <f>TRUE()</f>
        <v>1</v>
      </c>
      <c r="BA111" s="8" t="b">
        <f t="shared" ref="BA111:BC111" si="176">FALSE()</f>
        <v>0</v>
      </c>
      <c r="BB111" s="8" t="b">
        <f t="shared" si="176"/>
        <v>0</v>
      </c>
      <c r="BC111" s="8" t="b">
        <f t="shared" si="176"/>
        <v>0</v>
      </c>
      <c r="BD111" s="10" t="s">
        <v>1005</v>
      </c>
    </row>
    <row r="112" ht="15.0" customHeight="1">
      <c r="A112" s="8" t="s">
        <v>941</v>
      </c>
      <c r="B112" s="8" t="s">
        <v>618</v>
      </c>
      <c r="C112" s="8"/>
      <c r="D112" s="8" t="b">
        <f t="shared" si="139"/>
        <v>0</v>
      </c>
      <c r="E112" s="10"/>
      <c r="F112" s="9"/>
      <c r="G112" s="9"/>
      <c r="H112" s="8">
        <v>0.0</v>
      </c>
      <c r="I112" s="8" t="s">
        <v>167</v>
      </c>
      <c r="J112" s="9">
        <v>45999.0</v>
      </c>
      <c r="K112" s="8" t="s">
        <v>167</v>
      </c>
      <c r="L112" s="8" t="b">
        <f t="shared" si="32"/>
        <v>1</v>
      </c>
      <c r="M112" s="9">
        <v>45999.0</v>
      </c>
      <c r="N112" s="8" t="b">
        <f t="shared" si="48"/>
        <v>0</v>
      </c>
      <c r="O112" s="9"/>
      <c r="P112" s="8" t="b">
        <f t="shared" si="16"/>
        <v>0</v>
      </c>
      <c r="Q112" s="9"/>
      <c r="R112" s="8" t="b">
        <f t="shared" si="28"/>
        <v>0</v>
      </c>
      <c r="S112" s="9"/>
      <c r="T112" s="8">
        <v>3.0</v>
      </c>
      <c r="U112" s="9">
        <v>45999.0</v>
      </c>
      <c r="V112" s="9">
        <v>46027.0</v>
      </c>
      <c r="W112" s="8" t="s">
        <v>121</v>
      </c>
      <c r="X112" s="8" t="s">
        <v>204</v>
      </c>
      <c r="Y112" s="8" t="s">
        <v>317</v>
      </c>
      <c r="Z112" s="8" t="s">
        <v>56</v>
      </c>
      <c r="AA112" s="13">
        <v>2.5E7</v>
      </c>
      <c r="AB112" s="8"/>
      <c r="AC112" s="8"/>
      <c r="AD112" s="8"/>
      <c r="AE112" s="8" t="s">
        <v>367</v>
      </c>
      <c r="AF112" s="8" t="s">
        <v>185</v>
      </c>
      <c r="AG112" s="8" t="s">
        <v>471</v>
      </c>
      <c r="AH112" s="8"/>
      <c r="AI112" s="8"/>
      <c r="AJ112" s="8"/>
      <c r="AK112" s="8" t="s">
        <v>154</v>
      </c>
      <c r="AL112" s="8" t="s">
        <v>337</v>
      </c>
      <c r="AM112" s="8" t="b">
        <f t="shared" si="177"/>
        <v>1</v>
      </c>
      <c r="AN112" s="8" t="s">
        <v>227</v>
      </c>
      <c r="AO112" s="8">
        <v>3.09022335E8</v>
      </c>
      <c r="AP112" s="8">
        <v>2.27046482E8</v>
      </c>
      <c r="AQ112" s="8" t="s">
        <v>1006</v>
      </c>
      <c r="AR112" s="8"/>
      <c r="AS112" s="8"/>
      <c r="AT112" s="10"/>
      <c r="AU112" s="8" t="b">
        <f t="shared" si="149"/>
        <v>0</v>
      </c>
      <c r="AV112" s="10"/>
      <c r="AW112" s="8" t="s">
        <v>233</v>
      </c>
      <c r="AX112" s="8">
        <v>2.0</v>
      </c>
      <c r="AY112" s="8" t="b">
        <f t="shared" ref="AY112:AZ112" si="178">TRUE()</f>
        <v>1</v>
      </c>
      <c r="AZ112" s="8" t="b">
        <f t="shared" si="178"/>
        <v>1</v>
      </c>
      <c r="BA112" s="8" t="b">
        <f t="shared" ref="BA112:BC112" si="179">FALSE()</f>
        <v>0</v>
      </c>
      <c r="BB112" s="8" t="b">
        <f t="shared" si="179"/>
        <v>0</v>
      </c>
      <c r="BC112" s="8" t="b">
        <f t="shared" si="179"/>
        <v>0</v>
      </c>
      <c r="BD112" s="10"/>
    </row>
    <row r="113" ht="15.0" customHeight="1">
      <c r="A113" s="8" t="s">
        <v>942</v>
      </c>
      <c r="B113" s="8" t="s">
        <v>931</v>
      </c>
      <c r="C113" s="8" t="s">
        <v>947</v>
      </c>
      <c r="D113" s="8" t="b">
        <f t="shared" si="139"/>
        <v>0</v>
      </c>
      <c r="E113" s="10"/>
      <c r="F113" s="9"/>
      <c r="G113" s="9"/>
      <c r="H113" s="8">
        <v>0.0</v>
      </c>
      <c r="I113" s="8" t="s">
        <v>167</v>
      </c>
      <c r="J113" s="9">
        <v>46125.0</v>
      </c>
      <c r="K113" s="8" t="s">
        <v>167</v>
      </c>
      <c r="L113" s="8" t="b">
        <f t="shared" si="32"/>
        <v>1</v>
      </c>
      <c r="M113" s="9">
        <v>46125.0</v>
      </c>
      <c r="N113" s="8" t="b">
        <f t="shared" si="48"/>
        <v>0</v>
      </c>
      <c r="O113" s="9"/>
      <c r="P113" s="8" t="b">
        <f t="shared" si="16"/>
        <v>0</v>
      </c>
      <c r="Q113" s="9"/>
      <c r="R113" s="8" t="b">
        <f t="shared" si="28"/>
        <v>0</v>
      </c>
      <c r="S113" s="9"/>
      <c r="T113" s="8">
        <v>1.0</v>
      </c>
      <c r="U113" s="9">
        <v>46125.0</v>
      </c>
      <c r="V113" s="9">
        <v>46125.0</v>
      </c>
      <c r="W113" s="8" t="s">
        <v>121</v>
      </c>
      <c r="X113" s="8" t="s">
        <v>204</v>
      </c>
      <c r="Y113" s="8" t="s">
        <v>317</v>
      </c>
      <c r="Z113" s="8" t="s">
        <v>119</v>
      </c>
      <c r="AA113" s="13">
        <v>6000000.0</v>
      </c>
      <c r="AB113" s="8"/>
      <c r="AC113" s="8"/>
      <c r="AD113" s="8"/>
      <c r="AE113" s="8" t="s">
        <v>367</v>
      </c>
      <c r="AF113" s="8" t="s">
        <v>293</v>
      </c>
      <c r="AG113" s="8" t="s">
        <v>514</v>
      </c>
      <c r="AH113" s="8"/>
      <c r="AI113" s="8"/>
      <c r="AJ113" s="8"/>
      <c r="AK113" s="8" t="s">
        <v>127</v>
      </c>
      <c r="AL113" s="8" t="s">
        <v>318</v>
      </c>
      <c r="AM113" s="8" t="b">
        <f t="shared" si="177"/>
        <v>1</v>
      </c>
      <c r="AN113" s="8" t="s">
        <v>227</v>
      </c>
      <c r="AO113" s="8">
        <v>2.9000474E8</v>
      </c>
      <c r="AP113" s="8">
        <v>2.37797435E8</v>
      </c>
      <c r="AQ113" s="8" t="s">
        <v>523</v>
      </c>
      <c r="AR113" s="8" t="s">
        <v>523</v>
      </c>
      <c r="AS113" s="8" t="s">
        <v>523</v>
      </c>
      <c r="AT113" s="10"/>
      <c r="AU113" s="8" t="b">
        <f t="shared" si="149"/>
        <v>0</v>
      </c>
      <c r="AV113" s="10"/>
      <c r="AW113" s="8" t="s">
        <v>233</v>
      </c>
      <c r="AX113" s="8">
        <v>1.0</v>
      </c>
      <c r="AY113" s="8" t="b">
        <f t="shared" ref="AY113:AY114" si="181">FALSE()</f>
        <v>0</v>
      </c>
      <c r="AZ113" s="8" t="b">
        <f>TRUE()</f>
        <v>1</v>
      </c>
      <c r="BA113" s="8" t="b">
        <f t="shared" ref="BA113:BC113" si="180">FALSE()</f>
        <v>0</v>
      </c>
      <c r="BB113" s="8" t="b">
        <f t="shared" si="180"/>
        <v>0</v>
      </c>
      <c r="BC113" s="8" t="b">
        <f t="shared" si="180"/>
        <v>0</v>
      </c>
      <c r="BD113" s="10" t="s">
        <v>1008</v>
      </c>
    </row>
    <row r="114" ht="15.0" customHeight="1">
      <c r="A114" s="8" t="s">
        <v>1009</v>
      </c>
      <c r="B114" s="8" t="s">
        <v>715</v>
      </c>
      <c r="C114" s="8" t="s">
        <v>1010</v>
      </c>
      <c r="D114" s="8" t="b">
        <f t="shared" si="139"/>
        <v>0</v>
      </c>
      <c r="E114" s="10"/>
      <c r="F114" s="9"/>
      <c r="G114" s="9"/>
      <c r="H114" s="8">
        <v>0.0</v>
      </c>
      <c r="I114" s="8" t="s">
        <v>167</v>
      </c>
      <c r="J114" s="9">
        <v>46048.0</v>
      </c>
      <c r="K114" s="8" t="s">
        <v>377</v>
      </c>
      <c r="L114" s="8" t="b">
        <f t="shared" si="32"/>
        <v>1</v>
      </c>
      <c r="M114" s="9">
        <v>46048.0</v>
      </c>
      <c r="N114" s="8" t="b">
        <f t="shared" si="48"/>
        <v>0</v>
      </c>
      <c r="O114" s="9"/>
      <c r="P114" s="8" t="b">
        <f t="shared" si="16"/>
        <v>0</v>
      </c>
      <c r="Q114" s="9"/>
      <c r="R114" s="8" t="b">
        <f t="shared" si="28"/>
        <v>0</v>
      </c>
      <c r="S114" s="9"/>
      <c r="T114" s="8">
        <v>2.0</v>
      </c>
      <c r="U114" s="9">
        <v>46048.0</v>
      </c>
      <c r="V114" s="9">
        <v>46055.0</v>
      </c>
      <c r="W114" s="8" t="s">
        <v>1011</v>
      </c>
      <c r="X114" s="8" t="s">
        <v>204</v>
      </c>
      <c r="Y114" s="8" t="s">
        <v>328</v>
      </c>
      <c r="Z114" s="8" t="s">
        <v>119</v>
      </c>
      <c r="AA114" s="13">
        <v>1.0E7</v>
      </c>
      <c r="AB114" s="8" t="s">
        <v>292</v>
      </c>
      <c r="AC114" s="8" t="s">
        <v>70</v>
      </c>
      <c r="AD114" s="8" t="s">
        <v>71</v>
      </c>
      <c r="AE114" s="8" t="s">
        <v>214</v>
      </c>
      <c r="AF114" s="8" t="s">
        <v>185</v>
      </c>
      <c r="AG114" s="8" t="s">
        <v>471</v>
      </c>
      <c r="AH114" s="8"/>
      <c r="AI114" s="8"/>
      <c r="AJ114" s="8"/>
      <c r="AK114" s="8" t="s">
        <v>74</v>
      </c>
      <c r="AL114" s="8" t="s">
        <v>223</v>
      </c>
      <c r="AM114" s="8" t="b">
        <f t="shared" si="177"/>
        <v>1</v>
      </c>
      <c r="AN114" s="8" t="s">
        <v>227</v>
      </c>
      <c r="AO114" s="8">
        <v>2.90005432E8</v>
      </c>
      <c r="AP114" s="8">
        <v>2.3006371E8</v>
      </c>
      <c r="AQ114" s="8" t="s">
        <v>624</v>
      </c>
      <c r="AR114" s="8" t="s">
        <v>624</v>
      </c>
      <c r="AS114" s="8" t="s">
        <v>905</v>
      </c>
      <c r="AT114" s="10"/>
      <c r="AU114" s="8" t="b">
        <f t="shared" si="149"/>
        <v>0</v>
      </c>
      <c r="AV114" s="10"/>
      <c r="AW114" s="8" t="s">
        <v>233</v>
      </c>
      <c r="AX114" s="8">
        <v>0.0</v>
      </c>
      <c r="AY114" s="8" t="b">
        <f t="shared" si="181"/>
        <v>0</v>
      </c>
      <c r="AZ114" s="8" t="b">
        <f t="shared" ref="AZ114:BC114" si="182">FALSE()</f>
        <v>0</v>
      </c>
      <c r="BA114" s="8" t="b">
        <f t="shared" si="182"/>
        <v>0</v>
      </c>
      <c r="BB114" s="8" t="b">
        <f t="shared" si="182"/>
        <v>0</v>
      </c>
      <c r="BC114" s="8" t="b">
        <f t="shared" si="182"/>
        <v>0</v>
      </c>
      <c r="BD114" s="10" t="s">
        <v>1012</v>
      </c>
    </row>
    <row r="115" ht="79.5" customHeight="1">
      <c r="A115" s="8" t="s">
        <v>785</v>
      </c>
      <c r="B115" s="8" t="s">
        <v>582</v>
      </c>
      <c r="C115" s="8"/>
      <c r="D115" s="8" t="b">
        <f t="shared" si="139"/>
        <v>0</v>
      </c>
      <c r="E115" s="10"/>
      <c r="F115" s="9"/>
      <c r="G115" s="9"/>
      <c r="H115" s="8">
        <v>0.0</v>
      </c>
      <c r="I115" s="8" t="s">
        <v>167</v>
      </c>
      <c r="J115" s="9">
        <v>45978.0</v>
      </c>
      <c r="K115" s="8" t="s">
        <v>167</v>
      </c>
      <c r="L115" s="8" t="b">
        <f t="shared" si="32"/>
        <v>1</v>
      </c>
      <c r="M115" s="9">
        <v>45978.0</v>
      </c>
      <c r="N115" s="8" t="b">
        <f t="shared" si="48"/>
        <v>0</v>
      </c>
      <c r="O115" s="9"/>
      <c r="P115" s="8" t="b">
        <f t="shared" si="16"/>
        <v>0</v>
      </c>
      <c r="Q115" s="9"/>
      <c r="R115" s="8" t="b">
        <f t="shared" si="28"/>
        <v>0</v>
      </c>
      <c r="S115" s="9"/>
      <c r="T115" s="8">
        <v>13.0</v>
      </c>
      <c r="U115" s="9">
        <v>45978.0</v>
      </c>
      <c r="V115" s="9">
        <v>46076.0</v>
      </c>
      <c r="W115" s="8" t="s">
        <v>140</v>
      </c>
      <c r="X115" s="8" t="s">
        <v>266</v>
      </c>
      <c r="Y115" s="8" t="s">
        <v>328</v>
      </c>
      <c r="Z115" s="8"/>
      <c r="AA115" s="13"/>
      <c r="AB115" s="8"/>
      <c r="AC115" s="8"/>
      <c r="AD115" s="8"/>
      <c r="AE115" s="8" t="s">
        <v>367</v>
      </c>
      <c r="AF115" s="8"/>
      <c r="AG115" s="8"/>
      <c r="AH115" s="8"/>
      <c r="AI115" s="8"/>
      <c r="AJ115" s="8"/>
      <c r="AK115" s="8"/>
      <c r="AL115" s="8"/>
      <c r="AM115" s="8" t="b">
        <f>FALSE()</f>
        <v>0</v>
      </c>
      <c r="AN115" s="8"/>
      <c r="AO115" s="8"/>
      <c r="AP115" s="8"/>
      <c r="AQ115" s="8"/>
      <c r="AR115" s="8"/>
      <c r="AS115" s="8"/>
      <c r="AT115" s="10"/>
      <c r="AU115" s="8" t="b">
        <f t="shared" si="149"/>
        <v>0</v>
      </c>
      <c r="AV115" s="10"/>
      <c r="AW115" s="8" t="s">
        <v>554</v>
      </c>
      <c r="AX115" s="8">
        <v>5.0</v>
      </c>
      <c r="AY115" s="8" t="b">
        <f t="shared" ref="AY115:BC115" si="183">TRUE()</f>
        <v>1</v>
      </c>
      <c r="AZ115" s="8" t="b">
        <f t="shared" si="183"/>
        <v>1</v>
      </c>
      <c r="BA115" s="8" t="b">
        <f t="shared" si="183"/>
        <v>1</v>
      </c>
      <c r="BB115" s="8" t="b">
        <f t="shared" si="183"/>
        <v>1</v>
      </c>
      <c r="BC115" s="8" t="b">
        <f t="shared" si="183"/>
        <v>1</v>
      </c>
      <c r="BD115" s="10"/>
    </row>
    <row r="116" ht="15.0" customHeight="1">
      <c r="A116" s="8" t="s">
        <v>948</v>
      </c>
      <c r="B116" s="8" t="s">
        <v>949</v>
      </c>
      <c r="C116" s="8" t="s">
        <v>951</v>
      </c>
      <c r="D116" s="8" t="b">
        <f t="shared" si="139"/>
        <v>0</v>
      </c>
      <c r="E116" s="10"/>
      <c r="F116" s="9"/>
      <c r="G116" s="9"/>
      <c r="H116" s="8">
        <v>0.0</v>
      </c>
      <c r="I116" s="8" t="s">
        <v>167</v>
      </c>
      <c r="J116" s="9">
        <v>46195.0</v>
      </c>
      <c r="K116" s="8" t="s">
        <v>167</v>
      </c>
      <c r="L116" s="8" t="b">
        <f t="shared" si="32"/>
        <v>1</v>
      </c>
      <c r="M116" s="9">
        <v>46195.0</v>
      </c>
      <c r="N116" s="8" t="b">
        <f t="shared" si="48"/>
        <v>0</v>
      </c>
      <c r="O116" s="9"/>
      <c r="P116" s="8" t="b">
        <f t="shared" si="16"/>
        <v>0</v>
      </c>
      <c r="Q116" s="9"/>
      <c r="R116" s="8" t="b">
        <f t="shared" si="28"/>
        <v>0</v>
      </c>
      <c r="S116" s="9"/>
      <c r="T116" s="8">
        <v>3.0</v>
      </c>
      <c r="U116" s="9">
        <v>46181.0</v>
      </c>
      <c r="V116" s="9">
        <v>46209.0</v>
      </c>
      <c r="W116" s="8" t="s">
        <v>83</v>
      </c>
      <c r="X116" s="8" t="s">
        <v>204</v>
      </c>
      <c r="Y116" s="8" t="s">
        <v>205</v>
      </c>
      <c r="Z116" s="8" t="s">
        <v>281</v>
      </c>
      <c r="AA116" s="13"/>
      <c r="AB116" s="8" t="s">
        <v>194</v>
      </c>
      <c r="AC116" s="8" t="s">
        <v>143</v>
      </c>
      <c r="AD116" s="8" t="s">
        <v>87</v>
      </c>
      <c r="AE116" s="8" t="s">
        <v>87</v>
      </c>
      <c r="AF116" s="8" t="s">
        <v>293</v>
      </c>
      <c r="AG116" s="8" t="s">
        <v>514</v>
      </c>
      <c r="AH116" s="8"/>
      <c r="AI116" s="8"/>
      <c r="AJ116" s="8"/>
      <c r="AK116" s="8" t="s">
        <v>127</v>
      </c>
      <c r="AL116" s="8" t="s">
        <v>318</v>
      </c>
      <c r="AM116" s="8" t="b">
        <f t="shared" ref="AM116:AM121" si="185">TRUE()</f>
        <v>1</v>
      </c>
      <c r="AN116" s="8" t="s">
        <v>227</v>
      </c>
      <c r="AO116" s="8">
        <v>3.12269691E8</v>
      </c>
      <c r="AP116" s="8">
        <v>2.4300013E8</v>
      </c>
      <c r="AQ116" s="8" t="s">
        <v>448</v>
      </c>
      <c r="AR116" s="8" t="s">
        <v>1013</v>
      </c>
      <c r="AS116" s="8" t="s">
        <v>1013</v>
      </c>
      <c r="AT116" s="10" t="s">
        <v>1014</v>
      </c>
      <c r="AU116" s="8" t="b">
        <f t="shared" si="149"/>
        <v>0</v>
      </c>
      <c r="AV116" s="10"/>
      <c r="AW116" s="8" t="s">
        <v>233</v>
      </c>
      <c r="AX116" s="8">
        <v>1.0</v>
      </c>
      <c r="AY116" s="8" t="b">
        <f t="shared" ref="AY116:BA116" si="184">FALSE()</f>
        <v>0</v>
      </c>
      <c r="AZ116" s="8" t="b">
        <f t="shared" si="184"/>
        <v>0</v>
      </c>
      <c r="BA116" s="8" t="b">
        <f t="shared" si="184"/>
        <v>0</v>
      </c>
      <c r="BB116" s="8" t="b">
        <f>TRUE()</f>
        <v>1</v>
      </c>
      <c r="BC116" s="8" t="b">
        <f>FALSE()</f>
        <v>0</v>
      </c>
      <c r="BD116" s="10" t="s">
        <v>1015</v>
      </c>
    </row>
    <row r="117" ht="15.0" customHeight="1">
      <c r="A117" s="8" t="s">
        <v>1016</v>
      </c>
      <c r="B117" s="8" t="s">
        <v>904</v>
      </c>
      <c r="C117" s="8" t="s">
        <v>1017</v>
      </c>
      <c r="D117" s="8" t="b">
        <f t="shared" si="139"/>
        <v>0</v>
      </c>
      <c r="E117" s="10"/>
      <c r="F117" s="9"/>
      <c r="G117" s="9"/>
      <c r="H117" s="8">
        <v>0.0</v>
      </c>
      <c r="I117" s="8" t="s">
        <v>167</v>
      </c>
      <c r="J117" s="9">
        <v>46111.0</v>
      </c>
      <c r="K117" s="8" t="s">
        <v>167</v>
      </c>
      <c r="L117" s="8" t="b">
        <f t="shared" si="32"/>
        <v>1</v>
      </c>
      <c r="M117" s="9">
        <v>46111.0</v>
      </c>
      <c r="N117" s="8" t="b">
        <f t="shared" si="48"/>
        <v>0</v>
      </c>
      <c r="O117" s="9"/>
      <c r="P117" s="8" t="b">
        <f t="shared" si="16"/>
        <v>0</v>
      </c>
      <c r="Q117" s="9"/>
      <c r="R117" s="8" t="b">
        <f t="shared" si="28"/>
        <v>0</v>
      </c>
      <c r="S117" s="9"/>
      <c r="T117" s="8">
        <v>1.0</v>
      </c>
      <c r="U117" s="9">
        <v>46111.0</v>
      </c>
      <c r="V117" s="9">
        <v>46111.0</v>
      </c>
      <c r="W117" s="8" t="s">
        <v>121</v>
      </c>
      <c r="X117" s="8" t="s">
        <v>204</v>
      </c>
      <c r="Y117" s="8" t="s">
        <v>317</v>
      </c>
      <c r="Z117" s="8" t="s">
        <v>56</v>
      </c>
      <c r="AA117" s="13">
        <v>6.0E7</v>
      </c>
      <c r="AB117" s="8" t="s">
        <v>1018</v>
      </c>
      <c r="AC117" s="8" t="s">
        <v>1019</v>
      </c>
      <c r="AD117" s="8" t="s">
        <v>87</v>
      </c>
      <c r="AE117" s="8" t="s">
        <v>87</v>
      </c>
      <c r="AF117" s="8" t="s">
        <v>185</v>
      </c>
      <c r="AG117" s="8" t="s">
        <v>471</v>
      </c>
      <c r="AH117" s="8"/>
      <c r="AI117" s="8"/>
      <c r="AJ117" s="8"/>
      <c r="AK117" s="8" t="s">
        <v>154</v>
      </c>
      <c r="AL117" s="8" t="s">
        <v>337</v>
      </c>
      <c r="AM117" s="8" t="b">
        <f t="shared" si="185"/>
        <v>1</v>
      </c>
      <c r="AN117" s="8" t="s">
        <v>227</v>
      </c>
      <c r="AO117" s="8">
        <v>3.04527515E8</v>
      </c>
      <c r="AP117" s="8">
        <v>2.3719744E8</v>
      </c>
      <c r="AQ117" s="8" t="s">
        <v>534</v>
      </c>
      <c r="AR117" s="8" t="s">
        <v>1020</v>
      </c>
      <c r="AS117" s="8" t="s">
        <v>1020</v>
      </c>
      <c r="AT117" s="10"/>
      <c r="AU117" s="8" t="b">
        <f t="shared" si="149"/>
        <v>0</v>
      </c>
      <c r="AV117" s="10"/>
      <c r="AW117" s="8" t="s">
        <v>233</v>
      </c>
      <c r="AX117" s="8">
        <v>0.0</v>
      </c>
      <c r="AY117" s="8" t="b">
        <f t="shared" ref="AY117:BC117" si="186">FALSE()</f>
        <v>0</v>
      </c>
      <c r="AZ117" s="8" t="b">
        <f t="shared" si="186"/>
        <v>0</v>
      </c>
      <c r="BA117" s="8" t="b">
        <f t="shared" si="186"/>
        <v>0</v>
      </c>
      <c r="BB117" s="8" t="b">
        <f t="shared" si="186"/>
        <v>0</v>
      </c>
      <c r="BC117" s="8" t="b">
        <f t="shared" si="186"/>
        <v>0</v>
      </c>
      <c r="BD117" s="10" t="s">
        <v>1021</v>
      </c>
    </row>
    <row r="118" ht="90.75" customHeight="1">
      <c r="A118" s="8" t="s">
        <v>952</v>
      </c>
      <c r="B118" s="8" t="s">
        <v>496</v>
      </c>
      <c r="C118" s="8" t="s">
        <v>953</v>
      </c>
      <c r="D118" s="8" t="b">
        <f t="shared" si="139"/>
        <v>0</v>
      </c>
      <c r="E118" s="10"/>
      <c r="F118" s="9"/>
      <c r="G118" s="9"/>
      <c r="H118" s="8">
        <v>0.0</v>
      </c>
      <c r="I118" s="8" t="s">
        <v>167</v>
      </c>
      <c r="J118" s="9">
        <v>45944.0</v>
      </c>
      <c r="K118" s="8" t="s">
        <v>167</v>
      </c>
      <c r="L118" s="8" t="b">
        <f t="shared" si="32"/>
        <v>1</v>
      </c>
      <c r="M118" s="9">
        <v>45944.0</v>
      </c>
      <c r="N118" s="8" t="b">
        <f t="shared" si="48"/>
        <v>0</v>
      </c>
      <c r="O118" s="9"/>
      <c r="P118" s="8" t="b">
        <f t="shared" si="16"/>
        <v>0</v>
      </c>
      <c r="Q118" s="9"/>
      <c r="R118" s="8" t="b">
        <f t="shared" si="28"/>
        <v>0</v>
      </c>
      <c r="S118" s="9"/>
      <c r="T118" s="8">
        <v>5.0</v>
      </c>
      <c r="U118" s="9">
        <v>45944.0</v>
      </c>
      <c r="V118" s="9">
        <v>45971.0</v>
      </c>
      <c r="W118" s="8" t="s">
        <v>140</v>
      </c>
      <c r="X118" s="8" t="s">
        <v>204</v>
      </c>
      <c r="Y118" s="8" t="s">
        <v>328</v>
      </c>
      <c r="Z118" s="8"/>
      <c r="AA118" s="13"/>
      <c r="AB118" s="8" t="s">
        <v>194</v>
      </c>
      <c r="AC118" s="8" t="s">
        <v>70</v>
      </c>
      <c r="AD118" s="8" t="s">
        <v>71</v>
      </c>
      <c r="AE118" s="8" t="s">
        <v>214</v>
      </c>
      <c r="AF118" s="8" t="s">
        <v>185</v>
      </c>
      <c r="AG118" s="8"/>
      <c r="AH118" s="8"/>
      <c r="AI118" s="8"/>
      <c r="AJ118" s="8"/>
      <c r="AK118" s="8" t="s">
        <v>254</v>
      </c>
      <c r="AL118" s="8" t="s">
        <v>429</v>
      </c>
      <c r="AM118" s="8" t="b">
        <f t="shared" si="185"/>
        <v>1</v>
      </c>
      <c r="AN118" s="8" t="s">
        <v>319</v>
      </c>
      <c r="AO118" s="8">
        <v>1.36347841E8</v>
      </c>
      <c r="AP118" s="8">
        <v>2.42949648E8</v>
      </c>
      <c r="AQ118" s="8" t="s">
        <v>1022</v>
      </c>
      <c r="AR118" s="8" t="s">
        <v>1023</v>
      </c>
      <c r="AS118" s="8" t="s">
        <v>1024</v>
      </c>
      <c r="AT118" s="10"/>
      <c r="AU118" s="8" t="b">
        <f t="shared" si="149"/>
        <v>0</v>
      </c>
      <c r="AV118" s="10"/>
      <c r="AW118" s="8" t="s">
        <v>233</v>
      </c>
      <c r="AX118" s="8">
        <v>2.0</v>
      </c>
      <c r="AY118" s="8" t="b">
        <f t="shared" ref="AY118:AZ118" si="187">FALSE()</f>
        <v>0</v>
      </c>
      <c r="AZ118" s="8" t="b">
        <f t="shared" si="187"/>
        <v>0</v>
      </c>
      <c r="BA118" s="8" t="b">
        <f t="shared" ref="BA118:BB118" si="188">TRUE()</f>
        <v>1</v>
      </c>
      <c r="BB118" s="8" t="b">
        <f t="shared" si="188"/>
        <v>1</v>
      </c>
      <c r="BC118" s="8" t="b">
        <f>FALSE()</f>
        <v>0</v>
      </c>
      <c r="BD118" s="10" t="s">
        <v>1025</v>
      </c>
    </row>
    <row r="119" ht="124.5" customHeight="1">
      <c r="A119" s="8" t="s">
        <v>1026</v>
      </c>
      <c r="B119" s="8" t="s">
        <v>726</v>
      </c>
      <c r="C119" s="8" t="s">
        <v>1027</v>
      </c>
      <c r="D119" s="8" t="b">
        <f t="shared" si="139"/>
        <v>0</v>
      </c>
      <c r="E119" s="10"/>
      <c r="F119" s="9"/>
      <c r="G119" s="9"/>
      <c r="H119" s="8">
        <v>0.0</v>
      </c>
      <c r="I119" s="8" t="s">
        <v>167</v>
      </c>
      <c r="J119" s="9">
        <v>46070.0</v>
      </c>
      <c r="K119" s="8" t="s">
        <v>377</v>
      </c>
      <c r="L119" s="8" t="b">
        <f t="shared" si="32"/>
        <v>1</v>
      </c>
      <c r="M119" s="9">
        <v>46070.0</v>
      </c>
      <c r="N119" s="8" t="b">
        <f t="shared" si="48"/>
        <v>0</v>
      </c>
      <c r="O119" s="9"/>
      <c r="P119" s="8" t="b">
        <f t="shared" si="16"/>
        <v>0</v>
      </c>
      <c r="Q119" s="9"/>
      <c r="R119" s="8" t="b">
        <f t="shared" si="28"/>
        <v>0</v>
      </c>
      <c r="S119" s="9"/>
      <c r="T119" s="8">
        <v>8.0</v>
      </c>
      <c r="U119" s="9">
        <v>46055.0</v>
      </c>
      <c r="V119" s="9">
        <v>46104.0</v>
      </c>
      <c r="W119" s="8" t="s">
        <v>121</v>
      </c>
      <c r="X119" s="8" t="s">
        <v>204</v>
      </c>
      <c r="Y119" s="8" t="s">
        <v>317</v>
      </c>
      <c r="Z119" s="8" t="s">
        <v>265</v>
      </c>
      <c r="AA119" s="13">
        <v>5.0E7</v>
      </c>
      <c r="AB119" s="8" t="s">
        <v>1028</v>
      </c>
      <c r="AC119" s="8" t="s">
        <v>1029</v>
      </c>
      <c r="AD119" s="8" t="s">
        <v>361</v>
      </c>
      <c r="AE119" s="8" t="s">
        <v>214</v>
      </c>
      <c r="AF119" s="8" t="s">
        <v>185</v>
      </c>
      <c r="AG119" s="8" t="s">
        <v>471</v>
      </c>
      <c r="AH119" s="8"/>
      <c r="AI119" s="8"/>
      <c r="AJ119" s="8"/>
      <c r="AK119" s="8" t="s">
        <v>154</v>
      </c>
      <c r="AL119" s="8" t="s">
        <v>337</v>
      </c>
      <c r="AM119" s="8" t="b">
        <f t="shared" si="185"/>
        <v>1</v>
      </c>
      <c r="AN119" s="8" t="s">
        <v>227</v>
      </c>
      <c r="AO119" s="8">
        <v>2.82906126E8</v>
      </c>
      <c r="AP119" s="8">
        <v>2.34062272E8</v>
      </c>
      <c r="AQ119" s="8" t="s">
        <v>339</v>
      </c>
      <c r="AR119" s="8" t="s">
        <v>1030</v>
      </c>
      <c r="AS119" s="8" t="s">
        <v>1030</v>
      </c>
      <c r="AT119" s="10" t="s">
        <v>792</v>
      </c>
      <c r="AU119" s="8" t="b">
        <f t="shared" si="149"/>
        <v>0</v>
      </c>
      <c r="AV119" s="10"/>
      <c r="AW119" s="8" t="s">
        <v>233</v>
      </c>
      <c r="AX119" s="8">
        <v>0.0</v>
      </c>
      <c r="AY119" s="8" t="b">
        <f t="shared" ref="AY119:BC119" si="189">FALSE()</f>
        <v>0</v>
      </c>
      <c r="AZ119" s="8" t="b">
        <f t="shared" si="189"/>
        <v>0</v>
      </c>
      <c r="BA119" s="8" t="b">
        <f t="shared" si="189"/>
        <v>0</v>
      </c>
      <c r="BB119" s="8" t="b">
        <f t="shared" si="189"/>
        <v>0</v>
      </c>
      <c r="BC119" s="8" t="b">
        <f t="shared" si="189"/>
        <v>0</v>
      </c>
      <c r="BD119" s="10" t="s">
        <v>1031</v>
      </c>
    </row>
    <row r="120" ht="15.0" customHeight="1">
      <c r="A120" s="8" t="s">
        <v>1032</v>
      </c>
      <c r="B120" s="8" t="s">
        <v>559</v>
      </c>
      <c r="C120" s="8" t="s">
        <v>1033</v>
      </c>
      <c r="D120" s="8" t="b">
        <f t="shared" si="139"/>
        <v>0</v>
      </c>
      <c r="E120" s="10"/>
      <c r="F120" s="9"/>
      <c r="G120" s="9"/>
      <c r="H120" s="8">
        <v>0.0</v>
      </c>
      <c r="I120" s="8" t="s">
        <v>167</v>
      </c>
      <c r="J120" s="9">
        <v>45971.0</v>
      </c>
      <c r="K120" s="8" t="s">
        <v>313</v>
      </c>
      <c r="L120" s="8" t="b">
        <f t="shared" si="32"/>
        <v>1</v>
      </c>
      <c r="M120" s="9">
        <v>45971.0</v>
      </c>
      <c r="N120" s="8" t="b">
        <f t="shared" si="48"/>
        <v>0</v>
      </c>
      <c r="O120" s="9"/>
      <c r="P120" s="8" t="b">
        <f t="shared" si="16"/>
        <v>0</v>
      </c>
      <c r="Q120" s="9"/>
      <c r="R120" s="8" t="b">
        <f t="shared" si="28"/>
        <v>0</v>
      </c>
      <c r="S120" s="9"/>
      <c r="T120" s="8">
        <v>34.0</v>
      </c>
      <c r="U120" s="9">
        <v>45971.0</v>
      </c>
      <c r="V120" s="9">
        <v>46230.0</v>
      </c>
      <c r="W120" s="8" t="s">
        <v>121</v>
      </c>
      <c r="X120" s="8" t="s">
        <v>204</v>
      </c>
      <c r="Y120" s="8" t="s">
        <v>317</v>
      </c>
      <c r="Z120" s="8" t="s">
        <v>56</v>
      </c>
      <c r="AA120" s="13">
        <v>7.0E7</v>
      </c>
      <c r="AB120" s="8" t="s">
        <v>194</v>
      </c>
      <c r="AC120" s="8" t="s">
        <v>143</v>
      </c>
      <c r="AD120" s="8" t="s">
        <v>87</v>
      </c>
      <c r="AE120" s="8" t="s">
        <v>87</v>
      </c>
      <c r="AF120" s="8" t="s">
        <v>200</v>
      </c>
      <c r="AG120" s="8" t="s">
        <v>353</v>
      </c>
      <c r="AH120" s="8"/>
      <c r="AI120" s="8"/>
      <c r="AJ120" s="8"/>
      <c r="AK120" s="8" t="s">
        <v>154</v>
      </c>
      <c r="AL120" s="8" t="s">
        <v>337</v>
      </c>
      <c r="AM120" s="8" t="b">
        <f t="shared" si="185"/>
        <v>1</v>
      </c>
      <c r="AN120" s="8" t="s">
        <v>227</v>
      </c>
      <c r="AO120" s="8">
        <v>2.98317426E8</v>
      </c>
      <c r="AP120" s="8">
        <v>2.24915657E8</v>
      </c>
      <c r="AQ120" s="8" t="s">
        <v>382</v>
      </c>
      <c r="AR120" s="8" t="s">
        <v>1034</v>
      </c>
      <c r="AS120" s="8" t="s">
        <v>1035</v>
      </c>
      <c r="AT120" s="10"/>
      <c r="AU120" s="8" t="b">
        <f t="shared" si="149"/>
        <v>0</v>
      </c>
      <c r="AV120" s="10"/>
      <c r="AW120" s="8" t="s">
        <v>233</v>
      </c>
      <c r="AX120" s="8">
        <v>0.0</v>
      </c>
      <c r="AY120" s="8" t="b">
        <f t="shared" ref="AY120:BC120" si="190">FALSE()</f>
        <v>0</v>
      </c>
      <c r="AZ120" s="8" t="b">
        <f t="shared" si="190"/>
        <v>0</v>
      </c>
      <c r="BA120" s="8" t="b">
        <f t="shared" si="190"/>
        <v>0</v>
      </c>
      <c r="BB120" s="8" t="b">
        <f t="shared" si="190"/>
        <v>0</v>
      </c>
      <c r="BC120" s="8" t="b">
        <f t="shared" si="190"/>
        <v>0</v>
      </c>
      <c r="BD120" s="10" t="s">
        <v>1036</v>
      </c>
    </row>
    <row r="121" ht="15.0" customHeight="1">
      <c r="A121" s="8" t="s">
        <v>786</v>
      </c>
      <c r="B121" s="8" t="s">
        <v>787</v>
      </c>
      <c r="C121" s="8" t="s">
        <v>789</v>
      </c>
      <c r="D121" s="8" t="b">
        <f t="shared" si="139"/>
        <v>0</v>
      </c>
      <c r="E121" s="10"/>
      <c r="F121" s="9"/>
      <c r="G121" s="9"/>
      <c r="H121" s="8">
        <v>0.0</v>
      </c>
      <c r="I121" s="8" t="s">
        <v>167</v>
      </c>
      <c r="J121" s="9">
        <v>46090.0</v>
      </c>
      <c r="K121" s="8" t="s">
        <v>167</v>
      </c>
      <c r="L121" s="8" t="b">
        <f t="shared" si="32"/>
        <v>1</v>
      </c>
      <c r="M121" s="9">
        <v>46090.0</v>
      </c>
      <c r="N121" s="8" t="b">
        <f t="shared" si="48"/>
        <v>0</v>
      </c>
      <c r="O121" s="9"/>
      <c r="P121" s="8" t="b">
        <f t="shared" si="16"/>
        <v>0</v>
      </c>
      <c r="Q121" s="9"/>
      <c r="R121" s="8" t="b">
        <f t="shared" si="28"/>
        <v>0</v>
      </c>
      <c r="S121" s="9"/>
      <c r="T121" s="8">
        <v>3.0</v>
      </c>
      <c r="U121" s="9">
        <v>46090.0</v>
      </c>
      <c r="V121" s="9">
        <v>46104.0</v>
      </c>
      <c r="W121" s="8" t="s">
        <v>140</v>
      </c>
      <c r="X121" s="8" t="s">
        <v>204</v>
      </c>
      <c r="Y121" s="8" t="s">
        <v>328</v>
      </c>
      <c r="Z121" s="8"/>
      <c r="AA121" s="13"/>
      <c r="AB121" s="8"/>
      <c r="AC121" s="8"/>
      <c r="AD121" s="8"/>
      <c r="AE121" s="8" t="s">
        <v>367</v>
      </c>
      <c r="AF121" s="8" t="s">
        <v>185</v>
      </c>
      <c r="AG121" s="8"/>
      <c r="AH121" s="8"/>
      <c r="AI121" s="8"/>
      <c r="AJ121" s="8"/>
      <c r="AK121" s="8" t="s">
        <v>267</v>
      </c>
      <c r="AL121" s="8" t="s">
        <v>445</v>
      </c>
      <c r="AM121" s="8" t="b">
        <f t="shared" si="185"/>
        <v>1</v>
      </c>
      <c r="AN121" s="8" t="s">
        <v>227</v>
      </c>
      <c r="AO121" s="8">
        <v>3.11107596E8</v>
      </c>
      <c r="AP121" s="8">
        <v>2.37741958E8</v>
      </c>
      <c r="AQ121" s="8" t="s">
        <v>483</v>
      </c>
      <c r="AR121" s="8" t="s">
        <v>1037</v>
      </c>
      <c r="AS121" s="8" t="s">
        <v>1038</v>
      </c>
      <c r="AT121" s="10"/>
      <c r="AU121" s="8" t="b">
        <f t="shared" si="149"/>
        <v>0</v>
      </c>
      <c r="AV121" s="10"/>
      <c r="AW121" s="8" t="s">
        <v>554</v>
      </c>
      <c r="AX121" s="8">
        <v>3.0</v>
      </c>
      <c r="AY121" s="8" t="b">
        <f>FALSE()</f>
        <v>0</v>
      </c>
      <c r="AZ121" s="8" t="b">
        <f t="shared" ref="AZ121:BB121" si="191">TRUE()</f>
        <v>1</v>
      </c>
      <c r="BA121" s="8" t="b">
        <f t="shared" si="191"/>
        <v>1</v>
      </c>
      <c r="BB121" s="8" t="b">
        <f t="shared" si="191"/>
        <v>1</v>
      </c>
      <c r="BC121" s="8" t="b">
        <f>FALSE()</f>
        <v>0</v>
      </c>
      <c r="BD121" s="10"/>
    </row>
    <row r="122" ht="135.75" customHeight="1">
      <c r="A122" s="8" t="s">
        <v>790</v>
      </c>
      <c r="B122" s="8" t="s">
        <v>791</v>
      </c>
      <c r="C122" s="8"/>
      <c r="D122" s="8" t="b">
        <f t="shared" si="139"/>
        <v>0</v>
      </c>
      <c r="E122" s="10"/>
      <c r="F122" s="9"/>
      <c r="G122" s="9"/>
      <c r="H122" s="8">
        <v>0.0</v>
      </c>
      <c r="I122" s="8" t="s">
        <v>167</v>
      </c>
      <c r="J122" s="9">
        <v>46230.0</v>
      </c>
      <c r="K122" s="8" t="s">
        <v>167</v>
      </c>
      <c r="L122" s="8" t="b">
        <f t="shared" si="32"/>
        <v>1</v>
      </c>
      <c r="M122" s="9">
        <v>46230.0</v>
      </c>
      <c r="N122" s="8" t="b">
        <f t="shared" si="48"/>
        <v>0</v>
      </c>
      <c r="O122" s="9"/>
      <c r="P122" s="8" t="b">
        <f t="shared" si="16"/>
        <v>0</v>
      </c>
      <c r="Q122" s="9"/>
      <c r="R122" s="8" t="b">
        <f t="shared" si="28"/>
        <v>0</v>
      </c>
      <c r="S122" s="9"/>
      <c r="T122" s="8">
        <v>2.0</v>
      </c>
      <c r="U122" s="9">
        <v>46230.0</v>
      </c>
      <c r="V122" s="9">
        <v>46237.0</v>
      </c>
      <c r="W122" s="8" t="s">
        <v>121</v>
      </c>
      <c r="X122" s="8" t="s">
        <v>266</v>
      </c>
      <c r="Y122" s="8" t="s">
        <v>317</v>
      </c>
      <c r="Z122" s="8"/>
      <c r="AA122" s="13"/>
      <c r="AB122" s="8"/>
      <c r="AC122" s="8"/>
      <c r="AD122" s="8"/>
      <c r="AE122" s="8" t="s">
        <v>367</v>
      </c>
      <c r="AF122" s="8"/>
      <c r="AG122" s="8"/>
      <c r="AH122" s="8"/>
      <c r="AI122" s="8"/>
      <c r="AJ122" s="8"/>
      <c r="AK122" s="8"/>
      <c r="AL122" s="8"/>
      <c r="AM122" s="8" t="b">
        <f>FALSE()</f>
        <v>0</v>
      </c>
      <c r="AN122" s="8"/>
      <c r="AO122" s="8"/>
      <c r="AP122" s="8"/>
      <c r="AQ122" s="8"/>
      <c r="AR122" s="8"/>
      <c r="AS122" s="8"/>
      <c r="AT122" s="10"/>
      <c r="AU122" s="8" t="b">
        <f t="shared" si="149"/>
        <v>0</v>
      </c>
      <c r="AV122" s="10"/>
      <c r="AW122" s="8" t="s">
        <v>554</v>
      </c>
      <c r="AX122" s="8">
        <v>5.0</v>
      </c>
      <c r="AY122" s="8" t="b">
        <f t="shared" ref="AY122:BC122" si="192">TRUE()</f>
        <v>1</v>
      </c>
      <c r="AZ122" s="8" t="b">
        <f t="shared" si="192"/>
        <v>1</v>
      </c>
      <c r="BA122" s="8" t="b">
        <f t="shared" si="192"/>
        <v>1</v>
      </c>
      <c r="BB122" s="8" t="b">
        <f t="shared" si="192"/>
        <v>1</v>
      </c>
      <c r="BC122" s="8" t="b">
        <f t="shared" si="192"/>
        <v>1</v>
      </c>
      <c r="BD122" s="10"/>
    </row>
    <row r="123" ht="15.0" customHeight="1">
      <c r="A123" s="8" t="s">
        <v>954</v>
      </c>
      <c r="B123" s="8" t="s">
        <v>519</v>
      </c>
      <c r="C123" s="8" t="s">
        <v>956</v>
      </c>
      <c r="D123" s="8" t="b">
        <f t="shared" si="139"/>
        <v>0</v>
      </c>
      <c r="E123" s="10"/>
      <c r="F123" s="9"/>
      <c r="G123" s="9"/>
      <c r="H123" s="8">
        <v>0.0</v>
      </c>
      <c r="I123" s="8" t="s">
        <v>167</v>
      </c>
      <c r="J123" s="9">
        <v>45950.0</v>
      </c>
      <c r="K123" s="8" t="s">
        <v>167</v>
      </c>
      <c r="L123" s="8" t="b">
        <f t="shared" si="32"/>
        <v>1</v>
      </c>
      <c r="M123" s="9">
        <v>45950.0</v>
      </c>
      <c r="N123" s="8" t="b">
        <f t="shared" si="48"/>
        <v>0</v>
      </c>
      <c r="O123" s="9"/>
      <c r="P123" s="8" t="b">
        <f t="shared" si="16"/>
        <v>0</v>
      </c>
      <c r="Q123" s="9"/>
      <c r="R123" s="8" t="b">
        <f t="shared" si="28"/>
        <v>0</v>
      </c>
      <c r="S123" s="9"/>
      <c r="T123" s="8">
        <v>3.0</v>
      </c>
      <c r="U123" s="9">
        <v>45950.0</v>
      </c>
      <c r="V123" s="9">
        <v>45964.0</v>
      </c>
      <c r="W123" s="8" t="s">
        <v>121</v>
      </c>
      <c r="X123" s="8" t="s">
        <v>204</v>
      </c>
      <c r="Y123" s="8" t="s">
        <v>317</v>
      </c>
      <c r="Z123" s="8" t="s">
        <v>119</v>
      </c>
      <c r="AA123" s="13">
        <v>2.0E7</v>
      </c>
      <c r="AB123" s="8"/>
      <c r="AC123" s="8"/>
      <c r="AD123" s="8"/>
      <c r="AE123" s="8" t="s">
        <v>367</v>
      </c>
      <c r="AF123" s="8" t="s">
        <v>185</v>
      </c>
      <c r="AG123" s="8" t="s">
        <v>353</v>
      </c>
      <c r="AH123" s="8"/>
      <c r="AI123" s="8"/>
      <c r="AJ123" s="8"/>
      <c r="AK123" s="8" t="s">
        <v>154</v>
      </c>
      <c r="AL123" s="8" t="s">
        <v>337</v>
      </c>
      <c r="AM123" s="8" t="b">
        <f t="shared" ref="AM123:AM130" si="194">TRUE()</f>
        <v>1</v>
      </c>
      <c r="AN123" s="8" t="s">
        <v>227</v>
      </c>
      <c r="AO123" s="8">
        <v>3.07200522E8</v>
      </c>
      <c r="AP123" s="8">
        <v>2.22532555E8</v>
      </c>
      <c r="AQ123" s="8" t="s">
        <v>701</v>
      </c>
      <c r="AR123" s="8" t="s">
        <v>369</v>
      </c>
      <c r="AS123" s="8" t="s">
        <v>369</v>
      </c>
      <c r="AT123" s="10"/>
      <c r="AU123" s="8" t="b">
        <f t="shared" si="149"/>
        <v>0</v>
      </c>
      <c r="AV123" s="10"/>
      <c r="AW123" s="8" t="s">
        <v>233</v>
      </c>
      <c r="AX123" s="8">
        <v>1.0</v>
      </c>
      <c r="AY123" s="8" t="b">
        <f t="shared" ref="AY123:AY126" si="195">FALSE()</f>
        <v>0</v>
      </c>
      <c r="AZ123" s="8" t="b">
        <f t="shared" ref="AZ123:AZ124" si="196">TRUE()</f>
        <v>1</v>
      </c>
      <c r="BA123" s="8" t="b">
        <f t="shared" ref="BA123:BC123" si="193">FALSE()</f>
        <v>0</v>
      </c>
      <c r="BB123" s="8" t="b">
        <f t="shared" si="193"/>
        <v>0</v>
      </c>
      <c r="BC123" s="8" t="b">
        <f t="shared" si="193"/>
        <v>0</v>
      </c>
      <c r="BD123" s="10"/>
    </row>
    <row r="124" ht="15.0" customHeight="1">
      <c r="A124" s="8" t="s">
        <v>957</v>
      </c>
      <c r="B124" s="8" t="s">
        <v>874</v>
      </c>
      <c r="C124" s="8" t="s">
        <v>959</v>
      </c>
      <c r="D124" s="8" t="b">
        <f t="shared" si="139"/>
        <v>0</v>
      </c>
      <c r="E124" s="10"/>
      <c r="F124" s="9"/>
      <c r="G124" s="9"/>
      <c r="H124" s="8">
        <v>0.0</v>
      </c>
      <c r="I124" s="8" t="s">
        <v>167</v>
      </c>
      <c r="J124" s="9">
        <v>46090.0</v>
      </c>
      <c r="K124" s="8" t="s">
        <v>377</v>
      </c>
      <c r="L124" s="8" t="b">
        <f t="shared" si="32"/>
        <v>1</v>
      </c>
      <c r="M124" s="9">
        <v>46090.0</v>
      </c>
      <c r="N124" s="8" t="b">
        <f t="shared" si="48"/>
        <v>0</v>
      </c>
      <c r="O124" s="9"/>
      <c r="P124" s="8" t="b">
        <f t="shared" si="16"/>
        <v>0</v>
      </c>
      <c r="Q124" s="9"/>
      <c r="R124" s="8" t="b">
        <f t="shared" si="28"/>
        <v>0</v>
      </c>
      <c r="S124" s="9"/>
      <c r="T124" s="8">
        <v>2.0</v>
      </c>
      <c r="U124" s="9">
        <v>46090.0</v>
      </c>
      <c r="V124" s="9">
        <v>46097.0</v>
      </c>
      <c r="W124" s="8" t="s">
        <v>121</v>
      </c>
      <c r="X124" s="8" t="s">
        <v>204</v>
      </c>
      <c r="Y124" s="8" t="s">
        <v>317</v>
      </c>
      <c r="Z124" s="8" t="s">
        <v>119</v>
      </c>
      <c r="AA124" s="13">
        <v>1.5E7</v>
      </c>
      <c r="AB124" s="8"/>
      <c r="AC124" s="8"/>
      <c r="AD124" s="8"/>
      <c r="AE124" s="8" t="s">
        <v>367</v>
      </c>
      <c r="AF124" s="8" t="s">
        <v>185</v>
      </c>
      <c r="AG124" s="8" t="s">
        <v>471</v>
      </c>
      <c r="AH124" s="8"/>
      <c r="AI124" s="8"/>
      <c r="AJ124" s="8"/>
      <c r="AK124" s="8" t="s">
        <v>74</v>
      </c>
      <c r="AL124" s="8" t="s">
        <v>223</v>
      </c>
      <c r="AM124" s="8" t="b">
        <f t="shared" si="194"/>
        <v>1</v>
      </c>
      <c r="AN124" s="8" t="s">
        <v>227</v>
      </c>
      <c r="AO124" s="8">
        <v>2.79830284E8</v>
      </c>
      <c r="AP124" s="8">
        <v>2.35141285E8</v>
      </c>
      <c r="AQ124" s="8" t="s">
        <v>1041</v>
      </c>
      <c r="AR124" s="8" t="s">
        <v>1041</v>
      </c>
      <c r="AS124" s="8" t="s">
        <v>651</v>
      </c>
      <c r="AT124" s="10"/>
      <c r="AU124" s="8" t="b">
        <f t="shared" si="149"/>
        <v>0</v>
      </c>
      <c r="AV124" s="10"/>
      <c r="AW124" s="8" t="s">
        <v>233</v>
      </c>
      <c r="AX124" s="8">
        <v>1.0</v>
      </c>
      <c r="AY124" s="8" t="b">
        <f t="shared" si="195"/>
        <v>0</v>
      </c>
      <c r="AZ124" s="8" t="b">
        <f t="shared" si="196"/>
        <v>1</v>
      </c>
      <c r="BA124" s="8" t="b">
        <f t="shared" ref="BA124:BC124" si="197">FALSE()</f>
        <v>0</v>
      </c>
      <c r="BB124" s="8" t="b">
        <f t="shared" si="197"/>
        <v>0</v>
      </c>
      <c r="BC124" s="8" t="b">
        <f t="shared" si="197"/>
        <v>0</v>
      </c>
      <c r="BD124" s="10"/>
    </row>
    <row r="125" ht="15.0" customHeight="1">
      <c r="A125" s="8" t="s">
        <v>1042</v>
      </c>
      <c r="B125" s="8" t="s">
        <v>500</v>
      </c>
      <c r="C125" s="8" t="s">
        <v>1043</v>
      </c>
      <c r="D125" s="8" t="b">
        <f t="shared" si="139"/>
        <v>0</v>
      </c>
      <c r="E125" s="10"/>
      <c r="F125" s="9"/>
      <c r="G125" s="9"/>
      <c r="H125" s="8">
        <v>0.0</v>
      </c>
      <c r="I125" s="8" t="s">
        <v>167</v>
      </c>
      <c r="J125" s="9">
        <v>45944.0</v>
      </c>
      <c r="K125" s="8" t="s">
        <v>377</v>
      </c>
      <c r="L125" s="8" t="b">
        <f t="shared" si="32"/>
        <v>1</v>
      </c>
      <c r="M125" s="9">
        <v>45944.0</v>
      </c>
      <c r="N125" s="8" t="b">
        <f t="shared" si="48"/>
        <v>0</v>
      </c>
      <c r="O125" s="9"/>
      <c r="P125" s="8" t="b">
        <f t="shared" si="16"/>
        <v>0</v>
      </c>
      <c r="Q125" s="9"/>
      <c r="R125" s="8" t="b">
        <f t="shared" si="28"/>
        <v>0</v>
      </c>
      <c r="S125" s="9"/>
      <c r="T125" s="8">
        <v>3.0</v>
      </c>
      <c r="U125" s="9">
        <v>45944.0</v>
      </c>
      <c r="V125" s="9">
        <v>45957.0</v>
      </c>
      <c r="W125" s="8" t="s">
        <v>83</v>
      </c>
      <c r="X125" s="8" t="s">
        <v>204</v>
      </c>
      <c r="Y125" s="8" t="s">
        <v>205</v>
      </c>
      <c r="Z125" s="8" t="s">
        <v>119</v>
      </c>
      <c r="AA125" s="13">
        <v>2000000.0</v>
      </c>
      <c r="AB125" s="8" t="s">
        <v>1044</v>
      </c>
      <c r="AC125" s="8" t="s">
        <v>1045</v>
      </c>
      <c r="AD125" s="8" t="s">
        <v>87</v>
      </c>
      <c r="AE125" s="8" t="s">
        <v>87</v>
      </c>
      <c r="AF125" s="8" t="s">
        <v>185</v>
      </c>
      <c r="AG125" s="8" t="s">
        <v>405</v>
      </c>
      <c r="AH125" s="8"/>
      <c r="AI125" s="8" t="s">
        <v>220</v>
      </c>
      <c r="AJ125" s="8" t="s">
        <v>218</v>
      </c>
      <c r="AK125" s="8" t="s">
        <v>215</v>
      </c>
      <c r="AL125" s="8" t="s">
        <v>393</v>
      </c>
      <c r="AM125" s="8" t="b">
        <f t="shared" si="194"/>
        <v>1</v>
      </c>
      <c r="AN125" s="8" t="s">
        <v>319</v>
      </c>
      <c r="AO125" s="8">
        <v>3.06050377E8</v>
      </c>
      <c r="AP125" s="8">
        <v>2.18725928E8</v>
      </c>
      <c r="AQ125" s="8" t="s">
        <v>1046</v>
      </c>
      <c r="AR125" s="8" t="s">
        <v>1047</v>
      </c>
      <c r="AS125" s="8" t="s">
        <v>431</v>
      </c>
      <c r="AT125" s="10"/>
      <c r="AU125" s="8" t="b">
        <f t="shared" si="149"/>
        <v>0</v>
      </c>
      <c r="AV125" s="10"/>
      <c r="AW125" s="8" t="s">
        <v>233</v>
      </c>
      <c r="AX125" s="8">
        <v>0.0</v>
      </c>
      <c r="AY125" s="8" t="b">
        <f t="shared" si="195"/>
        <v>0</v>
      </c>
      <c r="AZ125" s="8" t="b">
        <f t="shared" ref="AZ125:BC125" si="198">FALSE()</f>
        <v>0</v>
      </c>
      <c r="BA125" s="8" t="b">
        <f t="shared" si="198"/>
        <v>0</v>
      </c>
      <c r="BB125" s="8" t="b">
        <f t="shared" si="198"/>
        <v>0</v>
      </c>
      <c r="BC125" s="8" t="b">
        <f t="shared" si="198"/>
        <v>0</v>
      </c>
      <c r="BD125" s="10" t="s">
        <v>1048</v>
      </c>
    </row>
    <row r="126" ht="15.0" customHeight="1">
      <c r="A126" s="8" t="s">
        <v>1049</v>
      </c>
      <c r="B126" s="8" t="s">
        <v>1050</v>
      </c>
      <c r="C126" s="8" t="s">
        <v>1051</v>
      </c>
      <c r="D126" s="8" t="b">
        <f t="shared" si="139"/>
        <v>0</v>
      </c>
      <c r="E126" s="10"/>
      <c r="F126" s="9"/>
      <c r="G126" s="9"/>
      <c r="H126" s="8">
        <v>0.0</v>
      </c>
      <c r="I126" s="8" t="s">
        <v>167</v>
      </c>
      <c r="J126" s="9">
        <v>46223.0</v>
      </c>
      <c r="K126" s="8" t="s">
        <v>167</v>
      </c>
      <c r="L126" s="8" t="b">
        <f t="shared" si="32"/>
        <v>1</v>
      </c>
      <c r="M126" s="9">
        <v>46223.0</v>
      </c>
      <c r="N126" s="8" t="b">
        <f t="shared" si="48"/>
        <v>0</v>
      </c>
      <c r="O126" s="9"/>
      <c r="P126" s="8" t="b">
        <f t="shared" si="16"/>
        <v>0</v>
      </c>
      <c r="Q126" s="9"/>
      <c r="R126" s="8" t="b">
        <f t="shared" si="28"/>
        <v>0</v>
      </c>
      <c r="S126" s="9"/>
      <c r="T126" s="8">
        <v>4.0</v>
      </c>
      <c r="U126" s="9">
        <v>46209.0</v>
      </c>
      <c r="V126" s="9">
        <v>46230.0</v>
      </c>
      <c r="W126" s="8" t="s">
        <v>83</v>
      </c>
      <c r="X126" s="8" t="s">
        <v>204</v>
      </c>
      <c r="Y126" s="8" t="s">
        <v>205</v>
      </c>
      <c r="Z126" s="8" t="s">
        <v>119</v>
      </c>
      <c r="AA126" s="13">
        <v>6500000.0</v>
      </c>
      <c r="AB126" s="8" t="s">
        <v>1052</v>
      </c>
      <c r="AC126" s="8" t="s">
        <v>166</v>
      </c>
      <c r="AD126" s="8" t="s">
        <v>87</v>
      </c>
      <c r="AE126" s="8" t="s">
        <v>87</v>
      </c>
      <c r="AF126" s="8" t="s">
        <v>293</v>
      </c>
      <c r="AG126" s="8" t="s">
        <v>514</v>
      </c>
      <c r="AH126" s="8"/>
      <c r="AI126" s="8"/>
      <c r="AJ126" s="8"/>
      <c r="AK126" s="8" t="s">
        <v>215</v>
      </c>
      <c r="AL126" s="8" t="s">
        <v>393</v>
      </c>
      <c r="AM126" s="8" t="b">
        <f t="shared" si="194"/>
        <v>1</v>
      </c>
      <c r="AN126" s="8" t="s">
        <v>227</v>
      </c>
      <c r="AO126" s="8">
        <v>3.12899885E8</v>
      </c>
      <c r="AP126" s="8">
        <v>2.45344241E8</v>
      </c>
      <c r="AQ126" s="8" t="s">
        <v>1053</v>
      </c>
      <c r="AR126" s="8"/>
      <c r="AS126" s="8"/>
      <c r="AT126" s="10" t="s">
        <v>1054</v>
      </c>
      <c r="AU126" s="8" t="b">
        <f t="shared" si="149"/>
        <v>0</v>
      </c>
      <c r="AV126" s="10"/>
      <c r="AW126" s="8" t="s">
        <v>233</v>
      </c>
      <c r="AX126" s="8">
        <v>0.0</v>
      </c>
      <c r="AY126" s="8" t="b">
        <f t="shared" si="195"/>
        <v>0</v>
      </c>
      <c r="AZ126" s="8" t="b">
        <f t="shared" ref="AZ126:BC126" si="199">FALSE()</f>
        <v>0</v>
      </c>
      <c r="BA126" s="8" t="b">
        <f t="shared" si="199"/>
        <v>0</v>
      </c>
      <c r="BB126" s="8" t="b">
        <f t="shared" si="199"/>
        <v>0</v>
      </c>
      <c r="BC126" s="8" t="b">
        <f t="shared" si="199"/>
        <v>0</v>
      </c>
      <c r="BD126" s="10" t="s">
        <v>1055</v>
      </c>
    </row>
    <row r="127" ht="34.5" customHeight="1">
      <c r="A127" s="8" t="s">
        <v>961</v>
      </c>
      <c r="B127" s="8" t="s">
        <v>912</v>
      </c>
      <c r="C127" s="8" t="s">
        <v>965</v>
      </c>
      <c r="D127" s="8" t="b">
        <f t="shared" si="139"/>
        <v>0</v>
      </c>
      <c r="E127" s="10"/>
      <c r="F127" s="9"/>
      <c r="G127" s="9"/>
      <c r="H127" s="8">
        <v>0.0</v>
      </c>
      <c r="I127" s="8" t="s">
        <v>167</v>
      </c>
      <c r="J127" s="9">
        <v>46118.0</v>
      </c>
      <c r="K127" s="8" t="s">
        <v>167</v>
      </c>
      <c r="L127" s="8" t="b">
        <f t="shared" si="32"/>
        <v>1</v>
      </c>
      <c r="M127" s="9">
        <v>46118.0</v>
      </c>
      <c r="N127" s="8" t="b">
        <f t="shared" si="48"/>
        <v>0</v>
      </c>
      <c r="O127" s="9"/>
      <c r="P127" s="8" t="b">
        <f t="shared" si="16"/>
        <v>0</v>
      </c>
      <c r="Q127" s="9"/>
      <c r="R127" s="8" t="b">
        <f t="shared" si="28"/>
        <v>0</v>
      </c>
      <c r="S127" s="9"/>
      <c r="T127" s="8">
        <v>10.0</v>
      </c>
      <c r="U127" s="9">
        <v>46104.0</v>
      </c>
      <c r="V127" s="9">
        <v>46181.0</v>
      </c>
      <c r="W127" s="8" t="s">
        <v>140</v>
      </c>
      <c r="X127" s="8" t="s">
        <v>204</v>
      </c>
      <c r="Y127" s="8" t="s">
        <v>328</v>
      </c>
      <c r="Z127" s="8"/>
      <c r="AA127" s="13"/>
      <c r="AB127" s="8" t="s">
        <v>1056</v>
      </c>
      <c r="AC127" s="8" t="s">
        <v>316</v>
      </c>
      <c r="AD127" s="8" t="s">
        <v>87</v>
      </c>
      <c r="AE127" s="8" t="s">
        <v>87</v>
      </c>
      <c r="AF127" s="8" t="s">
        <v>185</v>
      </c>
      <c r="AG127" s="8"/>
      <c r="AH127" s="8"/>
      <c r="AI127" s="8"/>
      <c r="AJ127" s="8"/>
      <c r="AK127" s="8" t="s">
        <v>267</v>
      </c>
      <c r="AL127" s="8" t="s">
        <v>445</v>
      </c>
      <c r="AM127" s="8" t="b">
        <f t="shared" si="194"/>
        <v>1</v>
      </c>
      <c r="AN127" s="8" t="s">
        <v>319</v>
      </c>
      <c r="AO127" s="8">
        <v>2.91923743E8</v>
      </c>
      <c r="AP127" s="8">
        <v>2.37741802E8</v>
      </c>
      <c r="AQ127" s="8" t="s">
        <v>483</v>
      </c>
      <c r="AR127" s="8" t="s">
        <v>534</v>
      </c>
      <c r="AS127" s="8" t="s">
        <v>1057</v>
      </c>
      <c r="AT127" s="10" t="s">
        <v>894</v>
      </c>
      <c r="AU127" s="8">
        <v>0.0</v>
      </c>
      <c r="AV127" s="10"/>
      <c r="AW127" s="8" t="s">
        <v>233</v>
      </c>
      <c r="AX127" s="8">
        <v>2.0</v>
      </c>
      <c r="AY127" s="8">
        <v>0.0</v>
      </c>
      <c r="AZ127" s="8">
        <v>0.0</v>
      </c>
      <c r="BA127" s="8">
        <v>1.0</v>
      </c>
      <c r="BB127" s="8">
        <v>1.0</v>
      </c>
      <c r="BC127" s="8">
        <v>0.0</v>
      </c>
      <c r="BD127" s="10" t="s">
        <v>1058</v>
      </c>
    </row>
    <row r="128" ht="15.0" customHeight="1">
      <c r="A128" s="8" t="s">
        <v>966</v>
      </c>
      <c r="B128" s="8" t="s">
        <v>967</v>
      </c>
      <c r="C128" s="8" t="s">
        <v>970</v>
      </c>
      <c r="D128" s="8" t="b">
        <f t="shared" si="139"/>
        <v>0</v>
      </c>
      <c r="E128" s="10"/>
      <c r="F128" s="9"/>
      <c r="G128" s="9"/>
      <c r="H128" s="8">
        <v>0.0</v>
      </c>
      <c r="I128" s="8" t="s">
        <v>167</v>
      </c>
      <c r="J128" s="9">
        <v>46223.0</v>
      </c>
      <c r="K128" s="8" t="s">
        <v>167</v>
      </c>
      <c r="L128" s="8" t="b">
        <f t="shared" si="32"/>
        <v>1</v>
      </c>
      <c r="M128" s="9">
        <v>46223.0</v>
      </c>
      <c r="N128" s="8" t="b">
        <f t="shared" si="48"/>
        <v>0</v>
      </c>
      <c r="O128" s="9"/>
      <c r="P128" s="8" t="b">
        <f t="shared" si="16"/>
        <v>0</v>
      </c>
      <c r="Q128" s="9"/>
      <c r="R128" s="8" t="b">
        <f t="shared" si="28"/>
        <v>0</v>
      </c>
      <c r="S128" s="9"/>
      <c r="T128" s="8">
        <v>7.0</v>
      </c>
      <c r="U128" s="9">
        <v>46223.0</v>
      </c>
      <c r="V128" s="9">
        <v>46265.0</v>
      </c>
      <c r="W128" s="8" t="s">
        <v>121</v>
      </c>
      <c r="X128" s="8" t="s">
        <v>204</v>
      </c>
      <c r="Y128" s="8" t="s">
        <v>317</v>
      </c>
      <c r="Z128" s="8" t="s">
        <v>119</v>
      </c>
      <c r="AA128" s="13">
        <v>1.0E7</v>
      </c>
      <c r="AB128" s="8"/>
      <c r="AC128" s="8"/>
      <c r="AD128" s="8"/>
      <c r="AE128" s="8" t="s">
        <v>367</v>
      </c>
      <c r="AF128" s="8" t="s">
        <v>167</v>
      </c>
      <c r="AG128" s="8" t="s">
        <v>353</v>
      </c>
      <c r="AH128" s="8"/>
      <c r="AI128" s="8"/>
      <c r="AJ128" s="8"/>
      <c r="AK128" s="8" t="s">
        <v>297</v>
      </c>
      <c r="AL128" s="8" t="s">
        <v>515</v>
      </c>
      <c r="AM128" s="8" t="b">
        <f t="shared" si="194"/>
        <v>1</v>
      </c>
      <c r="AN128" s="8" t="s">
        <v>319</v>
      </c>
      <c r="AO128" s="8">
        <v>3.12692079E8</v>
      </c>
      <c r="AP128" s="8">
        <v>2.45518828E8</v>
      </c>
      <c r="AQ128" s="8" t="s">
        <v>1060</v>
      </c>
      <c r="AR128" s="8" t="s">
        <v>711</v>
      </c>
      <c r="AS128" s="8" t="s">
        <v>733</v>
      </c>
      <c r="AT128" s="10"/>
      <c r="AU128" s="8" t="b">
        <f>FALSE()</f>
        <v>0</v>
      </c>
      <c r="AV128" s="10"/>
      <c r="AW128" s="8" t="s">
        <v>233</v>
      </c>
      <c r="AX128" s="8">
        <v>1.0</v>
      </c>
      <c r="AY128" s="8" t="b">
        <f>FALSE()</f>
        <v>0</v>
      </c>
      <c r="AZ128" s="8" t="b">
        <f>TRUE()</f>
        <v>1</v>
      </c>
      <c r="BA128" s="8" t="b">
        <f t="shared" ref="BA128:BC128" si="200">FALSE()</f>
        <v>0</v>
      </c>
      <c r="BB128" s="8" t="b">
        <f t="shared" si="200"/>
        <v>0</v>
      </c>
      <c r="BC128" s="8" t="b">
        <f t="shared" si="200"/>
        <v>0</v>
      </c>
      <c r="BD128" s="10"/>
    </row>
    <row r="129" ht="15.0" customHeight="1">
      <c r="A129" s="8" t="s">
        <v>1061</v>
      </c>
      <c r="B129" s="8" t="s">
        <v>1007</v>
      </c>
      <c r="C129" s="8" t="s">
        <v>1062</v>
      </c>
      <c r="D129" s="8" t="b">
        <f t="shared" si="139"/>
        <v>0</v>
      </c>
      <c r="E129" s="10"/>
      <c r="F129" s="9"/>
      <c r="G129" s="9"/>
      <c r="H129" s="8">
        <v>0.0</v>
      </c>
      <c r="I129" s="8" t="s">
        <v>167</v>
      </c>
      <c r="J129" s="9">
        <v>46168.0</v>
      </c>
      <c r="K129" s="8" t="s">
        <v>167</v>
      </c>
      <c r="L129" s="8" t="b">
        <f t="shared" si="32"/>
        <v>1</v>
      </c>
      <c r="M129" s="9">
        <v>46168.0</v>
      </c>
      <c r="N129" s="8" t="b">
        <f t="shared" si="48"/>
        <v>0</v>
      </c>
      <c r="O129" s="9"/>
      <c r="P129" s="8" t="b">
        <f t="shared" si="16"/>
        <v>0</v>
      </c>
      <c r="Q129" s="9"/>
      <c r="R129" s="8" t="b">
        <f t="shared" si="28"/>
        <v>0</v>
      </c>
      <c r="S129" s="9"/>
      <c r="T129" s="8">
        <v>4.0</v>
      </c>
      <c r="U129" s="9">
        <v>46153.0</v>
      </c>
      <c r="V129" s="9">
        <v>46181.0</v>
      </c>
      <c r="W129" s="8" t="s">
        <v>83</v>
      </c>
      <c r="X129" s="8" t="s">
        <v>204</v>
      </c>
      <c r="Y129" s="8" t="s">
        <v>205</v>
      </c>
      <c r="Z129" s="8" t="s">
        <v>119</v>
      </c>
      <c r="AA129" s="13">
        <v>6000000.0</v>
      </c>
      <c r="AB129" s="8" t="s">
        <v>1064</v>
      </c>
      <c r="AC129" s="8" t="s">
        <v>143</v>
      </c>
      <c r="AD129" s="8" t="s">
        <v>87</v>
      </c>
      <c r="AE129" s="8" t="s">
        <v>87</v>
      </c>
      <c r="AF129" s="8" t="s">
        <v>167</v>
      </c>
      <c r="AG129" s="8" t="s">
        <v>405</v>
      </c>
      <c r="AH129" s="8"/>
      <c r="AI129" s="8"/>
      <c r="AJ129" s="8"/>
      <c r="AK129" s="8" t="s">
        <v>127</v>
      </c>
      <c r="AL129" s="8" t="s">
        <v>318</v>
      </c>
      <c r="AM129" s="8" t="b">
        <f t="shared" si="194"/>
        <v>1</v>
      </c>
      <c r="AN129" s="8" t="s">
        <v>227</v>
      </c>
      <c r="AO129" s="8">
        <v>2.97091164E8</v>
      </c>
      <c r="AP129" s="8">
        <v>2.40854909E8</v>
      </c>
      <c r="AQ129" s="8" t="s">
        <v>617</v>
      </c>
      <c r="AR129" s="8" t="s">
        <v>1065</v>
      </c>
      <c r="AS129" s="8" t="s">
        <v>1024</v>
      </c>
      <c r="AT129" s="10" t="s">
        <v>1040</v>
      </c>
      <c r="AU129" s="8">
        <v>0.0</v>
      </c>
      <c r="AV129" s="10"/>
      <c r="AW129" s="8" t="s">
        <v>233</v>
      </c>
      <c r="AX129" s="8">
        <v>0.0</v>
      </c>
      <c r="AY129" s="8">
        <v>0.0</v>
      </c>
      <c r="AZ129" s="8">
        <v>0.0</v>
      </c>
      <c r="BA129" s="8">
        <v>0.0</v>
      </c>
      <c r="BB129" s="8">
        <v>0.0</v>
      </c>
      <c r="BC129" s="8">
        <v>0.0</v>
      </c>
      <c r="BD129" s="10" t="s">
        <v>1066</v>
      </c>
    </row>
    <row r="130" ht="15.0" customHeight="1">
      <c r="A130" s="8" t="s">
        <v>1067</v>
      </c>
      <c r="B130" s="8" t="s">
        <v>501</v>
      </c>
      <c r="C130" s="8" t="s">
        <v>1068</v>
      </c>
      <c r="D130" s="8" t="b">
        <f t="shared" si="139"/>
        <v>0</v>
      </c>
      <c r="E130" s="10"/>
      <c r="F130" s="9"/>
      <c r="G130" s="9"/>
      <c r="H130" s="8">
        <v>0.0</v>
      </c>
      <c r="I130" s="8" t="s">
        <v>167</v>
      </c>
      <c r="J130" s="9">
        <v>45944.0</v>
      </c>
      <c r="K130" s="8" t="s">
        <v>167</v>
      </c>
      <c r="L130" s="8" t="b">
        <f t="shared" si="32"/>
        <v>1</v>
      </c>
      <c r="M130" s="9">
        <v>45944.0</v>
      </c>
      <c r="N130" s="8" t="b">
        <f t="shared" si="48"/>
        <v>0</v>
      </c>
      <c r="O130" s="9"/>
      <c r="P130" s="8" t="b">
        <f t="shared" si="16"/>
        <v>0</v>
      </c>
      <c r="Q130" s="9"/>
      <c r="R130" s="8" t="b">
        <f t="shared" si="28"/>
        <v>0</v>
      </c>
      <c r="S130" s="9"/>
      <c r="T130" s="8">
        <v>10.0</v>
      </c>
      <c r="U130" s="9">
        <v>45944.0</v>
      </c>
      <c r="V130" s="9">
        <v>46006.0</v>
      </c>
      <c r="W130" s="8" t="s">
        <v>140</v>
      </c>
      <c r="X130" s="8" t="s">
        <v>204</v>
      </c>
      <c r="Y130" s="8" t="s">
        <v>328</v>
      </c>
      <c r="Z130" s="8" t="s">
        <v>56</v>
      </c>
      <c r="AA130" s="13">
        <v>1.5E7</v>
      </c>
      <c r="AB130" s="8" t="s">
        <v>1069</v>
      </c>
      <c r="AC130" s="8" t="s">
        <v>969</v>
      </c>
      <c r="AD130" s="8" t="s">
        <v>356</v>
      </c>
      <c r="AE130" s="8" t="s">
        <v>214</v>
      </c>
      <c r="AF130" s="8" t="s">
        <v>200</v>
      </c>
      <c r="AG130" s="8"/>
      <c r="AH130" s="8"/>
      <c r="AI130" s="8"/>
      <c r="AJ130" s="8"/>
      <c r="AK130" s="8" t="s">
        <v>74</v>
      </c>
      <c r="AL130" s="8" t="s">
        <v>223</v>
      </c>
      <c r="AM130" s="8" t="b">
        <f t="shared" si="194"/>
        <v>1</v>
      </c>
      <c r="AN130" s="8" t="s">
        <v>227</v>
      </c>
      <c r="AO130" s="8">
        <v>2.99207954E8</v>
      </c>
      <c r="AP130" s="8">
        <v>2.17887197E8</v>
      </c>
      <c r="AQ130" s="8" t="s">
        <v>529</v>
      </c>
      <c r="AR130" s="8" t="s">
        <v>1070</v>
      </c>
      <c r="AS130" s="8" t="s">
        <v>1071</v>
      </c>
      <c r="AT130" s="10"/>
      <c r="AU130" s="8" t="b">
        <f t="shared" ref="AU130:AU136" si="202">FALSE()</f>
        <v>0</v>
      </c>
      <c r="AV130" s="10"/>
      <c r="AW130" s="8" t="s">
        <v>233</v>
      </c>
      <c r="AX130" s="8">
        <v>0.0</v>
      </c>
      <c r="AY130" s="8" t="b">
        <f t="shared" ref="AY130:BC130" si="201">FALSE()</f>
        <v>0</v>
      </c>
      <c r="AZ130" s="8" t="b">
        <f t="shared" si="201"/>
        <v>0</v>
      </c>
      <c r="BA130" s="8" t="b">
        <f t="shared" si="201"/>
        <v>0</v>
      </c>
      <c r="BB130" s="8" t="b">
        <f t="shared" si="201"/>
        <v>0</v>
      </c>
      <c r="BC130" s="8" t="b">
        <f t="shared" si="201"/>
        <v>0</v>
      </c>
      <c r="BD130" s="10" t="s">
        <v>1072</v>
      </c>
    </row>
    <row r="131" ht="15.0" customHeight="1">
      <c r="A131" s="8" t="s">
        <v>793</v>
      </c>
      <c r="B131" s="8" t="s">
        <v>586</v>
      </c>
      <c r="C131" s="30" t="s">
        <v>1073</v>
      </c>
      <c r="D131" s="8" t="b">
        <f t="shared" si="139"/>
        <v>0</v>
      </c>
      <c r="E131" s="10"/>
      <c r="F131" s="9"/>
      <c r="G131" s="9"/>
      <c r="H131" s="8">
        <v>0.0</v>
      </c>
      <c r="I131" s="8" t="s">
        <v>167</v>
      </c>
      <c r="J131" s="9">
        <v>45978.0</v>
      </c>
      <c r="K131" s="8" t="s">
        <v>167</v>
      </c>
      <c r="L131" s="8" t="b">
        <f t="shared" si="32"/>
        <v>1</v>
      </c>
      <c r="M131" s="9">
        <v>45978.0</v>
      </c>
      <c r="N131" s="8" t="b">
        <f t="shared" si="48"/>
        <v>0</v>
      </c>
      <c r="O131" s="9"/>
      <c r="P131" s="8" t="b">
        <f t="shared" si="16"/>
        <v>0</v>
      </c>
      <c r="Q131" s="9"/>
      <c r="R131" s="8" t="b">
        <f t="shared" si="28"/>
        <v>0</v>
      </c>
      <c r="S131" s="9"/>
      <c r="T131" s="8">
        <v>10.0</v>
      </c>
      <c r="U131" s="9">
        <v>45978.0</v>
      </c>
      <c r="V131" s="9">
        <v>46055.0</v>
      </c>
      <c r="W131" s="8" t="s">
        <v>121</v>
      </c>
      <c r="X131" s="8" t="s">
        <v>266</v>
      </c>
      <c r="Y131" s="8" t="s">
        <v>317</v>
      </c>
      <c r="Z131" s="8"/>
      <c r="AA131" s="13"/>
      <c r="AB131" s="8"/>
      <c r="AC131" s="8"/>
      <c r="AD131" s="8"/>
      <c r="AE131" s="8" t="s">
        <v>367</v>
      </c>
      <c r="AF131" s="8"/>
      <c r="AG131" s="8"/>
      <c r="AH131" s="8"/>
      <c r="AI131" s="8"/>
      <c r="AJ131" s="8"/>
      <c r="AK131" s="8"/>
      <c r="AL131" s="8"/>
      <c r="AM131" s="8" t="b">
        <f>FALSE()</f>
        <v>0</v>
      </c>
      <c r="AN131" s="8"/>
      <c r="AO131" s="8"/>
      <c r="AP131" s="8"/>
      <c r="AQ131" s="8"/>
      <c r="AR131" s="8"/>
      <c r="AS131" s="8"/>
      <c r="AT131" s="10"/>
      <c r="AU131" s="8" t="b">
        <f t="shared" si="202"/>
        <v>0</v>
      </c>
      <c r="AV131" s="10"/>
      <c r="AW131" s="8" t="s">
        <v>554</v>
      </c>
      <c r="AX131" s="8">
        <v>5.0</v>
      </c>
      <c r="AY131" s="8" t="b">
        <f t="shared" ref="AY131:BC131" si="203">TRUE()</f>
        <v>1</v>
      </c>
      <c r="AZ131" s="8" t="b">
        <f t="shared" si="203"/>
        <v>1</v>
      </c>
      <c r="BA131" s="8" t="b">
        <f t="shared" si="203"/>
        <v>1</v>
      </c>
      <c r="BB131" s="8" t="b">
        <f t="shared" si="203"/>
        <v>1</v>
      </c>
      <c r="BC131" s="8" t="b">
        <f t="shared" si="203"/>
        <v>1</v>
      </c>
      <c r="BD131" s="10"/>
    </row>
    <row r="132" ht="34.5" customHeight="1">
      <c r="A132" s="8" t="s">
        <v>971</v>
      </c>
      <c r="B132" s="8" t="s">
        <v>629</v>
      </c>
      <c r="C132" s="8" t="s">
        <v>973</v>
      </c>
      <c r="D132" s="8" t="b">
        <f t="shared" si="139"/>
        <v>0</v>
      </c>
      <c r="E132" s="10"/>
      <c r="F132" s="9"/>
      <c r="G132" s="9"/>
      <c r="H132" s="8">
        <v>0.0</v>
      </c>
      <c r="I132" s="8" t="s">
        <v>167</v>
      </c>
      <c r="J132" s="9">
        <v>46006.0</v>
      </c>
      <c r="K132" s="8" t="s">
        <v>167</v>
      </c>
      <c r="L132" s="8" t="b">
        <f t="shared" si="32"/>
        <v>1</v>
      </c>
      <c r="M132" s="9">
        <v>46006.0</v>
      </c>
      <c r="N132" s="8" t="b">
        <f t="shared" si="48"/>
        <v>0</v>
      </c>
      <c r="O132" s="9"/>
      <c r="P132" s="8" t="b">
        <f t="shared" si="16"/>
        <v>0</v>
      </c>
      <c r="Q132" s="9"/>
      <c r="R132" s="8" t="b">
        <f t="shared" si="28"/>
        <v>0</v>
      </c>
      <c r="S132" s="9"/>
      <c r="T132" s="8">
        <v>10.0</v>
      </c>
      <c r="U132" s="9">
        <v>46006.0</v>
      </c>
      <c r="V132" s="9">
        <v>46083.0</v>
      </c>
      <c r="W132" s="8" t="s">
        <v>83</v>
      </c>
      <c r="X132" s="8" t="s">
        <v>204</v>
      </c>
      <c r="Y132" s="8" t="s">
        <v>317</v>
      </c>
      <c r="Z132" s="8"/>
      <c r="AA132" s="13"/>
      <c r="AB132" s="8" t="s">
        <v>247</v>
      </c>
      <c r="AC132" s="8" t="s">
        <v>247</v>
      </c>
      <c r="AD132" s="8" t="s">
        <v>87</v>
      </c>
      <c r="AE132" s="8" t="s">
        <v>87</v>
      </c>
      <c r="AF132" s="8" t="s">
        <v>293</v>
      </c>
      <c r="AG132" s="8"/>
      <c r="AH132" s="8"/>
      <c r="AI132" s="8"/>
      <c r="AJ132" s="8"/>
      <c r="AK132" s="8" t="s">
        <v>127</v>
      </c>
      <c r="AL132" s="8" t="s">
        <v>318</v>
      </c>
      <c r="AM132" s="8" t="b">
        <f>TRUE()</f>
        <v>1</v>
      </c>
      <c r="AN132" s="8" t="s">
        <v>338</v>
      </c>
      <c r="AO132" s="8">
        <v>3.03684411E8</v>
      </c>
      <c r="AP132" s="8">
        <v>2.29185576E8</v>
      </c>
      <c r="AQ132" s="8" t="s">
        <v>432</v>
      </c>
      <c r="AR132" s="8" t="s">
        <v>1074</v>
      </c>
      <c r="AS132" s="8" t="s">
        <v>1075</v>
      </c>
      <c r="AT132" s="10"/>
      <c r="AU132" s="8" t="b">
        <f t="shared" si="202"/>
        <v>0</v>
      </c>
      <c r="AV132" s="10"/>
      <c r="AW132" s="8" t="s">
        <v>233</v>
      </c>
      <c r="AX132" s="8">
        <v>2.0</v>
      </c>
      <c r="AY132" s="8" t="b">
        <f t="shared" ref="AY132:AZ132" si="204">FALSE()</f>
        <v>0</v>
      </c>
      <c r="AZ132" s="8" t="b">
        <f t="shared" si="204"/>
        <v>0</v>
      </c>
      <c r="BA132" s="8" t="b">
        <f t="shared" ref="BA132:BB132" si="205">TRUE()</f>
        <v>1</v>
      </c>
      <c r="BB132" s="8" t="b">
        <f t="shared" si="205"/>
        <v>1</v>
      </c>
      <c r="BC132" s="8" t="b">
        <f>FALSE()</f>
        <v>0</v>
      </c>
      <c r="BD132" s="10" t="s">
        <v>1076</v>
      </c>
    </row>
    <row r="133" ht="15.0" customHeight="1">
      <c r="A133" s="8" t="s">
        <v>799</v>
      </c>
      <c r="B133" s="8" t="s">
        <v>640</v>
      </c>
      <c r="C133" s="8"/>
      <c r="D133" s="8" t="b">
        <f t="shared" si="139"/>
        <v>0</v>
      </c>
      <c r="E133" s="10"/>
      <c r="F133" s="9"/>
      <c r="G133" s="9"/>
      <c r="H133" s="8">
        <v>0.0</v>
      </c>
      <c r="I133" s="8" t="s">
        <v>167</v>
      </c>
      <c r="J133" s="9">
        <v>46027.0</v>
      </c>
      <c r="K133" s="8" t="s">
        <v>377</v>
      </c>
      <c r="L133" s="8" t="b">
        <f t="shared" si="32"/>
        <v>1</v>
      </c>
      <c r="M133" s="9">
        <v>46027.0</v>
      </c>
      <c r="N133" s="8" t="b">
        <f t="shared" si="48"/>
        <v>0</v>
      </c>
      <c r="O133" s="9"/>
      <c r="P133" s="8" t="b">
        <f t="shared" si="16"/>
        <v>0</v>
      </c>
      <c r="Q133" s="9"/>
      <c r="R133" s="8" t="b">
        <f t="shared" si="28"/>
        <v>0</v>
      </c>
      <c r="S133" s="9"/>
      <c r="T133" s="8">
        <v>4.0</v>
      </c>
      <c r="U133" s="9">
        <v>46027.0</v>
      </c>
      <c r="V133" s="9">
        <v>46048.0</v>
      </c>
      <c r="W133" s="8" t="s">
        <v>121</v>
      </c>
      <c r="X133" s="8" t="s">
        <v>266</v>
      </c>
      <c r="Y133" s="8" t="s">
        <v>317</v>
      </c>
      <c r="Z133" s="8"/>
      <c r="AA133" s="13"/>
      <c r="AB133" s="8"/>
      <c r="AC133" s="8"/>
      <c r="AD133" s="8"/>
      <c r="AE133" s="8" t="s">
        <v>367</v>
      </c>
      <c r="AF133" s="8"/>
      <c r="AG133" s="8"/>
      <c r="AH133" s="8"/>
      <c r="AI133" s="8"/>
      <c r="AJ133" s="8"/>
      <c r="AK133" s="8"/>
      <c r="AL133" s="8"/>
      <c r="AM133" s="8" t="b">
        <f t="shared" ref="AM133:AM134" si="207">FALSE()</f>
        <v>0</v>
      </c>
      <c r="AN133" s="8"/>
      <c r="AO133" s="8"/>
      <c r="AP133" s="8"/>
      <c r="AQ133" s="8"/>
      <c r="AR133" s="8"/>
      <c r="AS133" s="8"/>
      <c r="AT133" s="10"/>
      <c r="AU133" s="8" t="b">
        <f t="shared" si="202"/>
        <v>0</v>
      </c>
      <c r="AV133" s="10"/>
      <c r="AW133" s="8" t="s">
        <v>554</v>
      </c>
      <c r="AX133" s="8">
        <v>5.0</v>
      </c>
      <c r="AY133" s="8" t="b">
        <f t="shared" ref="AY133:BC133" si="206">TRUE()</f>
        <v>1</v>
      </c>
      <c r="AZ133" s="8" t="b">
        <f t="shared" si="206"/>
        <v>1</v>
      </c>
      <c r="BA133" s="8" t="b">
        <f t="shared" si="206"/>
        <v>1</v>
      </c>
      <c r="BB133" s="8" t="b">
        <f t="shared" si="206"/>
        <v>1</v>
      </c>
      <c r="BC133" s="8" t="b">
        <f t="shared" si="206"/>
        <v>1</v>
      </c>
      <c r="BD133" s="10"/>
    </row>
    <row r="134" ht="15.0" customHeight="1">
      <c r="A134" s="8" t="s">
        <v>801</v>
      </c>
      <c r="B134" s="8" t="s">
        <v>521</v>
      </c>
      <c r="C134" s="28" t="s">
        <v>1077</v>
      </c>
      <c r="D134" s="8" t="b">
        <f t="shared" si="139"/>
        <v>0</v>
      </c>
      <c r="E134" s="10"/>
      <c r="F134" s="9"/>
      <c r="G134" s="9"/>
      <c r="H134" s="8">
        <v>0.0</v>
      </c>
      <c r="I134" s="8" t="s">
        <v>167</v>
      </c>
      <c r="J134" s="9">
        <v>45950.0</v>
      </c>
      <c r="K134" s="8" t="s">
        <v>377</v>
      </c>
      <c r="L134" s="8" t="b">
        <f t="shared" si="32"/>
        <v>1</v>
      </c>
      <c r="M134" s="9">
        <v>45950.0</v>
      </c>
      <c r="N134" s="8" t="b">
        <f t="shared" si="48"/>
        <v>0</v>
      </c>
      <c r="O134" s="9"/>
      <c r="P134" s="8" t="b">
        <f t="shared" si="16"/>
        <v>0</v>
      </c>
      <c r="Q134" s="9"/>
      <c r="R134" s="8" t="b">
        <f t="shared" si="28"/>
        <v>0</v>
      </c>
      <c r="S134" s="9"/>
      <c r="T134" s="8">
        <v>3.0</v>
      </c>
      <c r="U134" s="9">
        <v>45950.0</v>
      </c>
      <c r="V134" s="9">
        <v>45964.0</v>
      </c>
      <c r="W134" s="8" t="s">
        <v>121</v>
      </c>
      <c r="X134" s="8" t="s">
        <v>266</v>
      </c>
      <c r="Y134" s="8" t="s">
        <v>317</v>
      </c>
      <c r="Z134" s="8"/>
      <c r="AA134" s="13"/>
      <c r="AB134" s="8"/>
      <c r="AC134" s="8"/>
      <c r="AD134" s="8"/>
      <c r="AE134" s="8" t="s">
        <v>367</v>
      </c>
      <c r="AF134" s="8"/>
      <c r="AG134" s="8"/>
      <c r="AH134" s="8"/>
      <c r="AI134" s="8"/>
      <c r="AJ134" s="8"/>
      <c r="AK134" s="8"/>
      <c r="AL134" s="8"/>
      <c r="AM134" s="8" t="b">
        <f t="shared" si="207"/>
        <v>0</v>
      </c>
      <c r="AN134" s="8"/>
      <c r="AO134" s="8"/>
      <c r="AP134" s="8"/>
      <c r="AQ134" s="8"/>
      <c r="AR134" s="8"/>
      <c r="AS134" s="8"/>
      <c r="AT134" s="10"/>
      <c r="AU134" s="8" t="b">
        <f t="shared" si="202"/>
        <v>0</v>
      </c>
      <c r="AV134" s="10"/>
      <c r="AW134" s="8" t="s">
        <v>554</v>
      </c>
      <c r="AX134" s="8">
        <v>5.0</v>
      </c>
      <c r="AY134" s="8" t="b">
        <f t="shared" ref="AY134:BC134" si="208">TRUE()</f>
        <v>1</v>
      </c>
      <c r="AZ134" s="8" t="b">
        <f t="shared" si="208"/>
        <v>1</v>
      </c>
      <c r="BA134" s="8" t="b">
        <f t="shared" si="208"/>
        <v>1</v>
      </c>
      <c r="BB134" s="8" t="b">
        <f t="shared" si="208"/>
        <v>1</v>
      </c>
      <c r="BC134" s="8" t="b">
        <f t="shared" si="208"/>
        <v>1</v>
      </c>
      <c r="BD134" s="10"/>
    </row>
    <row r="135" ht="15.0" customHeight="1">
      <c r="A135" s="8" t="s">
        <v>975</v>
      </c>
      <c r="B135" s="8" t="s">
        <v>502</v>
      </c>
      <c r="C135" s="8" t="s">
        <v>978</v>
      </c>
      <c r="D135" s="8" t="b">
        <f t="shared" si="139"/>
        <v>0</v>
      </c>
      <c r="E135" s="10"/>
      <c r="F135" s="9"/>
      <c r="G135" s="9"/>
      <c r="H135" s="8">
        <v>0.0</v>
      </c>
      <c r="I135" s="8" t="s">
        <v>167</v>
      </c>
      <c r="J135" s="9">
        <v>45944.0</v>
      </c>
      <c r="K135" s="8" t="s">
        <v>167</v>
      </c>
      <c r="L135" s="8" t="b">
        <f t="shared" si="32"/>
        <v>1</v>
      </c>
      <c r="M135" s="9">
        <v>45944.0</v>
      </c>
      <c r="N135" s="8" t="b">
        <f t="shared" si="48"/>
        <v>0</v>
      </c>
      <c r="O135" s="9"/>
      <c r="P135" s="8" t="b">
        <f t="shared" si="16"/>
        <v>0</v>
      </c>
      <c r="Q135" s="9"/>
      <c r="R135" s="8" t="b">
        <f t="shared" si="28"/>
        <v>0</v>
      </c>
      <c r="S135" s="9"/>
      <c r="T135" s="8">
        <v>7.0</v>
      </c>
      <c r="U135" s="9">
        <v>45944.0</v>
      </c>
      <c r="V135" s="9">
        <v>45999.0</v>
      </c>
      <c r="W135" s="8" t="s">
        <v>83</v>
      </c>
      <c r="X135" s="8" t="s">
        <v>204</v>
      </c>
      <c r="Y135" s="8" t="s">
        <v>205</v>
      </c>
      <c r="Z135" s="8" t="s">
        <v>119</v>
      </c>
      <c r="AA135" s="13">
        <v>6000000.0</v>
      </c>
      <c r="AB135" s="8"/>
      <c r="AC135" s="8"/>
      <c r="AD135" s="8"/>
      <c r="AE135" s="8" t="s">
        <v>367</v>
      </c>
      <c r="AF135" s="8" t="s">
        <v>185</v>
      </c>
      <c r="AG135" s="8" t="s">
        <v>353</v>
      </c>
      <c r="AH135" s="8" t="s">
        <v>220</v>
      </c>
      <c r="AI135" s="8" t="s">
        <v>218</v>
      </c>
      <c r="AJ135" s="8" t="s">
        <v>220</v>
      </c>
      <c r="AK135" s="8" t="s">
        <v>215</v>
      </c>
      <c r="AL135" s="8" t="s">
        <v>393</v>
      </c>
      <c r="AM135" s="8" t="b">
        <f t="shared" ref="AM135:AM139" si="210">TRUE()</f>
        <v>1</v>
      </c>
      <c r="AN135" s="8" t="s">
        <v>227</v>
      </c>
      <c r="AO135" s="8">
        <v>3.01817063E8</v>
      </c>
      <c r="AP135" s="8">
        <v>2.19481178E8</v>
      </c>
      <c r="AQ135" s="8" t="s">
        <v>1023</v>
      </c>
      <c r="AR135" s="8" t="s">
        <v>1071</v>
      </c>
      <c r="AS135" s="8" t="s">
        <v>1006</v>
      </c>
      <c r="AT135" s="10"/>
      <c r="AU135" s="8" t="b">
        <f t="shared" si="202"/>
        <v>0</v>
      </c>
      <c r="AV135" s="10"/>
      <c r="AW135" s="8" t="s">
        <v>233</v>
      </c>
      <c r="AX135" s="8">
        <v>1.0</v>
      </c>
      <c r="AY135" s="8" t="b">
        <f t="shared" ref="AY135:AY136" si="211">FALSE()</f>
        <v>0</v>
      </c>
      <c r="AZ135" s="8" t="b">
        <f>TRUE()</f>
        <v>1</v>
      </c>
      <c r="BA135" s="8" t="b">
        <f t="shared" ref="BA135:BC135" si="209">FALSE()</f>
        <v>0</v>
      </c>
      <c r="BB135" s="8" t="b">
        <f t="shared" si="209"/>
        <v>0</v>
      </c>
      <c r="BC135" s="8" t="b">
        <f t="shared" si="209"/>
        <v>0</v>
      </c>
      <c r="BD135" s="10" t="s">
        <v>1081</v>
      </c>
    </row>
    <row r="136" ht="15.0" customHeight="1">
      <c r="A136" s="8" t="s">
        <v>1082</v>
      </c>
      <c r="B136" s="8" t="s">
        <v>1079</v>
      </c>
      <c r="C136" s="8" t="s">
        <v>1083</v>
      </c>
      <c r="D136" s="8" t="b">
        <f t="shared" si="139"/>
        <v>0</v>
      </c>
      <c r="E136" s="10"/>
      <c r="F136" s="9"/>
      <c r="G136" s="9"/>
      <c r="H136" s="8">
        <v>0.0</v>
      </c>
      <c r="I136" s="8" t="s">
        <v>167</v>
      </c>
      <c r="J136" s="9">
        <v>46195.0</v>
      </c>
      <c r="K136" s="8" t="s">
        <v>167</v>
      </c>
      <c r="L136" s="8" t="b">
        <f t="shared" si="32"/>
        <v>1</v>
      </c>
      <c r="M136" s="9">
        <v>46195.0</v>
      </c>
      <c r="N136" s="8" t="b">
        <f t="shared" si="48"/>
        <v>0</v>
      </c>
      <c r="O136" s="9"/>
      <c r="P136" s="8" t="b">
        <f t="shared" si="16"/>
        <v>0</v>
      </c>
      <c r="Q136" s="9"/>
      <c r="R136" s="8" t="b">
        <f t="shared" si="28"/>
        <v>0</v>
      </c>
      <c r="S136" s="9"/>
      <c r="T136" s="8">
        <v>9.0</v>
      </c>
      <c r="U136" s="9">
        <v>46195.0</v>
      </c>
      <c r="V136" s="9">
        <v>46258.0</v>
      </c>
      <c r="W136" s="8" t="s">
        <v>83</v>
      </c>
      <c r="X136" s="8" t="s">
        <v>204</v>
      </c>
      <c r="Y136" s="8" t="s">
        <v>205</v>
      </c>
      <c r="Z136" s="8" t="s">
        <v>281</v>
      </c>
      <c r="AA136" s="13">
        <v>1500000.0</v>
      </c>
      <c r="AB136" s="8" t="s">
        <v>292</v>
      </c>
      <c r="AC136" s="8" t="s">
        <v>70</v>
      </c>
      <c r="AD136" s="8" t="s">
        <v>71</v>
      </c>
      <c r="AE136" s="8" t="s">
        <v>214</v>
      </c>
      <c r="AF136" s="8" t="s">
        <v>167</v>
      </c>
      <c r="AG136" s="8" t="s">
        <v>353</v>
      </c>
      <c r="AH136" s="8"/>
      <c r="AI136" s="8"/>
      <c r="AJ136" s="8" t="s">
        <v>218</v>
      </c>
      <c r="AK136" s="8" t="s">
        <v>215</v>
      </c>
      <c r="AL136" s="8" t="s">
        <v>393</v>
      </c>
      <c r="AM136" s="8" t="b">
        <f t="shared" si="210"/>
        <v>1</v>
      </c>
      <c r="AN136" s="8" t="s">
        <v>227</v>
      </c>
      <c r="AO136" s="8">
        <v>3.01448547E8</v>
      </c>
      <c r="AP136" s="8">
        <v>2.44266212E8</v>
      </c>
      <c r="AQ136" s="8" t="s">
        <v>710</v>
      </c>
      <c r="AR136" s="8" t="s">
        <v>711</v>
      </c>
      <c r="AS136" s="8" t="s">
        <v>1084</v>
      </c>
      <c r="AT136" s="10"/>
      <c r="AU136" s="8" t="b">
        <f t="shared" si="202"/>
        <v>0</v>
      </c>
      <c r="AV136" s="10"/>
      <c r="AW136" s="8" t="s">
        <v>233</v>
      </c>
      <c r="AX136" s="8">
        <v>0.0</v>
      </c>
      <c r="AY136" s="8" t="b">
        <f t="shared" si="211"/>
        <v>0</v>
      </c>
      <c r="AZ136" s="8" t="b">
        <f t="shared" ref="AZ136:BC136" si="212">FALSE()</f>
        <v>0</v>
      </c>
      <c r="BA136" s="8" t="b">
        <f t="shared" si="212"/>
        <v>0</v>
      </c>
      <c r="BB136" s="8" t="b">
        <f t="shared" si="212"/>
        <v>0</v>
      </c>
      <c r="BC136" s="8" t="b">
        <f t="shared" si="212"/>
        <v>0</v>
      </c>
      <c r="BD136" s="10" t="s">
        <v>1085</v>
      </c>
    </row>
    <row r="137" ht="15.0" customHeight="1">
      <c r="A137" s="8" t="s">
        <v>979</v>
      </c>
      <c r="B137" s="8" t="s">
        <v>915</v>
      </c>
      <c r="C137" s="8" t="s">
        <v>980</v>
      </c>
      <c r="D137" s="8" t="b">
        <f t="shared" si="139"/>
        <v>0</v>
      </c>
      <c r="E137" s="10"/>
      <c r="F137" s="9"/>
      <c r="G137" s="9"/>
      <c r="H137" s="8">
        <v>0.0</v>
      </c>
      <c r="I137" s="8" t="s">
        <v>167</v>
      </c>
      <c r="J137" s="9">
        <v>46132.0</v>
      </c>
      <c r="K137" s="8" t="s">
        <v>167</v>
      </c>
      <c r="L137" s="8" t="b">
        <f t="shared" si="32"/>
        <v>1</v>
      </c>
      <c r="M137" s="9">
        <v>46132.0</v>
      </c>
      <c r="N137" s="8" t="b">
        <f t="shared" si="48"/>
        <v>0</v>
      </c>
      <c r="O137" s="9"/>
      <c r="P137" s="8" t="b">
        <f t="shared" si="16"/>
        <v>0</v>
      </c>
      <c r="Q137" s="9"/>
      <c r="R137" s="8" t="b">
        <f t="shared" si="28"/>
        <v>0</v>
      </c>
      <c r="S137" s="9"/>
      <c r="T137" s="8">
        <v>13.0</v>
      </c>
      <c r="U137" s="9">
        <v>46118.0</v>
      </c>
      <c r="V137" s="9">
        <v>46265.0</v>
      </c>
      <c r="W137" s="8" t="s">
        <v>83</v>
      </c>
      <c r="X137" s="8" t="s">
        <v>204</v>
      </c>
      <c r="Y137" s="8" t="s">
        <v>205</v>
      </c>
      <c r="Z137" s="8" t="s">
        <v>119</v>
      </c>
      <c r="AA137" s="13"/>
      <c r="AB137" s="8"/>
      <c r="AC137" s="8"/>
      <c r="AD137" s="8"/>
      <c r="AE137" s="8" t="s">
        <v>367</v>
      </c>
      <c r="AF137" s="8" t="s">
        <v>293</v>
      </c>
      <c r="AG137" s="8" t="s">
        <v>471</v>
      </c>
      <c r="AH137" s="8"/>
      <c r="AI137" s="8"/>
      <c r="AJ137" s="8"/>
      <c r="AK137" s="8" t="s">
        <v>127</v>
      </c>
      <c r="AL137" s="8" t="s">
        <v>318</v>
      </c>
      <c r="AM137" s="8" t="b">
        <f t="shared" si="210"/>
        <v>1</v>
      </c>
      <c r="AN137" s="8" t="s">
        <v>227</v>
      </c>
      <c r="AO137" s="8">
        <v>3.11466485E8</v>
      </c>
      <c r="AP137" s="8">
        <v>2.38643463E8</v>
      </c>
      <c r="AQ137" s="8" t="s">
        <v>1057</v>
      </c>
      <c r="AR137" s="8" t="s">
        <v>1057</v>
      </c>
      <c r="AS137" s="8" t="s">
        <v>887</v>
      </c>
      <c r="AT137" s="10" t="s">
        <v>1086</v>
      </c>
      <c r="AU137" s="8">
        <v>0.0</v>
      </c>
      <c r="AV137" s="10"/>
      <c r="AW137" s="8" t="s">
        <v>233</v>
      </c>
      <c r="AX137" s="8">
        <v>2.0</v>
      </c>
      <c r="AY137" s="8">
        <v>0.0</v>
      </c>
      <c r="AZ137" s="8">
        <v>1.0</v>
      </c>
      <c r="BA137" s="8">
        <v>0.0</v>
      </c>
      <c r="BB137" s="8">
        <v>1.0</v>
      </c>
      <c r="BC137" s="8">
        <v>0.0</v>
      </c>
      <c r="BD137" s="10" t="s">
        <v>1088</v>
      </c>
    </row>
    <row r="138" ht="68.25" customHeight="1">
      <c r="A138" s="8" t="s">
        <v>1089</v>
      </c>
      <c r="B138" s="8" t="s">
        <v>794</v>
      </c>
      <c r="C138" s="8" t="s">
        <v>1090</v>
      </c>
      <c r="D138" s="8" t="b">
        <f t="shared" si="139"/>
        <v>0</v>
      </c>
      <c r="E138" s="10"/>
      <c r="F138" s="9"/>
      <c r="G138" s="9"/>
      <c r="H138" s="8">
        <v>0.0</v>
      </c>
      <c r="I138" s="8" t="s">
        <v>167</v>
      </c>
      <c r="J138" s="9">
        <v>46070.0</v>
      </c>
      <c r="K138" s="8" t="s">
        <v>377</v>
      </c>
      <c r="L138" s="8" t="b">
        <f t="shared" si="32"/>
        <v>1</v>
      </c>
      <c r="M138" s="9">
        <v>46070.0</v>
      </c>
      <c r="N138" s="8" t="b">
        <f t="shared" si="48"/>
        <v>0</v>
      </c>
      <c r="O138" s="9"/>
      <c r="P138" s="8" t="b">
        <f t="shared" si="16"/>
        <v>0</v>
      </c>
      <c r="Q138" s="9"/>
      <c r="R138" s="8" t="b">
        <f t="shared" si="28"/>
        <v>0</v>
      </c>
      <c r="S138" s="9"/>
      <c r="T138" s="8">
        <v>3.0</v>
      </c>
      <c r="U138" s="9">
        <v>46070.0</v>
      </c>
      <c r="V138" s="9">
        <v>46083.0</v>
      </c>
      <c r="W138" s="8" t="s">
        <v>121</v>
      </c>
      <c r="X138" s="8" t="s">
        <v>204</v>
      </c>
      <c r="Y138" s="8" t="s">
        <v>317</v>
      </c>
      <c r="Z138" s="8" t="s">
        <v>119</v>
      </c>
      <c r="AA138" s="13">
        <v>9000000.0</v>
      </c>
      <c r="AB138" s="8" t="s">
        <v>1091</v>
      </c>
      <c r="AC138" s="8" t="s">
        <v>166</v>
      </c>
      <c r="AD138" s="8" t="s">
        <v>87</v>
      </c>
      <c r="AE138" s="8" t="s">
        <v>87</v>
      </c>
      <c r="AF138" s="8" t="s">
        <v>185</v>
      </c>
      <c r="AG138" s="8" t="s">
        <v>353</v>
      </c>
      <c r="AH138" s="8"/>
      <c r="AI138" s="8"/>
      <c r="AJ138" s="8"/>
      <c r="AK138" s="8" t="s">
        <v>154</v>
      </c>
      <c r="AL138" s="8" t="s">
        <v>337</v>
      </c>
      <c r="AM138" s="8" t="b">
        <f t="shared" si="210"/>
        <v>1</v>
      </c>
      <c r="AN138" s="8" t="s">
        <v>227</v>
      </c>
      <c r="AO138" s="8">
        <v>2.878815E8</v>
      </c>
      <c r="AP138" s="8">
        <v>2.33719575E8</v>
      </c>
      <c r="AQ138" s="8" t="s">
        <v>540</v>
      </c>
      <c r="AR138" s="8" t="s">
        <v>412</v>
      </c>
      <c r="AS138" s="8" t="s">
        <v>1092</v>
      </c>
      <c r="AT138" s="10"/>
      <c r="AU138" s="8" t="b">
        <f t="shared" ref="AU138:AU153" si="214">FALSE()</f>
        <v>0</v>
      </c>
      <c r="AV138" s="10"/>
      <c r="AW138" s="8" t="s">
        <v>233</v>
      </c>
      <c r="AX138" s="8">
        <v>0.0</v>
      </c>
      <c r="AY138" s="8" t="b">
        <f t="shared" ref="AY138:BC138" si="213">FALSE()</f>
        <v>0</v>
      </c>
      <c r="AZ138" s="8" t="b">
        <f t="shared" si="213"/>
        <v>0</v>
      </c>
      <c r="BA138" s="8" t="b">
        <f t="shared" si="213"/>
        <v>0</v>
      </c>
      <c r="BB138" s="8" t="b">
        <f t="shared" si="213"/>
        <v>0</v>
      </c>
      <c r="BC138" s="8" t="b">
        <f t="shared" si="213"/>
        <v>0</v>
      </c>
      <c r="BD138" s="10" t="s">
        <v>1093</v>
      </c>
    </row>
    <row r="139" ht="124.5" customHeight="1">
      <c r="A139" s="8" t="s">
        <v>981</v>
      </c>
      <c r="B139" s="8" t="s">
        <v>796</v>
      </c>
      <c r="C139" s="8" t="s">
        <v>982</v>
      </c>
      <c r="D139" s="8" t="b">
        <f t="shared" si="139"/>
        <v>0</v>
      </c>
      <c r="E139" s="10"/>
      <c r="F139" s="9"/>
      <c r="G139" s="9"/>
      <c r="H139" s="8">
        <v>0.0</v>
      </c>
      <c r="I139" s="8" t="s">
        <v>167</v>
      </c>
      <c r="J139" s="9">
        <v>46076.0</v>
      </c>
      <c r="K139" s="8" t="s">
        <v>167</v>
      </c>
      <c r="L139" s="8" t="b">
        <f t="shared" si="32"/>
        <v>1</v>
      </c>
      <c r="M139" s="9">
        <v>46076.0</v>
      </c>
      <c r="N139" s="8" t="b">
        <f t="shared" si="48"/>
        <v>0</v>
      </c>
      <c r="O139" s="9"/>
      <c r="P139" s="8" t="b">
        <f t="shared" si="16"/>
        <v>0</v>
      </c>
      <c r="Q139" s="9"/>
      <c r="R139" s="8" t="b">
        <f t="shared" si="28"/>
        <v>0</v>
      </c>
      <c r="S139" s="9"/>
      <c r="T139" s="8">
        <v>3.0</v>
      </c>
      <c r="U139" s="9">
        <v>46070.0</v>
      </c>
      <c r="V139" s="9">
        <v>46083.0</v>
      </c>
      <c r="W139" s="8" t="s">
        <v>121</v>
      </c>
      <c r="X139" s="8" t="s">
        <v>204</v>
      </c>
      <c r="Y139" s="8" t="s">
        <v>317</v>
      </c>
      <c r="Z139" s="8" t="s">
        <v>265</v>
      </c>
      <c r="AA139" s="13">
        <v>1.0E8</v>
      </c>
      <c r="AB139" s="8"/>
      <c r="AC139" s="8"/>
      <c r="AD139" s="8"/>
      <c r="AE139" s="8" t="s">
        <v>367</v>
      </c>
      <c r="AF139" s="8" t="s">
        <v>185</v>
      </c>
      <c r="AG139" s="8" t="s">
        <v>353</v>
      </c>
      <c r="AH139" s="8"/>
      <c r="AI139" s="8"/>
      <c r="AJ139" s="8"/>
      <c r="AK139" s="8" t="s">
        <v>154</v>
      </c>
      <c r="AL139" s="8" t="s">
        <v>337</v>
      </c>
      <c r="AM139" s="8" t="b">
        <f t="shared" si="210"/>
        <v>1</v>
      </c>
      <c r="AN139" s="8" t="s">
        <v>227</v>
      </c>
      <c r="AO139" s="8">
        <v>2.25048758E8</v>
      </c>
      <c r="AP139" s="8">
        <v>2.34062316E8</v>
      </c>
      <c r="AQ139" s="8" t="s">
        <v>339</v>
      </c>
      <c r="AR139" s="8"/>
      <c r="AS139" s="8"/>
      <c r="AT139" s="10"/>
      <c r="AU139" s="8" t="b">
        <f t="shared" si="214"/>
        <v>0</v>
      </c>
      <c r="AV139" s="10"/>
      <c r="AW139" s="8" t="s">
        <v>233</v>
      </c>
      <c r="AX139" s="8">
        <v>1.0</v>
      </c>
      <c r="AY139" s="8" t="b">
        <f>FALSE()</f>
        <v>0</v>
      </c>
      <c r="AZ139" s="8" t="b">
        <f>TRUE()</f>
        <v>1</v>
      </c>
      <c r="BA139" s="8" t="b">
        <f t="shared" ref="BA139:BC139" si="215">FALSE()</f>
        <v>0</v>
      </c>
      <c r="BB139" s="8" t="b">
        <f t="shared" si="215"/>
        <v>0</v>
      </c>
      <c r="BC139" s="8" t="b">
        <f t="shared" si="215"/>
        <v>0</v>
      </c>
      <c r="BD139" s="10" t="s">
        <v>1094</v>
      </c>
    </row>
    <row r="140" ht="79.5" customHeight="1">
      <c r="A140" s="8" t="s">
        <v>803</v>
      </c>
      <c r="B140" s="8" t="s">
        <v>797</v>
      </c>
      <c r="C140" s="8"/>
      <c r="D140" s="8" t="b">
        <f t="shared" si="139"/>
        <v>0</v>
      </c>
      <c r="E140" s="10"/>
      <c r="F140" s="9"/>
      <c r="G140" s="9"/>
      <c r="H140" s="8">
        <v>0.0</v>
      </c>
      <c r="I140" s="8" t="s">
        <v>167</v>
      </c>
      <c r="J140" s="9">
        <v>46070.0</v>
      </c>
      <c r="K140" s="8" t="s">
        <v>167</v>
      </c>
      <c r="L140" s="8" t="b">
        <f t="shared" si="32"/>
        <v>1</v>
      </c>
      <c r="M140" s="9">
        <v>46070.0</v>
      </c>
      <c r="N140" s="8" t="b">
        <f t="shared" si="48"/>
        <v>0</v>
      </c>
      <c r="O140" s="9"/>
      <c r="P140" s="8" t="b">
        <f t="shared" si="16"/>
        <v>0</v>
      </c>
      <c r="Q140" s="9"/>
      <c r="R140" s="8" t="b">
        <f t="shared" si="28"/>
        <v>0</v>
      </c>
      <c r="S140" s="9"/>
      <c r="T140" s="8">
        <v>2.0</v>
      </c>
      <c r="U140" s="9">
        <v>46070.0</v>
      </c>
      <c r="V140" s="9">
        <v>46076.0</v>
      </c>
      <c r="W140" s="8" t="s">
        <v>121</v>
      </c>
      <c r="X140" s="8" t="s">
        <v>266</v>
      </c>
      <c r="Y140" s="8" t="s">
        <v>317</v>
      </c>
      <c r="Z140" s="8"/>
      <c r="AA140" s="13"/>
      <c r="AB140" s="8"/>
      <c r="AC140" s="8"/>
      <c r="AD140" s="8"/>
      <c r="AE140" s="8" t="s">
        <v>367</v>
      </c>
      <c r="AF140" s="8"/>
      <c r="AG140" s="8"/>
      <c r="AH140" s="8"/>
      <c r="AI140" s="8"/>
      <c r="AJ140" s="8"/>
      <c r="AK140" s="8"/>
      <c r="AL140" s="8"/>
      <c r="AM140" s="8" t="b">
        <f>FALSE()</f>
        <v>0</v>
      </c>
      <c r="AN140" s="8"/>
      <c r="AO140" s="8"/>
      <c r="AP140" s="8"/>
      <c r="AQ140" s="8"/>
      <c r="AR140" s="8"/>
      <c r="AS140" s="8"/>
      <c r="AT140" s="10"/>
      <c r="AU140" s="8" t="b">
        <f t="shared" si="214"/>
        <v>0</v>
      </c>
      <c r="AV140" s="10"/>
      <c r="AW140" s="8" t="s">
        <v>554</v>
      </c>
      <c r="AX140" s="8">
        <v>5.0</v>
      </c>
      <c r="AY140" s="8" t="b">
        <f t="shared" ref="AY140:BC140" si="216">TRUE()</f>
        <v>1</v>
      </c>
      <c r="AZ140" s="8" t="b">
        <f t="shared" si="216"/>
        <v>1</v>
      </c>
      <c r="BA140" s="8" t="b">
        <f t="shared" si="216"/>
        <v>1</v>
      </c>
      <c r="BB140" s="8" t="b">
        <f t="shared" si="216"/>
        <v>1</v>
      </c>
      <c r="BC140" s="8" t="b">
        <f t="shared" si="216"/>
        <v>1</v>
      </c>
      <c r="BD140" s="10"/>
    </row>
    <row r="141" ht="15.0" customHeight="1">
      <c r="A141" s="8" t="s">
        <v>1095</v>
      </c>
      <c r="B141" s="8" t="s">
        <v>937</v>
      </c>
      <c r="C141" s="8" t="s">
        <v>1096</v>
      </c>
      <c r="D141" s="8" t="b">
        <f t="shared" si="139"/>
        <v>0</v>
      </c>
      <c r="E141" s="10"/>
      <c r="F141" s="9"/>
      <c r="G141" s="9"/>
      <c r="H141" s="8">
        <v>0.0</v>
      </c>
      <c r="I141" s="8" t="s">
        <v>167</v>
      </c>
      <c r="J141" s="9">
        <v>46132.0</v>
      </c>
      <c r="K141" s="8" t="s">
        <v>167</v>
      </c>
      <c r="L141" s="8" t="b">
        <f t="shared" si="32"/>
        <v>1</v>
      </c>
      <c r="M141" s="9">
        <v>46132.0</v>
      </c>
      <c r="N141" s="8" t="b">
        <f t="shared" si="48"/>
        <v>0</v>
      </c>
      <c r="O141" s="9"/>
      <c r="P141" s="8" t="b">
        <f t="shared" si="16"/>
        <v>0</v>
      </c>
      <c r="Q141" s="9"/>
      <c r="R141" s="8" t="b">
        <f t="shared" si="28"/>
        <v>0</v>
      </c>
      <c r="S141" s="9"/>
      <c r="T141" s="8">
        <v>6.0</v>
      </c>
      <c r="U141" s="9">
        <v>46125.0</v>
      </c>
      <c r="V141" s="9">
        <v>46168.0</v>
      </c>
      <c r="W141" s="8" t="s">
        <v>83</v>
      </c>
      <c r="X141" s="8" t="s">
        <v>204</v>
      </c>
      <c r="Y141" s="8" t="s">
        <v>205</v>
      </c>
      <c r="Z141" s="8" t="s">
        <v>119</v>
      </c>
      <c r="AA141" s="13">
        <v>1.0E7</v>
      </c>
      <c r="AB141" s="8" t="s">
        <v>1098</v>
      </c>
      <c r="AC141" s="8" t="s">
        <v>166</v>
      </c>
      <c r="AD141" s="8" t="s">
        <v>87</v>
      </c>
      <c r="AE141" s="8" t="s">
        <v>87</v>
      </c>
      <c r="AF141" s="8" t="s">
        <v>293</v>
      </c>
      <c r="AG141" s="8" t="s">
        <v>405</v>
      </c>
      <c r="AH141" s="8"/>
      <c r="AI141" s="8"/>
      <c r="AJ141" s="8"/>
      <c r="AK141" s="8" t="s">
        <v>127</v>
      </c>
      <c r="AL141" s="8" t="s">
        <v>318</v>
      </c>
      <c r="AM141" s="8" t="b">
        <f t="shared" ref="AM141:AM145" si="218">TRUE()</f>
        <v>1</v>
      </c>
      <c r="AN141" s="8" t="s">
        <v>338</v>
      </c>
      <c r="AO141" s="8">
        <v>3.11239459E8</v>
      </c>
      <c r="AP141" s="8">
        <v>2.38643484E8</v>
      </c>
      <c r="AQ141" s="8" t="s">
        <v>1057</v>
      </c>
      <c r="AR141" s="8" t="s">
        <v>1057</v>
      </c>
      <c r="AS141" s="8" t="s">
        <v>1099</v>
      </c>
      <c r="AT141" s="10"/>
      <c r="AU141" s="8" t="b">
        <f t="shared" si="214"/>
        <v>0</v>
      </c>
      <c r="AV141" s="10"/>
      <c r="AW141" s="8" t="s">
        <v>233</v>
      </c>
      <c r="AX141" s="8">
        <v>0.0</v>
      </c>
      <c r="AY141" s="8" t="b">
        <f t="shared" ref="AY141:BC141" si="217">FALSE()</f>
        <v>0</v>
      </c>
      <c r="AZ141" s="8" t="b">
        <f t="shared" si="217"/>
        <v>0</v>
      </c>
      <c r="BA141" s="8" t="b">
        <f t="shared" si="217"/>
        <v>0</v>
      </c>
      <c r="BB141" s="8" t="b">
        <f t="shared" si="217"/>
        <v>0</v>
      </c>
      <c r="BC141" s="8" t="b">
        <f t="shared" si="217"/>
        <v>0</v>
      </c>
      <c r="BD141" s="10" t="s">
        <v>1100</v>
      </c>
    </row>
    <row r="142" ht="15.0" customHeight="1">
      <c r="A142" s="8" t="s">
        <v>1101</v>
      </c>
      <c r="B142" s="8" t="s">
        <v>522</v>
      </c>
      <c r="C142" s="8" t="s">
        <v>1102</v>
      </c>
      <c r="D142" s="8" t="b">
        <f t="shared" si="139"/>
        <v>0</v>
      </c>
      <c r="E142" s="10"/>
      <c r="F142" s="9"/>
      <c r="G142" s="9"/>
      <c r="H142" s="8">
        <v>0.0</v>
      </c>
      <c r="I142" s="8" t="s">
        <v>167</v>
      </c>
      <c r="J142" s="9">
        <v>45957.0</v>
      </c>
      <c r="K142" s="8" t="s">
        <v>167</v>
      </c>
      <c r="L142" s="8" t="b">
        <f t="shared" si="32"/>
        <v>1</v>
      </c>
      <c r="M142" s="9">
        <v>45957.0</v>
      </c>
      <c r="N142" s="8" t="b">
        <f t="shared" si="48"/>
        <v>0</v>
      </c>
      <c r="O142" s="9"/>
      <c r="P142" s="8" t="b">
        <f t="shared" si="16"/>
        <v>0</v>
      </c>
      <c r="Q142" s="9"/>
      <c r="R142" s="8" t="b">
        <f t="shared" si="28"/>
        <v>0</v>
      </c>
      <c r="S142" s="9"/>
      <c r="T142" s="8">
        <v>3.0</v>
      </c>
      <c r="U142" s="9">
        <v>45950.0</v>
      </c>
      <c r="V142" s="9">
        <v>45964.0</v>
      </c>
      <c r="W142" s="8" t="s">
        <v>83</v>
      </c>
      <c r="X142" s="8" t="s">
        <v>204</v>
      </c>
      <c r="Y142" s="8" t="s">
        <v>205</v>
      </c>
      <c r="Z142" s="8" t="s">
        <v>119</v>
      </c>
      <c r="AA142" s="13">
        <v>2000000.0</v>
      </c>
      <c r="AB142" s="8"/>
      <c r="AC142" s="8"/>
      <c r="AD142" s="8" t="s">
        <v>364</v>
      </c>
      <c r="AE142" s="8" t="s">
        <v>214</v>
      </c>
      <c r="AF142" s="8" t="s">
        <v>200</v>
      </c>
      <c r="AG142" s="8" t="s">
        <v>353</v>
      </c>
      <c r="AH142" s="8"/>
      <c r="AI142" s="8"/>
      <c r="AJ142" s="8"/>
      <c r="AK142" s="8" t="s">
        <v>127</v>
      </c>
      <c r="AL142" s="8" t="s">
        <v>318</v>
      </c>
      <c r="AM142" s="8" t="b">
        <f t="shared" si="218"/>
        <v>1</v>
      </c>
      <c r="AN142" s="8" t="s">
        <v>319</v>
      </c>
      <c r="AO142" s="8">
        <v>3.05271492E8</v>
      </c>
      <c r="AP142" s="8">
        <v>2.23018386E8</v>
      </c>
      <c r="AQ142" s="8" t="s">
        <v>369</v>
      </c>
      <c r="AR142" s="8" t="s">
        <v>1103</v>
      </c>
      <c r="AS142" s="8" t="s">
        <v>530</v>
      </c>
      <c r="AT142" s="10"/>
      <c r="AU142" s="8" t="b">
        <f t="shared" si="214"/>
        <v>0</v>
      </c>
      <c r="AV142" s="10"/>
      <c r="AW142" s="8" t="s">
        <v>233</v>
      </c>
      <c r="AX142" s="8">
        <v>0.0</v>
      </c>
      <c r="AY142" s="8" t="b">
        <f t="shared" ref="AY142:BC142" si="219">FALSE()</f>
        <v>0</v>
      </c>
      <c r="AZ142" s="8" t="b">
        <f t="shared" si="219"/>
        <v>0</v>
      </c>
      <c r="BA142" s="8" t="b">
        <f t="shared" si="219"/>
        <v>0</v>
      </c>
      <c r="BB142" s="8" t="b">
        <f t="shared" si="219"/>
        <v>0</v>
      </c>
      <c r="BC142" s="8" t="b">
        <f t="shared" si="219"/>
        <v>0</v>
      </c>
      <c r="BD142" s="10" t="s">
        <v>1104</v>
      </c>
    </row>
    <row r="143" ht="15.0" customHeight="1">
      <c r="A143" s="8" t="s">
        <v>983</v>
      </c>
      <c r="B143" s="8" t="s">
        <v>984</v>
      </c>
      <c r="C143" s="8"/>
      <c r="D143" s="8" t="b">
        <f t="shared" si="139"/>
        <v>0</v>
      </c>
      <c r="E143" s="10"/>
      <c r="F143" s="9"/>
      <c r="G143" s="9"/>
      <c r="H143" s="8">
        <v>0.0</v>
      </c>
      <c r="I143" s="8" t="s">
        <v>167</v>
      </c>
      <c r="J143" s="9">
        <v>46188.0</v>
      </c>
      <c r="K143" s="8" t="s">
        <v>167</v>
      </c>
      <c r="L143" s="8" t="b">
        <f t="shared" si="32"/>
        <v>1</v>
      </c>
      <c r="M143" s="9">
        <v>46188.0</v>
      </c>
      <c r="N143" s="8" t="b">
        <f t="shared" si="48"/>
        <v>0</v>
      </c>
      <c r="O143" s="9"/>
      <c r="P143" s="8" t="b">
        <f t="shared" si="16"/>
        <v>0</v>
      </c>
      <c r="Q143" s="9"/>
      <c r="R143" s="8" t="b">
        <f t="shared" si="28"/>
        <v>0</v>
      </c>
      <c r="S143" s="9"/>
      <c r="T143" s="8">
        <v>6.0</v>
      </c>
      <c r="U143" s="9">
        <v>46188.0</v>
      </c>
      <c r="V143" s="9">
        <v>46230.0</v>
      </c>
      <c r="W143" s="8" t="s">
        <v>83</v>
      </c>
      <c r="X143" s="8" t="s">
        <v>204</v>
      </c>
      <c r="Y143" s="8" t="s">
        <v>205</v>
      </c>
      <c r="Z143" s="8" t="s">
        <v>119</v>
      </c>
      <c r="AA143" s="13">
        <v>3000000.0</v>
      </c>
      <c r="AB143" s="8"/>
      <c r="AC143" s="8"/>
      <c r="AD143" s="8"/>
      <c r="AE143" s="8" t="s">
        <v>367</v>
      </c>
      <c r="AF143" s="8" t="s">
        <v>167</v>
      </c>
      <c r="AG143" s="8" t="s">
        <v>471</v>
      </c>
      <c r="AH143" s="8"/>
      <c r="AI143" s="8"/>
      <c r="AJ143" s="8"/>
      <c r="AK143" s="8" t="s">
        <v>127</v>
      </c>
      <c r="AL143" s="8" t="s">
        <v>318</v>
      </c>
      <c r="AM143" s="8" t="b">
        <f t="shared" si="218"/>
        <v>1</v>
      </c>
      <c r="AN143" s="8" t="s">
        <v>319</v>
      </c>
      <c r="AO143" s="8">
        <v>3.12499874E8</v>
      </c>
      <c r="AP143" s="8">
        <v>2.4251724E8</v>
      </c>
      <c r="AQ143" s="8" t="s">
        <v>1105</v>
      </c>
      <c r="AR143" s="8" t="s">
        <v>1106</v>
      </c>
      <c r="AS143" s="8" t="s">
        <v>1107</v>
      </c>
      <c r="AT143" s="10"/>
      <c r="AU143" s="8" t="b">
        <f t="shared" si="214"/>
        <v>0</v>
      </c>
      <c r="AV143" s="10"/>
      <c r="AW143" s="8" t="s">
        <v>233</v>
      </c>
      <c r="AX143" s="8">
        <v>2.0</v>
      </c>
      <c r="AY143" s="8" t="b">
        <f t="shared" ref="AY143:AZ143" si="220">TRUE()</f>
        <v>1</v>
      </c>
      <c r="AZ143" s="8" t="b">
        <f t="shared" si="220"/>
        <v>1</v>
      </c>
      <c r="BA143" s="8" t="b">
        <f t="shared" ref="BA143:BC143" si="221">FALSE()</f>
        <v>0</v>
      </c>
      <c r="BB143" s="8" t="b">
        <f t="shared" si="221"/>
        <v>0</v>
      </c>
      <c r="BC143" s="8" t="b">
        <f t="shared" si="221"/>
        <v>0</v>
      </c>
      <c r="BD143" s="10"/>
    </row>
    <row r="144" ht="15.0" customHeight="1">
      <c r="A144" s="8" t="s">
        <v>986</v>
      </c>
      <c r="B144" s="8" t="s">
        <v>987</v>
      </c>
      <c r="C144" s="8"/>
      <c r="D144" s="8" t="b">
        <f t="shared" si="139"/>
        <v>0</v>
      </c>
      <c r="E144" s="10"/>
      <c r="F144" s="9"/>
      <c r="G144" s="9"/>
      <c r="H144" s="8">
        <v>0.0</v>
      </c>
      <c r="I144" s="8" t="s">
        <v>167</v>
      </c>
      <c r="J144" s="9">
        <v>46216.0</v>
      </c>
      <c r="K144" s="8" t="s">
        <v>167</v>
      </c>
      <c r="L144" s="8" t="b">
        <f t="shared" si="32"/>
        <v>1</v>
      </c>
      <c r="M144" s="9">
        <v>46216.0</v>
      </c>
      <c r="N144" s="8" t="b">
        <f t="shared" si="48"/>
        <v>0</v>
      </c>
      <c r="O144" s="9"/>
      <c r="P144" s="8" t="b">
        <f t="shared" si="16"/>
        <v>0</v>
      </c>
      <c r="Q144" s="9"/>
      <c r="R144" s="8" t="b">
        <f t="shared" si="28"/>
        <v>0</v>
      </c>
      <c r="S144" s="9"/>
      <c r="T144" s="8">
        <v>8.0</v>
      </c>
      <c r="U144" s="9">
        <v>46216.0</v>
      </c>
      <c r="V144" s="9">
        <v>46265.0</v>
      </c>
      <c r="W144" s="8" t="s">
        <v>83</v>
      </c>
      <c r="X144" s="8" t="s">
        <v>204</v>
      </c>
      <c r="Y144" s="8" t="s">
        <v>205</v>
      </c>
      <c r="Z144" s="8" t="s">
        <v>281</v>
      </c>
      <c r="AA144" s="13">
        <v>3000000.0</v>
      </c>
      <c r="AB144" s="8"/>
      <c r="AC144" s="8"/>
      <c r="AD144" s="8"/>
      <c r="AE144" s="8" t="s">
        <v>367</v>
      </c>
      <c r="AF144" s="8" t="s">
        <v>293</v>
      </c>
      <c r="AG144" s="8" t="s">
        <v>471</v>
      </c>
      <c r="AH144" s="8"/>
      <c r="AI144" s="8"/>
      <c r="AJ144" s="8"/>
      <c r="AK144" s="8" t="s">
        <v>127</v>
      </c>
      <c r="AL144" s="8" t="s">
        <v>318</v>
      </c>
      <c r="AM144" s="8" t="b">
        <f t="shared" si="218"/>
        <v>1</v>
      </c>
      <c r="AN144" s="8" t="s">
        <v>227</v>
      </c>
      <c r="AO144" s="8">
        <v>3.13048677E8</v>
      </c>
      <c r="AP144" s="8">
        <v>2.46074257E8</v>
      </c>
      <c r="AQ144" s="8" t="s">
        <v>362</v>
      </c>
      <c r="AR144" s="8"/>
      <c r="AS144" s="8"/>
      <c r="AT144" s="10"/>
      <c r="AU144" s="8" t="b">
        <f t="shared" si="214"/>
        <v>0</v>
      </c>
      <c r="AV144" s="10"/>
      <c r="AW144" s="8" t="s">
        <v>233</v>
      </c>
      <c r="AX144" s="8">
        <v>2.0</v>
      </c>
      <c r="AY144" s="8" t="b">
        <f t="shared" ref="AY144:AZ144" si="222">TRUE()</f>
        <v>1</v>
      </c>
      <c r="AZ144" s="8" t="b">
        <f t="shared" si="222"/>
        <v>1</v>
      </c>
      <c r="BA144" s="8" t="b">
        <f t="shared" ref="BA144:BC144" si="223">FALSE()</f>
        <v>0</v>
      </c>
      <c r="BB144" s="8" t="b">
        <f t="shared" si="223"/>
        <v>0</v>
      </c>
      <c r="BC144" s="8" t="b">
        <f t="shared" si="223"/>
        <v>0</v>
      </c>
      <c r="BD144" s="10"/>
    </row>
    <row r="145" ht="15.0" customHeight="1">
      <c r="A145" s="8" t="s">
        <v>806</v>
      </c>
      <c r="B145" s="8" t="s">
        <v>807</v>
      </c>
      <c r="C145" s="8"/>
      <c r="D145" s="8" t="b">
        <f t="shared" si="139"/>
        <v>0</v>
      </c>
      <c r="E145" s="10"/>
      <c r="F145" s="9"/>
      <c r="G145" s="9"/>
      <c r="H145" s="8">
        <v>0.0</v>
      </c>
      <c r="I145" s="8" t="s">
        <v>167</v>
      </c>
      <c r="J145" s="9">
        <v>46118.0</v>
      </c>
      <c r="K145" s="8" t="s">
        <v>313</v>
      </c>
      <c r="L145" s="8" t="b">
        <f t="shared" si="32"/>
        <v>1</v>
      </c>
      <c r="M145" s="9">
        <v>46118.0</v>
      </c>
      <c r="N145" s="8" t="b">
        <f t="shared" si="48"/>
        <v>0</v>
      </c>
      <c r="O145" s="9"/>
      <c r="P145" s="8" t="b">
        <f t="shared" si="16"/>
        <v>0</v>
      </c>
      <c r="Q145" s="9"/>
      <c r="R145" s="8" t="b">
        <f t="shared" si="28"/>
        <v>0</v>
      </c>
      <c r="S145" s="9"/>
      <c r="T145" s="8">
        <v>2.0</v>
      </c>
      <c r="U145" s="9">
        <v>46118.0</v>
      </c>
      <c r="V145" s="9">
        <v>46174.0</v>
      </c>
      <c r="W145" s="8" t="s">
        <v>83</v>
      </c>
      <c r="X145" s="8" t="s">
        <v>266</v>
      </c>
      <c r="Y145" s="8" t="s">
        <v>205</v>
      </c>
      <c r="Z145" s="8"/>
      <c r="AA145" s="13"/>
      <c r="AB145" s="8"/>
      <c r="AC145" s="8"/>
      <c r="AD145" s="8"/>
      <c r="AE145" s="8" t="s">
        <v>367</v>
      </c>
      <c r="AF145" s="8" t="s">
        <v>539</v>
      </c>
      <c r="AG145" s="8"/>
      <c r="AH145" s="8"/>
      <c r="AI145" s="8"/>
      <c r="AJ145" s="8"/>
      <c r="AK145" s="8" t="s">
        <v>127</v>
      </c>
      <c r="AL145" s="8" t="s">
        <v>318</v>
      </c>
      <c r="AM145" s="8" t="b">
        <f t="shared" si="218"/>
        <v>1</v>
      </c>
      <c r="AN145" s="8" t="s">
        <v>319</v>
      </c>
      <c r="AO145" s="8">
        <v>3.11604651E8</v>
      </c>
      <c r="AP145" s="8">
        <v>2.3773266E8</v>
      </c>
      <c r="AQ145" s="8" t="s">
        <v>483</v>
      </c>
      <c r="AR145" s="8"/>
      <c r="AS145" s="8"/>
      <c r="AT145" s="10"/>
      <c r="AU145" s="8" t="b">
        <f t="shared" si="214"/>
        <v>0</v>
      </c>
      <c r="AV145" s="10"/>
      <c r="AW145" s="8" t="s">
        <v>554</v>
      </c>
      <c r="AX145" s="8">
        <v>4.0</v>
      </c>
      <c r="AY145" s="8" t="b">
        <f t="shared" ref="AY145:BB145" si="224">TRUE()</f>
        <v>1</v>
      </c>
      <c r="AZ145" s="8" t="b">
        <f t="shared" si="224"/>
        <v>1</v>
      </c>
      <c r="BA145" s="8" t="b">
        <f t="shared" si="224"/>
        <v>1</v>
      </c>
      <c r="BB145" s="8" t="b">
        <f t="shared" si="224"/>
        <v>1</v>
      </c>
      <c r="BC145" s="8" t="b">
        <f>FALSE()</f>
        <v>0</v>
      </c>
      <c r="BD145" s="10"/>
    </row>
    <row r="146" ht="15.0" customHeight="1">
      <c r="A146" s="8" t="s">
        <v>810</v>
      </c>
      <c r="B146" s="8" t="s">
        <v>811</v>
      </c>
      <c r="C146" s="8"/>
      <c r="D146" s="8" t="b">
        <f t="shared" si="139"/>
        <v>0</v>
      </c>
      <c r="E146" s="10"/>
      <c r="F146" s="9"/>
      <c r="G146" s="9"/>
      <c r="H146" s="8">
        <v>0.0</v>
      </c>
      <c r="I146" s="8" t="s">
        <v>167</v>
      </c>
      <c r="J146" s="9">
        <v>46265.0</v>
      </c>
      <c r="K146" s="8" t="s">
        <v>167</v>
      </c>
      <c r="L146" s="8" t="b">
        <f t="shared" si="32"/>
        <v>1</v>
      </c>
      <c r="M146" s="9">
        <v>46265.0</v>
      </c>
      <c r="N146" s="8" t="b">
        <f t="shared" si="48"/>
        <v>0</v>
      </c>
      <c r="O146" s="9"/>
      <c r="P146" s="8" t="b">
        <f t="shared" si="16"/>
        <v>0</v>
      </c>
      <c r="Q146" s="9"/>
      <c r="R146" s="8" t="b">
        <f t="shared" si="28"/>
        <v>0</v>
      </c>
      <c r="S146" s="9"/>
      <c r="T146" s="8">
        <v>1.0</v>
      </c>
      <c r="U146" s="9">
        <v>46265.0</v>
      </c>
      <c r="V146" s="9">
        <v>46265.0</v>
      </c>
      <c r="W146" s="8" t="s">
        <v>83</v>
      </c>
      <c r="X146" s="8" t="s">
        <v>266</v>
      </c>
      <c r="Y146" s="8" t="s">
        <v>205</v>
      </c>
      <c r="Z146" s="8"/>
      <c r="AA146" s="13"/>
      <c r="AB146" s="8"/>
      <c r="AC146" s="8"/>
      <c r="AD146" s="8"/>
      <c r="AE146" s="8" t="s">
        <v>367</v>
      </c>
      <c r="AF146" s="8"/>
      <c r="AG146" s="8"/>
      <c r="AH146" s="8"/>
      <c r="AI146" s="8"/>
      <c r="AJ146" s="8"/>
      <c r="AK146" s="8"/>
      <c r="AL146" s="8"/>
      <c r="AM146" s="8" t="b">
        <f t="shared" ref="AM146:AM147" si="226">FALSE()</f>
        <v>0</v>
      </c>
      <c r="AN146" s="8"/>
      <c r="AO146" s="8"/>
      <c r="AP146" s="8"/>
      <c r="AQ146" s="8"/>
      <c r="AR146" s="8"/>
      <c r="AS146" s="8"/>
      <c r="AT146" s="10"/>
      <c r="AU146" s="8" t="b">
        <f t="shared" si="214"/>
        <v>0</v>
      </c>
      <c r="AV146" s="10"/>
      <c r="AW146" s="8" t="s">
        <v>554</v>
      </c>
      <c r="AX146" s="8">
        <v>5.0</v>
      </c>
      <c r="AY146" s="8" t="b">
        <f t="shared" ref="AY146:BC146" si="225">TRUE()</f>
        <v>1</v>
      </c>
      <c r="AZ146" s="8" t="b">
        <f t="shared" si="225"/>
        <v>1</v>
      </c>
      <c r="BA146" s="8" t="b">
        <f t="shared" si="225"/>
        <v>1</v>
      </c>
      <c r="BB146" s="8" t="b">
        <f t="shared" si="225"/>
        <v>1</v>
      </c>
      <c r="BC146" s="8" t="b">
        <f t="shared" si="225"/>
        <v>1</v>
      </c>
      <c r="BD146" s="10"/>
    </row>
    <row r="147" ht="15.0" customHeight="1">
      <c r="A147" s="8" t="s">
        <v>814</v>
      </c>
      <c r="B147" s="8" t="s">
        <v>815</v>
      </c>
      <c r="C147" s="8"/>
      <c r="D147" s="8" t="b">
        <f t="shared" si="139"/>
        <v>0</v>
      </c>
      <c r="E147" s="10"/>
      <c r="F147" s="9"/>
      <c r="G147" s="9"/>
      <c r="H147" s="8">
        <v>0.0</v>
      </c>
      <c r="I147" s="8" t="s">
        <v>167</v>
      </c>
      <c r="J147" s="9">
        <v>46146.0</v>
      </c>
      <c r="K147" s="8" t="s">
        <v>167</v>
      </c>
      <c r="L147" s="8" t="b">
        <f t="shared" si="32"/>
        <v>1</v>
      </c>
      <c r="M147" s="9">
        <v>46146.0</v>
      </c>
      <c r="N147" s="8" t="b">
        <f t="shared" si="48"/>
        <v>0</v>
      </c>
      <c r="O147" s="9"/>
      <c r="P147" s="8" t="b">
        <f t="shared" si="16"/>
        <v>0</v>
      </c>
      <c r="Q147" s="9"/>
      <c r="R147" s="8" t="b">
        <f t="shared" si="28"/>
        <v>0</v>
      </c>
      <c r="S147" s="9"/>
      <c r="T147" s="8">
        <v>3.0</v>
      </c>
      <c r="U147" s="9">
        <v>46146.0</v>
      </c>
      <c r="V147" s="9">
        <v>46160.0</v>
      </c>
      <c r="W147" s="8" t="s">
        <v>83</v>
      </c>
      <c r="X147" s="8" t="s">
        <v>266</v>
      </c>
      <c r="Y147" s="8" t="s">
        <v>205</v>
      </c>
      <c r="Z147" s="8"/>
      <c r="AA147" s="13"/>
      <c r="AB147" s="8"/>
      <c r="AC147" s="8"/>
      <c r="AD147" s="8"/>
      <c r="AE147" s="8" t="s">
        <v>367</v>
      </c>
      <c r="AF147" s="8"/>
      <c r="AG147" s="8"/>
      <c r="AH147" s="8"/>
      <c r="AI147" s="8"/>
      <c r="AJ147" s="8"/>
      <c r="AK147" s="8"/>
      <c r="AL147" s="8"/>
      <c r="AM147" s="8" t="b">
        <f t="shared" si="226"/>
        <v>0</v>
      </c>
      <c r="AN147" s="8"/>
      <c r="AO147" s="8"/>
      <c r="AP147" s="8"/>
      <c r="AQ147" s="8"/>
      <c r="AR147" s="8"/>
      <c r="AS147" s="8"/>
      <c r="AT147" s="10"/>
      <c r="AU147" s="8" t="b">
        <f t="shared" si="214"/>
        <v>0</v>
      </c>
      <c r="AV147" s="10"/>
      <c r="AW147" s="8" t="s">
        <v>554</v>
      </c>
      <c r="AX147" s="8">
        <v>5.0</v>
      </c>
      <c r="AY147" s="8" t="b">
        <f t="shared" ref="AY147:BC147" si="227">TRUE()</f>
        <v>1</v>
      </c>
      <c r="AZ147" s="8" t="b">
        <f t="shared" si="227"/>
        <v>1</v>
      </c>
      <c r="BA147" s="8" t="b">
        <f t="shared" si="227"/>
        <v>1</v>
      </c>
      <c r="BB147" s="8" t="b">
        <f t="shared" si="227"/>
        <v>1</v>
      </c>
      <c r="BC147" s="8" t="b">
        <f t="shared" si="227"/>
        <v>1</v>
      </c>
      <c r="BD147" s="10"/>
    </row>
    <row r="148" ht="15.0" customHeight="1">
      <c r="A148" s="8" t="s">
        <v>988</v>
      </c>
      <c r="B148" s="8" t="s">
        <v>563</v>
      </c>
      <c r="C148" s="8" t="s">
        <v>989</v>
      </c>
      <c r="D148" s="8" t="b">
        <f t="shared" si="139"/>
        <v>0</v>
      </c>
      <c r="E148" s="10"/>
      <c r="F148" s="9"/>
      <c r="G148" s="9"/>
      <c r="H148" s="8">
        <v>0.0</v>
      </c>
      <c r="I148" s="8" t="s">
        <v>167</v>
      </c>
      <c r="J148" s="9">
        <v>45978.0</v>
      </c>
      <c r="K148" s="8" t="s">
        <v>167</v>
      </c>
      <c r="L148" s="8" t="b">
        <f t="shared" si="32"/>
        <v>1</v>
      </c>
      <c r="M148" s="9">
        <v>45978.0</v>
      </c>
      <c r="N148" s="8" t="b">
        <f t="shared" si="48"/>
        <v>0</v>
      </c>
      <c r="O148" s="9"/>
      <c r="P148" s="8" t="b">
        <f t="shared" si="16"/>
        <v>0</v>
      </c>
      <c r="Q148" s="9"/>
      <c r="R148" s="8" t="b">
        <f t="shared" si="28"/>
        <v>0</v>
      </c>
      <c r="S148" s="9"/>
      <c r="T148" s="8">
        <v>12.0</v>
      </c>
      <c r="U148" s="9">
        <v>45971.0</v>
      </c>
      <c r="V148" s="9">
        <v>46062.0</v>
      </c>
      <c r="W148" s="8" t="s">
        <v>83</v>
      </c>
      <c r="X148" s="8" t="s">
        <v>204</v>
      </c>
      <c r="Y148" s="8" t="s">
        <v>205</v>
      </c>
      <c r="Z148" s="8"/>
      <c r="AA148" s="13"/>
      <c r="AB148" s="8" t="s">
        <v>194</v>
      </c>
      <c r="AC148" s="8" t="s">
        <v>143</v>
      </c>
      <c r="AD148" s="8" t="s">
        <v>87</v>
      </c>
      <c r="AE148" s="8" t="s">
        <v>87</v>
      </c>
      <c r="AF148" s="8" t="s">
        <v>293</v>
      </c>
      <c r="AG148" s="8"/>
      <c r="AH148" s="8"/>
      <c r="AI148" s="8"/>
      <c r="AJ148" s="8"/>
      <c r="AK148" s="8" t="s">
        <v>127</v>
      </c>
      <c r="AL148" s="8" t="s">
        <v>318</v>
      </c>
      <c r="AM148" s="8" t="b">
        <f>TRUE()</f>
        <v>1</v>
      </c>
      <c r="AN148" s="8" t="s">
        <v>227</v>
      </c>
      <c r="AO148" s="8">
        <v>2.99290435E8</v>
      </c>
      <c r="AP148" s="8">
        <v>2.25853784E8</v>
      </c>
      <c r="AQ148" s="8" t="s">
        <v>1109</v>
      </c>
      <c r="AR148" s="8" t="s">
        <v>1110</v>
      </c>
      <c r="AS148" s="8" t="s">
        <v>1107</v>
      </c>
      <c r="AT148" s="10"/>
      <c r="AU148" s="8" t="b">
        <f t="shared" si="214"/>
        <v>0</v>
      </c>
      <c r="AV148" s="10"/>
      <c r="AW148" s="8" t="s">
        <v>233</v>
      </c>
      <c r="AX148" s="8">
        <v>2.0</v>
      </c>
      <c r="AY148" s="8" t="b">
        <f t="shared" ref="AY148:AZ148" si="228">FALSE()</f>
        <v>0</v>
      </c>
      <c r="AZ148" s="8" t="b">
        <f t="shared" si="228"/>
        <v>0</v>
      </c>
      <c r="BA148" s="8" t="b">
        <f t="shared" ref="BA148:BB148" si="229">TRUE()</f>
        <v>1</v>
      </c>
      <c r="BB148" s="8" t="b">
        <f t="shared" si="229"/>
        <v>1</v>
      </c>
      <c r="BC148" s="8" t="b">
        <f>FALSE()</f>
        <v>0</v>
      </c>
      <c r="BD148" s="10" t="s">
        <v>1111</v>
      </c>
    </row>
    <row r="149" ht="79.5" customHeight="1">
      <c r="A149" s="8" t="s">
        <v>816</v>
      </c>
      <c r="B149" s="8" t="s">
        <v>504</v>
      </c>
      <c r="C149" s="8"/>
      <c r="D149" s="8" t="b">
        <f t="shared" si="139"/>
        <v>0</v>
      </c>
      <c r="E149" s="10"/>
      <c r="F149" s="9"/>
      <c r="G149" s="9"/>
      <c r="H149" s="8">
        <v>0.0</v>
      </c>
      <c r="I149" s="8" t="s">
        <v>167</v>
      </c>
      <c r="J149" s="9">
        <v>45944.0</v>
      </c>
      <c r="K149" s="8" t="s">
        <v>167</v>
      </c>
      <c r="L149" s="8" t="b">
        <f t="shared" si="32"/>
        <v>1</v>
      </c>
      <c r="M149" s="9">
        <v>45944.0</v>
      </c>
      <c r="N149" s="8" t="b">
        <f t="shared" si="48"/>
        <v>0</v>
      </c>
      <c r="O149" s="9"/>
      <c r="P149" s="8" t="b">
        <f t="shared" si="16"/>
        <v>0</v>
      </c>
      <c r="Q149" s="9"/>
      <c r="R149" s="8" t="b">
        <f t="shared" si="28"/>
        <v>0</v>
      </c>
      <c r="S149" s="9"/>
      <c r="T149" s="8">
        <v>1.0</v>
      </c>
      <c r="U149" s="9">
        <v>45944.0</v>
      </c>
      <c r="V149" s="9">
        <v>45944.0</v>
      </c>
      <c r="W149" s="8" t="s">
        <v>140</v>
      </c>
      <c r="X149" s="8" t="s">
        <v>266</v>
      </c>
      <c r="Y149" s="8" t="s">
        <v>328</v>
      </c>
      <c r="Z149" s="8"/>
      <c r="AA149" s="13"/>
      <c r="AB149" s="8"/>
      <c r="AC149" s="8"/>
      <c r="AD149" s="8"/>
      <c r="AE149" s="8" t="s">
        <v>367</v>
      </c>
      <c r="AF149" s="8"/>
      <c r="AG149" s="8"/>
      <c r="AH149" s="8"/>
      <c r="AI149" s="8"/>
      <c r="AJ149" s="8"/>
      <c r="AK149" s="8"/>
      <c r="AL149" s="8"/>
      <c r="AM149" s="8" t="b">
        <f>FALSE()</f>
        <v>0</v>
      </c>
      <c r="AN149" s="8"/>
      <c r="AO149" s="8"/>
      <c r="AP149" s="8"/>
      <c r="AQ149" s="8"/>
      <c r="AR149" s="8"/>
      <c r="AS149" s="8"/>
      <c r="AT149" s="10"/>
      <c r="AU149" s="8" t="b">
        <f t="shared" si="214"/>
        <v>0</v>
      </c>
      <c r="AV149" s="10"/>
      <c r="AW149" s="8" t="s">
        <v>554</v>
      </c>
      <c r="AX149" s="8">
        <v>5.0</v>
      </c>
      <c r="AY149" s="8" t="b">
        <f t="shared" ref="AY149:BC149" si="230">TRUE()</f>
        <v>1</v>
      </c>
      <c r="AZ149" s="8" t="b">
        <f t="shared" si="230"/>
        <v>1</v>
      </c>
      <c r="BA149" s="8" t="b">
        <f t="shared" si="230"/>
        <v>1</v>
      </c>
      <c r="BB149" s="8" t="b">
        <f t="shared" si="230"/>
        <v>1</v>
      </c>
      <c r="BC149" s="8" t="b">
        <f t="shared" si="230"/>
        <v>1</v>
      </c>
      <c r="BD149" s="10"/>
    </row>
    <row r="150" ht="15.0" customHeight="1">
      <c r="A150" s="8" t="s">
        <v>1114</v>
      </c>
      <c r="B150" s="8" t="s">
        <v>1087</v>
      </c>
      <c r="C150" s="8" t="s">
        <v>1115</v>
      </c>
      <c r="D150" s="8" t="b">
        <f t="shared" si="139"/>
        <v>0</v>
      </c>
      <c r="E150" s="10"/>
      <c r="F150" s="9"/>
      <c r="G150" s="9"/>
      <c r="H150" s="8">
        <v>0.0</v>
      </c>
      <c r="I150" s="8" t="s">
        <v>167</v>
      </c>
      <c r="J150" s="9">
        <v>46209.0</v>
      </c>
      <c r="K150" s="8" t="s">
        <v>167</v>
      </c>
      <c r="L150" s="8" t="b">
        <f t="shared" si="32"/>
        <v>1</v>
      </c>
      <c r="M150" s="9">
        <v>46209.0</v>
      </c>
      <c r="N150" s="8" t="b">
        <f t="shared" si="48"/>
        <v>0</v>
      </c>
      <c r="O150" s="9"/>
      <c r="P150" s="8" t="b">
        <f t="shared" si="16"/>
        <v>0</v>
      </c>
      <c r="Q150" s="9"/>
      <c r="R150" s="8" t="b">
        <f t="shared" si="28"/>
        <v>0</v>
      </c>
      <c r="S150" s="9"/>
      <c r="T150" s="8">
        <v>2.0</v>
      </c>
      <c r="U150" s="9">
        <v>46209.0</v>
      </c>
      <c r="V150" s="9">
        <v>46216.0</v>
      </c>
      <c r="W150" s="8" t="s">
        <v>121</v>
      </c>
      <c r="X150" s="8" t="s">
        <v>204</v>
      </c>
      <c r="Y150" s="8" t="s">
        <v>317</v>
      </c>
      <c r="Z150" s="8" t="s">
        <v>119</v>
      </c>
      <c r="AA150" s="13">
        <v>8000000.0</v>
      </c>
      <c r="AB150" s="8" t="s">
        <v>240</v>
      </c>
      <c r="AC150" s="8" t="s">
        <v>166</v>
      </c>
      <c r="AD150" s="8" t="s">
        <v>87</v>
      </c>
      <c r="AE150" s="8" t="s">
        <v>87</v>
      </c>
      <c r="AF150" s="8" t="s">
        <v>293</v>
      </c>
      <c r="AG150" s="8" t="s">
        <v>405</v>
      </c>
      <c r="AH150" s="8"/>
      <c r="AI150" s="8"/>
      <c r="AJ150" s="8"/>
      <c r="AK150" s="8" t="s">
        <v>127</v>
      </c>
      <c r="AL150" s="8" t="s">
        <v>318</v>
      </c>
      <c r="AM150" s="8" t="b">
        <f>TRUE()</f>
        <v>1</v>
      </c>
      <c r="AN150" s="8" t="s">
        <v>227</v>
      </c>
      <c r="AO150" s="8">
        <v>2.96132309E8</v>
      </c>
      <c r="AP150" s="8">
        <v>2.44902537E8</v>
      </c>
      <c r="AQ150" s="8" t="s">
        <v>1117</v>
      </c>
      <c r="AR150" s="8" t="s">
        <v>1117</v>
      </c>
      <c r="AS150" s="8" t="s">
        <v>476</v>
      </c>
      <c r="AT150" s="10"/>
      <c r="AU150" s="8" t="b">
        <f t="shared" si="214"/>
        <v>0</v>
      </c>
      <c r="AV150" s="10"/>
      <c r="AW150" s="8" t="s">
        <v>233</v>
      </c>
      <c r="AX150" s="8">
        <v>0.0</v>
      </c>
      <c r="AY150" s="8" t="b">
        <f t="shared" ref="AY150:BC150" si="231">FALSE()</f>
        <v>0</v>
      </c>
      <c r="AZ150" s="8" t="b">
        <f t="shared" si="231"/>
        <v>0</v>
      </c>
      <c r="BA150" s="8" t="b">
        <f t="shared" si="231"/>
        <v>0</v>
      </c>
      <c r="BB150" s="8" t="b">
        <f t="shared" si="231"/>
        <v>0</v>
      </c>
      <c r="BC150" s="8" t="b">
        <f t="shared" si="231"/>
        <v>0</v>
      </c>
      <c r="BD150" s="10" t="s">
        <v>1118</v>
      </c>
    </row>
    <row r="151" ht="15.0" customHeight="1">
      <c r="A151" s="8" t="s">
        <v>817</v>
      </c>
      <c r="B151" s="8" t="s">
        <v>564</v>
      </c>
      <c r="C151" s="8"/>
      <c r="D151" s="8" t="b">
        <f t="shared" si="139"/>
        <v>0</v>
      </c>
      <c r="E151" s="10"/>
      <c r="F151" s="9"/>
      <c r="G151" s="9"/>
      <c r="H151" s="8">
        <v>0.0</v>
      </c>
      <c r="I151" s="8" t="s">
        <v>167</v>
      </c>
      <c r="J151" s="9">
        <v>45971.0</v>
      </c>
      <c r="K151" s="8" t="s">
        <v>167</v>
      </c>
      <c r="L151" s="8" t="b">
        <f t="shared" si="32"/>
        <v>1</v>
      </c>
      <c r="M151" s="9">
        <v>45971.0</v>
      </c>
      <c r="N151" s="8" t="b">
        <f t="shared" si="48"/>
        <v>0</v>
      </c>
      <c r="O151" s="9"/>
      <c r="P151" s="8" t="b">
        <f t="shared" si="16"/>
        <v>0</v>
      </c>
      <c r="Q151" s="9"/>
      <c r="R151" s="8" t="b">
        <f t="shared" si="28"/>
        <v>0</v>
      </c>
      <c r="S151" s="9"/>
      <c r="T151" s="8">
        <v>10.0</v>
      </c>
      <c r="U151" s="9">
        <v>45971.0</v>
      </c>
      <c r="V151" s="9">
        <v>46048.0</v>
      </c>
      <c r="W151" s="8" t="s">
        <v>140</v>
      </c>
      <c r="X151" s="8" t="s">
        <v>266</v>
      </c>
      <c r="Y151" s="8" t="s">
        <v>328</v>
      </c>
      <c r="Z151" s="8"/>
      <c r="AA151" s="13"/>
      <c r="AB151" s="8"/>
      <c r="AC151" s="8"/>
      <c r="AD151" s="8"/>
      <c r="AE151" s="8" t="s">
        <v>367</v>
      </c>
      <c r="AF151" s="8"/>
      <c r="AG151" s="8"/>
      <c r="AH151" s="8"/>
      <c r="AI151" s="8"/>
      <c r="AJ151" s="8"/>
      <c r="AK151" s="8"/>
      <c r="AL151" s="8"/>
      <c r="AM151" s="8" t="b">
        <f>FALSE()</f>
        <v>0</v>
      </c>
      <c r="AN151" s="8"/>
      <c r="AO151" s="8"/>
      <c r="AP151" s="8"/>
      <c r="AQ151" s="8"/>
      <c r="AR151" s="8"/>
      <c r="AS151" s="8"/>
      <c r="AT151" s="10"/>
      <c r="AU151" s="8" t="b">
        <f t="shared" si="214"/>
        <v>0</v>
      </c>
      <c r="AV151" s="10"/>
      <c r="AW151" s="8" t="s">
        <v>554</v>
      </c>
      <c r="AX151" s="8">
        <v>5.0</v>
      </c>
      <c r="AY151" s="8" t="b">
        <f t="shared" ref="AY151:BC151" si="232">TRUE()</f>
        <v>1</v>
      </c>
      <c r="AZ151" s="8" t="b">
        <f t="shared" si="232"/>
        <v>1</v>
      </c>
      <c r="BA151" s="8" t="b">
        <f t="shared" si="232"/>
        <v>1</v>
      </c>
      <c r="BB151" s="8" t="b">
        <f t="shared" si="232"/>
        <v>1</v>
      </c>
      <c r="BC151" s="8" t="b">
        <f t="shared" si="232"/>
        <v>1</v>
      </c>
      <c r="BD151" s="10"/>
    </row>
    <row r="152" ht="15.0" customHeight="1">
      <c r="A152" s="8" t="s">
        <v>1120</v>
      </c>
      <c r="B152" s="8" t="s">
        <v>1116</v>
      </c>
      <c r="C152" s="8" t="s">
        <v>1121</v>
      </c>
      <c r="D152" s="8" t="b">
        <f t="shared" si="139"/>
        <v>0</v>
      </c>
      <c r="E152" s="10"/>
      <c r="F152" s="9"/>
      <c r="G152" s="9"/>
      <c r="H152" s="8">
        <v>0.0</v>
      </c>
      <c r="I152" s="8" t="s">
        <v>167</v>
      </c>
      <c r="J152" s="9">
        <v>46244.0</v>
      </c>
      <c r="K152" s="8" t="s">
        <v>167</v>
      </c>
      <c r="L152" s="8" t="b">
        <f t="shared" si="32"/>
        <v>1</v>
      </c>
      <c r="M152" s="9">
        <v>46244.0</v>
      </c>
      <c r="N152" s="8" t="b">
        <f t="shared" si="48"/>
        <v>0</v>
      </c>
      <c r="O152" s="9"/>
      <c r="P152" s="8" t="b">
        <f t="shared" si="16"/>
        <v>0</v>
      </c>
      <c r="Q152" s="9"/>
      <c r="R152" s="8" t="b">
        <f t="shared" si="28"/>
        <v>0</v>
      </c>
      <c r="S152" s="9"/>
      <c r="T152" s="8">
        <v>5.0</v>
      </c>
      <c r="U152" s="9">
        <v>46237.0</v>
      </c>
      <c r="V152" s="9">
        <v>46265.0</v>
      </c>
      <c r="W152" s="8" t="s">
        <v>121</v>
      </c>
      <c r="X152" s="8" t="s">
        <v>204</v>
      </c>
      <c r="Y152" s="8" t="s">
        <v>317</v>
      </c>
      <c r="Z152" s="8" t="s">
        <v>56</v>
      </c>
      <c r="AA152" s="13">
        <v>4.0E7</v>
      </c>
      <c r="AB152" s="8" t="s">
        <v>240</v>
      </c>
      <c r="AC152" s="8" t="s">
        <v>166</v>
      </c>
      <c r="AD152" s="8" t="s">
        <v>87</v>
      </c>
      <c r="AE152" s="8" t="s">
        <v>87</v>
      </c>
      <c r="AF152" s="8" t="s">
        <v>167</v>
      </c>
      <c r="AG152" s="8" t="s">
        <v>353</v>
      </c>
      <c r="AH152" s="8"/>
      <c r="AI152" s="8"/>
      <c r="AJ152" s="8"/>
      <c r="AK152" s="8" t="s">
        <v>127</v>
      </c>
      <c r="AL152" s="8" t="s">
        <v>318</v>
      </c>
      <c r="AM152" s="8" t="b">
        <f t="shared" ref="AM152:AM158" si="234">TRUE()</f>
        <v>1</v>
      </c>
      <c r="AN152" s="8" t="s">
        <v>227</v>
      </c>
      <c r="AO152" s="8">
        <v>2.919387E8</v>
      </c>
      <c r="AP152" s="8">
        <v>2.48375304E8</v>
      </c>
      <c r="AQ152" s="8" t="s">
        <v>516</v>
      </c>
      <c r="AR152" s="8"/>
      <c r="AS152" s="8"/>
      <c r="AT152" s="10"/>
      <c r="AU152" s="8" t="b">
        <f t="shared" si="214"/>
        <v>0</v>
      </c>
      <c r="AV152" s="10"/>
      <c r="AW152" s="8" t="s">
        <v>233</v>
      </c>
      <c r="AX152" s="8">
        <v>0.0</v>
      </c>
      <c r="AY152" s="8" t="b">
        <f t="shared" ref="AY152:BC152" si="233">FALSE()</f>
        <v>0</v>
      </c>
      <c r="AZ152" s="8" t="b">
        <f t="shared" si="233"/>
        <v>0</v>
      </c>
      <c r="BA152" s="8" t="b">
        <f t="shared" si="233"/>
        <v>0</v>
      </c>
      <c r="BB152" s="8" t="b">
        <f t="shared" si="233"/>
        <v>0</v>
      </c>
      <c r="BC152" s="8" t="b">
        <f t="shared" si="233"/>
        <v>0</v>
      </c>
      <c r="BD152" s="10" t="s">
        <v>1122</v>
      </c>
    </row>
    <row r="153" ht="15.0" customHeight="1">
      <c r="A153" s="8" t="s">
        <v>990</v>
      </c>
      <c r="B153" s="8" t="s">
        <v>908</v>
      </c>
      <c r="C153" s="8"/>
      <c r="D153" s="8" t="b">
        <f t="shared" si="139"/>
        <v>0</v>
      </c>
      <c r="E153" s="10"/>
      <c r="F153" s="9"/>
      <c r="G153" s="9"/>
      <c r="H153" s="8">
        <v>0.0</v>
      </c>
      <c r="I153" s="8" t="s">
        <v>167</v>
      </c>
      <c r="J153" s="9">
        <v>46111.0</v>
      </c>
      <c r="K153" s="8" t="s">
        <v>167</v>
      </c>
      <c r="L153" s="8" t="b">
        <f t="shared" si="32"/>
        <v>1</v>
      </c>
      <c r="M153" s="9">
        <v>46111.0</v>
      </c>
      <c r="N153" s="8" t="b">
        <f t="shared" si="48"/>
        <v>0</v>
      </c>
      <c r="O153" s="9"/>
      <c r="P153" s="8" t="b">
        <f t="shared" si="16"/>
        <v>0</v>
      </c>
      <c r="Q153" s="9"/>
      <c r="R153" s="8" t="b">
        <f t="shared" si="28"/>
        <v>0</v>
      </c>
      <c r="S153" s="9"/>
      <c r="T153" s="8">
        <v>1.0</v>
      </c>
      <c r="U153" s="9">
        <v>46111.0</v>
      </c>
      <c r="V153" s="9">
        <v>46111.0</v>
      </c>
      <c r="W153" s="8" t="s">
        <v>121</v>
      </c>
      <c r="X153" s="8" t="s">
        <v>204</v>
      </c>
      <c r="Y153" s="8" t="s">
        <v>317</v>
      </c>
      <c r="Z153" s="8" t="s">
        <v>119</v>
      </c>
      <c r="AA153" s="13">
        <v>1.0E7</v>
      </c>
      <c r="AB153" s="8"/>
      <c r="AC153" s="8"/>
      <c r="AD153" s="8"/>
      <c r="AE153" s="8" t="s">
        <v>367</v>
      </c>
      <c r="AF153" s="8" t="s">
        <v>200</v>
      </c>
      <c r="AG153" s="8" t="s">
        <v>353</v>
      </c>
      <c r="AH153" s="8"/>
      <c r="AI153" s="8"/>
      <c r="AJ153" s="8"/>
      <c r="AK153" s="8" t="s">
        <v>154</v>
      </c>
      <c r="AL153" s="8" t="s">
        <v>337</v>
      </c>
      <c r="AM153" s="8" t="b">
        <f t="shared" si="234"/>
        <v>1</v>
      </c>
      <c r="AN153" s="8" t="s">
        <v>227</v>
      </c>
      <c r="AO153" s="8">
        <v>3.11517728E8</v>
      </c>
      <c r="AP153" s="8">
        <v>2.37197317E8</v>
      </c>
      <c r="AQ153" s="8" t="s">
        <v>534</v>
      </c>
      <c r="AR153" s="8"/>
      <c r="AS153" s="8"/>
      <c r="AT153" s="10"/>
      <c r="AU153" s="8" t="b">
        <f t="shared" si="214"/>
        <v>0</v>
      </c>
      <c r="AV153" s="10"/>
      <c r="AW153" s="8" t="s">
        <v>233</v>
      </c>
      <c r="AX153" s="8">
        <v>2.0</v>
      </c>
      <c r="AY153" s="8" t="b">
        <f t="shared" ref="AY153:AZ153" si="235">TRUE()</f>
        <v>1</v>
      </c>
      <c r="AZ153" s="8" t="b">
        <f t="shared" si="235"/>
        <v>1</v>
      </c>
      <c r="BA153" s="8" t="b">
        <f t="shared" ref="BA153:BC153" si="236">FALSE()</f>
        <v>0</v>
      </c>
      <c r="BB153" s="8" t="b">
        <f t="shared" si="236"/>
        <v>0</v>
      </c>
      <c r="BC153" s="8" t="b">
        <f t="shared" si="236"/>
        <v>0</v>
      </c>
      <c r="BD153" s="10"/>
    </row>
    <row r="154" ht="15.0" customHeight="1">
      <c r="A154" s="8" t="s">
        <v>991</v>
      </c>
      <c r="B154" s="8" t="s">
        <v>958</v>
      </c>
      <c r="C154" s="8" t="s">
        <v>994</v>
      </c>
      <c r="D154" s="8" t="b">
        <f t="shared" si="139"/>
        <v>0</v>
      </c>
      <c r="E154" s="10"/>
      <c r="F154" s="9"/>
      <c r="G154" s="9"/>
      <c r="H154" s="8">
        <v>0.0</v>
      </c>
      <c r="I154" s="8" t="s">
        <v>167</v>
      </c>
      <c r="J154" s="9">
        <v>46132.0</v>
      </c>
      <c r="K154" s="8" t="s">
        <v>167</v>
      </c>
      <c r="L154" s="8" t="b">
        <f t="shared" si="32"/>
        <v>1</v>
      </c>
      <c r="M154" s="9">
        <v>46132.0</v>
      </c>
      <c r="N154" s="8" t="b">
        <f t="shared" si="48"/>
        <v>0</v>
      </c>
      <c r="O154" s="9"/>
      <c r="P154" s="8" t="b">
        <f t="shared" si="16"/>
        <v>0</v>
      </c>
      <c r="Q154" s="9"/>
      <c r="R154" s="8" t="b">
        <f t="shared" si="28"/>
        <v>0</v>
      </c>
      <c r="S154" s="9"/>
      <c r="T154" s="8">
        <v>3.0</v>
      </c>
      <c r="U154" s="9">
        <v>46125.0</v>
      </c>
      <c r="V154" s="9">
        <v>46146.0</v>
      </c>
      <c r="W154" s="8" t="s">
        <v>83</v>
      </c>
      <c r="X154" s="8" t="s">
        <v>204</v>
      </c>
      <c r="Y154" s="8" t="s">
        <v>205</v>
      </c>
      <c r="Z154" s="8" t="s">
        <v>281</v>
      </c>
      <c r="AA154" s="13"/>
      <c r="AB154" s="8"/>
      <c r="AC154" s="8"/>
      <c r="AD154" s="8"/>
      <c r="AE154" s="8" t="s">
        <v>367</v>
      </c>
      <c r="AF154" s="8" t="s">
        <v>293</v>
      </c>
      <c r="AG154" s="8" t="s">
        <v>514</v>
      </c>
      <c r="AH154" s="8"/>
      <c r="AI154" s="8"/>
      <c r="AJ154" s="8"/>
      <c r="AK154" s="8" t="s">
        <v>127</v>
      </c>
      <c r="AL154" s="8" t="s">
        <v>318</v>
      </c>
      <c r="AM154" s="8" t="b">
        <f t="shared" si="234"/>
        <v>1</v>
      </c>
      <c r="AN154" s="8" t="s">
        <v>227</v>
      </c>
      <c r="AO154" s="8">
        <v>3.115716E8</v>
      </c>
      <c r="AP154" s="8">
        <v>2.38666434E8</v>
      </c>
      <c r="AQ154" s="8" t="s">
        <v>1123</v>
      </c>
      <c r="AR154" s="8" t="s">
        <v>1099</v>
      </c>
      <c r="AS154" s="8" t="s">
        <v>1099</v>
      </c>
      <c r="AT154" s="10" t="s">
        <v>938</v>
      </c>
      <c r="AU154" s="8">
        <v>0.0</v>
      </c>
      <c r="AV154" s="10"/>
      <c r="AW154" s="8" t="s">
        <v>233</v>
      </c>
      <c r="AX154" s="8">
        <v>2.0</v>
      </c>
      <c r="AY154" s="8">
        <v>0.0</v>
      </c>
      <c r="AZ154" s="8">
        <v>1.0</v>
      </c>
      <c r="BA154" s="8">
        <v>0.0</v>
      </c>
      <c r="BB154" s="8">
        <v>1.0</v>
      </c>
      <c r="BC154" s="8">
        <v>0.0</v>
      </c>
      <c r="BD154" s="10"/>
    </row>
    <row r="155" ht="15.0" customHeight="1">
      <c r="A155" s="8" t="s">
        <v>1124</v>
      </c>
      <c r="B155" s="8" t="s">
        <v>506</v>
      </c>
      <c r="C155" s="8" t="s">
        <v>1125</v>
      </c>
      <c r="D155" s="8" t="b">
        <f t="shared" si="139"/>
        <v>0</v>
      </c>
      <c r="E155" s="10"/>
      <c r="F155" s="9"/>
      <c r="G155" s="9"/>
      <c r="H155" s="8">
        <v>0.0</v>
      </c>
      <c r="I155" s="8" t="s">
        <v>167</v>
      </c>
      <c r="J155" s="9">
        <v>45944.0</v>
      </c>
      <c r="K155" s="8" t="s">
        <v>377</v>
      </c>
      <c r="L155" s="8" t="b">
        <f t="shared" si="32"/>
        <v>1</v>
      </c>
      <c r="M155" s="9">
        <v>45944.0</v>
      </c>
      <c r="N155" s="8" t="b">
        <f t="shared" si="48"/>
        <v>0</v>
      </c>
      <c r="O155" s="9"/>
      <c r="P155" s="8" t="b">
        <f t="shared" si="16"/>
        <v>0</v>
      </c>
      <c r="Q155" s="9"/>
      <c r="R155" s="8" t="b">
        <f t="shared" si="28"/>
        <v>0</v>
      </c>
      <c r="S155" s="9"/>
      <c r="T155" s="8">
        <v>4.0</v>
      </c>
      <c r="U155" s="9">
        <v>45944.0</v>
      </c>
      <c r="V155" s="9">
        <v>45964.0</v>
      </c>
      <c r="W155" s="8" t="s">
        <v>121</v>
      </c>
      <c r="X155" s="8" t="s">
        <v>204</v>
      </c>
      <c r="Y155" s="8" t="s">
        <v>317</v>
      </c>
      <c r="Z155" s="8" t="s">
        <v>119</v>
      </c>
      <c r="AA155" s="13">
        <v>8000000.0</v>
      </c>
      <c r="AB155" s="8" t="s">
        <v>247</v>
      </c>
      <c r="AC155" s="8" t="s">
        <v>247</v>
      </c>
      <c r="AD155" s="8" t="s">
        <v>87</v>
      </c>
      <c r="AE155" s="8" t="s">
        <v>87</v>
      </c>
      <c r="AF155" s="8" t="s">
        <v>185</v>
      </c>
      <c r="AG155" s="8" t="s">
        <v>405</v>
      </c>
      <c r="AH155" s="8"/>
      <c r="AI155" s="8"/>
      <c r="AJ155" s="8"/>
      <c r="AK155" s="8" t="s">
        <v>154</v>
      </c>
      <c r="AL155" s="8" t="s">
        <v>337</v>
      </c>
      <c r="AM155" s="8" t="b">
        <f t="shared" si="234"/>
        <v>1</v>
      </c>
      <c r="AN155" s="8" t="s">
        <v>227</v>
      </c>
      <c r="AO155" s="8">
        <v>3.03017207E8</v>
      </c>
      <c r="AP155" s="8">
        <v>2.22532547E8</v>
      </c>
      <c r="AQ155" s="8" t="s">
        <v>701</v>
      </c>
      <c r="AR155" s="8" t="s">
        <v>1126</v>
      </c>
      <c r="AS155" s="8" t="s">
        <v>530</v>
      </c>
      <c r="AT155" s="10"/>
      <c r="AU155" s="8" t="b">
        <f t="shared" ref="AU155:AU186" si="238">FALSE()</f>
        <v>0</v>
      </c>
      <c r="AV155" s="10"/>
      <c r="AW155" s="8" t="s">
        <v>233</v>
      </c>
      <c r="AX155" s="8">
        <v>0.0</v>
      </c>
      <c r="AY155" s="8" t="b">
        <f t="shared" ref="AY155:BC155" si="237">FALSE()</f>
        <v>0</v>
      </c>
      <c r="AZ155" s="8" t="b">
        <f t="shared" si="237"/>
        <v>0</v>
      </c>
      <c r="BA155" s="8" t="b">
        <f t="shared" si="237"/>
        <v>0</v>
      </c>
      <c r="BB155" s="8" t="b">
        <f t="shared" si="237"/>
        <v>0</v>
      </c>
      <c r="BC155" s="8" t="b">
        <f t="shared" si="237"/>
        <v>0</v>
      </c>
      <c r="BD155" s="10" t="s">
        <v>1127</v>
      </c>
    </row>
    <row r="156" ht="15.0" customHeight="1">
      <c r="A156" s="8" t="s">
        <v>1128</v>
      </c>
      <c r="B156" s="8" t="s">
        <v>526</v>
      </c>
      <c r="C156" s="8" t="s">
        <v>1129</v>
      </c>
      <c r="D156" s="8" t="b">
        <f t="shared" si="139"/>
        <v>0</v>
      </c>
      <c r="E156" s="10"/>
      <c r="F156" s="9"/>
      <c r="G156" s="9"/>
      <c r="H156" s="8">
        <v>0.0</v>
      </c>
      <c r="I156" s="8" t="s">
        <v>167</v>
      </c>
      <c r="J156" s="9">
        <v>45957.0</v>
      </c>
      <c r="K156" s="8" t="s">
        <v>167</v>
      </c>
      <c r="L156" s="8" t="b">
        <f t="shared" si="32"/>
        <v>1</v>
      </c>
      <c r="M156" s="9">
        <v>45957.0</v>
      </c>
      <c r="N156" s="8" t="b">
        <f t="shared" si="48"/>
        <v>0</v>
      </c>
      <c r="O156" s="9"/>
      <c r="P156" s="8" t="b">
        <f t="shared" si="16"/>
        <v>0</v>
      </c>
      <c r="Q156" s="9"/>
      <c r="R156" s="8" t="b">
        <f t="shared" si="28"/>
        <v>0</v>
      </c>
      <c r="S156" s="9"/>
      <c r="T156" s="8">
        <v>4.0</v>
      </c>
      <c r="U156" s="9">
        <v>45950.0</v>
      </c>
      <c r="V156" s="9">
        <v>45971.0</v>
      </c>
      <c r="W156" s="8" t="s">
        <v>83</v>
      </c>
      <c r="X156" s="8" t="s">
        <v>204</v>
      </c>
      <c r="Y156" s="8" t="s">
        <v>205</v>
      </c>
      <c r="Z156" s="8" t="s">
        <v>119</v>
      </c>
      <c r="AA156" s="13">
        <v>5000000.0</v>
      </c>
      <c r="AB156" s="8" t="s">
        <v>1130</v>
      </c>
      <c r="AC156" s="8" t="s">
        <v>1131</v>
      </c>
      <c r="AD156" s="8" t="s">
        <v>1132</v>
      </c>
      <c r="AE156" s="8" t="s">
        <v>214</v>
      </c>
      <c r="AF156" s="8" t="s">
        <v>293</v>
      </c>
      <c r="AG156" s="8" t="s">
        <v>514</v>
      </c>
      <c r="AH156" s="8"/>
      <c r="AI156" s="8"/>
      <c r="AJ156" s="8" t="s">
        <v>220</v>
      </c>
      <c r="AK156" s="8" t="s">
        <v>215</v>
      </c>
      <c r="AL156" s="8" t="s">
        <v>393</v>
      </c>
      <c r="AM156" s="8" t="b">
        <f t="shared" si="234"/>
        <v>1</v>
      </c>
      <c r="AN156" s="8" t="s">
        <v>338</v>
      </c>
      <c r="AO156" s="8">
        <v>2.90601479E8</v>
      </c>
      <c r="AP156" s="8">
        <v>2.22527205E8</v>
      </c>
      <c r="AQ156" s="8" t="s">
        <v>701</v>
      </c>
      <c r="AR156" s="8" t="s">
        <v>369</v>
      </c>
      <c r="AS156" s="8" t="s">
        <v>369</v>
      </c>
      <c r="AT156" s="10" t="s">
        <v>565</v>
      </c>
      <c r="AU156" s="8" t="b">
        <f t="shared" si="238"/>
        <v>0</v>
      </c>
      <c r="AV156" s="10"/>
      <c r="AW156" s="8" t="s">
        <v>233</v>
      </c>
      <c r="AX156" s="8">
        <v>0.0</v>
      </c>
      <c r="AY156" s="8" t="b">
        <f t="shared" ref="AY156:BC156" si="239">FALSE()</f>
        <v>0</v>
      </c>
      <c r="AZ156" s="8" t="b">
        <f t="shared" si="239"/>
        <v>0</v>
      </c>
      <c r="BA156" s="8" t="b">
        <f t="shared" si="239"/>
        <v>0</v>
      </c>
      <c r="BB156" s="8" t="b">
        <f t="shared" si="239"/>
        <v>0</v>
      </c>
      <c r="BC156" s="8" t="b">
        <f t="shared" si="239"/>
        <v>0</v>
      </c>
      <c r="BD156" s="10" t="s">
        <v>1133</v>
      </c>
    </row>
    <row r="157" ht="15.0" customHeight="1">
      <c r="A157" s="8" t="s">
        <v>1134</v>
      </c>
      <c r="B157" s="8" t="s">
        <v>798</v>
      </c>
      <c r="C157" s="8" t="s">
        <v>1135</v>
      </c>
      <c r="D157" s="8" t="b">
        <f t="shared" si="139"/>
        <v>0</v>
      </c>
      <c r="E157" s="10"/>
      <c r="F157" s="9"/>
      <c r="G157" s="9"/>
      <c r="H157" s="8">
        <v>0.0</v>
      </c>
      <c r="I157" s="8" t="s">
        <v>167</v>
      </c>
      <c r="J157" s="9">
        <v>46070.0</v>
      </c>
      <c r="K157" s="8" t="s">
        <v>167</v>
      </c>
      <c r="L157" s="8" t="b">
        <f t="shared" si="32"/>
        <v>1</v>
      </c>
      <c r="M157" s="9">
        <v>46070.0</v>
      </c>
      <c r="N157" s="8" t="b">
        <f t="shared" si="48"/>
        <v>0</v>
      </c>
      <c r="O157" s="9"/>
      <c r="P157" s="8" t="b">
        <f t="shared" si="16"/>
        <v>0</v>
      </c>
      <c r="Q157" s="9"/>
      <c r="R157" s="8" t="b">
        <f t="shared" si="28"/>
        <v>0</v>
      </c>
      <c r="S157" s="9"/>
      <c r="T157" s="8">
        <v>3.0</v>
      </c>
      <c r="U157" s="9">
        <v>46070.0</v>
      </c>
      <c r="V157" s="9">
        <v>46083.0</v>
      </c>
      <c r="W157" s="8" t="s">
        <v>121</v>
      </c>
      <c r="X157" s="8" t="s">
        <v>204</v>
      </c>
      <c r="Y157" s="8" t="s">
        <v>317</v>
      </c>
      <c r="Z157" s="8" t="s">
        <v>119</v>
      </c>
      <c r="AA157" s="13">
        <v>5000000.0</v>
      </c>
      <c r="AB157" s="8" t="s">
        <v>1136</v>
      </c>
      <c r="AC157" s="8" t="s">
        <v>1137</v>
      </c>
      <c r="AD157" s="8" t="s">
        <v>71</v>
      </c>
      <c r="AE157" s="8" t="s">
        <v>214</v>
      </c>
      <c r="AF157" s="8" t="s">
        <v>185</v>
      </c>
      <c r="AG157" s="8" t="s">
        <v>471</v>
      </c>
      <c r="AH157" s="8"/>
      <c r="AI157" s="8"/>
      <c r="AJ157" s="8"/>
      <c r="AK157" s="8" t="s">
        <v>154</v>
      </c>
      <c r="AL157" s="8" t="s">
        <v>337</v>
      </c>
      <c r="AM157" s="8" t="b">
        <f t="shared" si="234"/>
        <v>1</v>
      </c>
      <c r="AN157" s="8" t="s">
        <v>227</v>
      </c>
      <c r="AO157" s="8">
        <v>2.85314275E8</v>
      </c>
      <c r="AP157" s="8">
        <v>2.3406223E8</v>
      </c>
      <c r="AQ157" s="8" t="s">
        <v>339</v>
      </c>
      <c r="AR157" s="8"/>
      <c r="AS157" s="8"/>
      <c r="AT157" s="10"/>
      <c r="AU157" s="8" t="b">
        <f t="shared" si="238"/>
        <v>0</v>
      </c>
      <c r="AV157" s="10"/>
      <c r="AW157" s="8" t="s">
        <v>233</v>
      </c>
      <c r="AX157" s="8">
        <v>0.0</v>
      </c>
      <c r="AY157" s="8" t="b">
        <f t="shared" ref="AY157:BC157" si="240">FALSE()</f>
        <v>0</v>
      </c>
      <c r="AZ157" s="8" t="b">
        <f t="shared" si="240"/>
        <v>0</v>
      </c>
      <c r="BA157" s="8" t="b">
        <f t="shared" si="240"/>
        <v>0</v>
      </c>
      <c r="BB157" s="8" t="b">
        <f t="shared" si="240"/>
        <v>0</v>
      </c>
      <c r="BC157" s="8" t="b">
        <f t="shared" si="240"/>
        <v>0</v>
      </c>
      <c r="BD157" s="10" t="s">
        <v>1138</v>
      </c>
    </row>
    <row r="158" ht="90.75" customHeight="1">
      <c r="A158" s="8" t="s">
        <v>1139</v>
      </c>
      <c r="B158" s="8" t="s">
        <v>800</v>
      </c>
      <c r="C158" s="8" t="s">
        <v>1140</v>
      </c>
      <c r="D158" s="8" t="b">
        <f t="shared" si="139"/>
        <v>0</v>
      </c>
      <c r="E158" s="10"/>
      <c r="F158" s="9"/>
      <c r="G158" s="9"/>
      <c r="H158" s="8">
        <v>0.0</v>
      </c>
      <c r="I158" s="8" t="s">
        <v>167</v>
      </c>
      <c r="J158" s="9">
        <v>46076.0</v>
      </c>
      <c r="K158" s="8" t="s">
        <v>377</v>
      </c>
      <c r="L158" s="8" t="b">
        <f t="shared" si="32"/>
        <v>1</v>
      </c>
      <c r="M158" s="9">
        <v>46076.0</v>
      </c>
      <c r="N158" s="8" t="b">
        <f t="shared" si="48"/>
        <v>0</v>
      </c>
      <c r="O158" s="9"/>
      <c r="P158" s="8" t="b">
        <f t="shared" si="16"/>
        <v>0</v>
      </c>
      <c r="Q158" s="9"/>
      <c r="R158" s="8" t="b">
        <f t="shared" si="28"/>
        <v>0</v>
      </c>
      <c r="S158" s="9"/>
      <c r="T158" s="8">
        <v>3.0</v>
      </c>
      <c r="U158" s="9">
        <v>46070.0</v>
      </c>
      <c r="V158" s="9">
        <v>46083.0</v>
      </c>
      <c r="W158" s="8" t="s">
        <v>83</v>
      </c>
      <c r="X158" s="8" t="s">
        <v>204</v>
      </c>
      <c r="Y158" s="8" t="s">
        <v>205</v>
      </c>
      <c r="Z158" s="8" t="s">
        <v>119</v>
      </c>
      <c r="AA158" s="13">
        <v>2000000.0</v>
      </c>
      <c r="AB158" s="8" t="s">
        <v>292</v>
      </c>
      <c r="AC158" s="8" t="s">
        <v>70</v>
      </c>
      <c r="AD158" s="8" t="s">
        <v>71</v>
      </c>
      <c r="AE158" s="8" t="s">
        <v>214</v>
      </c>
      <c r="AF158" s="8" t="s">
        <v>185</v>
      </c>
      <c r="AG158" s="8" t="s">
        <v>471</v>
      </c>
      <c r="AH158" s="8"/>
      <c r="AI158" s="8"/>
      <c r="AJ158" s="8"/>
      <c r="AK158" s="8" t="s">
        <v>74</v>
      </c>
      <c r="AL158" s="8" t="s">
        <v>223</v>
      </c>
      <c r="AM158" s="8" t="b">
        <f t="shared" si="234"/>
        <v>1</v>
      </c>
      <c r="AN158" s="8" t="s">
        <v>227</v>
      </c>
      <c r="AO158" s="8">
        <v>2.90495243E8</v>
      </c>
      <c r="AP158" s="8">
        <v>2.33699971E8</v>
      </c>
      <c r="AQ158" s="8" t="s">
        <v>540</v>
      </c>
      <c r="AR158" s="8" t="s">
        <v>540</v>
      </c>
      <c r="AS158" s="8" t="s">
        <v>540</v>
      </c>
      <c r="AT158" s="10"/>
      <c r="AU158" s="8" t="b">
        <f t="shared" si="238"/>
        <v>0</v>
      </c>
      <c r="AV158" s="10"/>
      <c r="AW158" s="8" t="s">
        <v>233</v>
      </c>
      <c r="AX158" s="8">
        <v>0.0</v>
      </c>
      <c r="AY158" s="8" t="b">
        <f t="shared" ref="AY158:BC158" si="241">FALSE()</f>
        <v>0</v>
      </c>
      <c r="AZ158" s="8" t="b">
        <f t="shared" si="241"/>
        <v>0</v>
      </c>
      <c r="BA158" s="8" t="b">
        <f t="shared" si="241"/>
        <v>0</v>
      </c>
      <c r="BB158" s="8" t="b">
        <f t="shared" si="241"/>
        <v>0</v>
      </c>
      <c r="BC158" s="8" t="b">
        <f t="shared" si="241"/>
        <v>0</v>
      </c>
      <c r="BD158" s="10" t="s">
        <v>1141</v>
      </c>
    </row>
    <row r="159" ht="15.0" customHeight="1">
      <c r="A159" s="8" t="s">
        <v>818</v>
      </c>
      <c r="B159" s="8" t="s">
        <v>819</v>
      </c>
      <c r="C159" s="8"/>
      <c r="D159" s="8" t="b">
        <f t="shared" si="139"/>
        <v>0</v>
      </c>
      <c r="E159" s="10"/>
      <c r="F159" s="9"/>
      <c r="G159" s="9"/>
      <c r="H159" s="8">
        <v>0.0</v>
      </c>
      <c r="I159" s="8" t="s">
        <v>167</v>
      </c>
      <c r="J159" s="9">
        <v>46265.0</v>
      </c>
      <c r="K159" s="8" t="s">
        <v>167</v>
      </c>
      <c r="L159" s="8" t="b">
        <f t="shared" si="32"/>
        <v>1</v>
      </c>
      <c r="M159" s="9">
        <v>46265.0</v>
      </c>
      <c r="N159" s="8" t="b">
        <f t="shared" si="48"/>
        <v>0</v>
      </c>
      <c r="O159" s="9"/>
      <c r="P159" s="8" t="b">
        <f t="shared" si="16"/>
        <v>0</v>
      </c>
      <c r="Q159" s="9"/>
      <c r="R159" s="8" t="b">
        <f t="shared" si="28"/>
        <v>0</v>
      </c>
      <c r="S159" s="9"/>
      <c r="T159" s="8">
        <v>1.0</v>
      </c>
      <c r="U159" s="9">
        <v>46265.0</v>
      </c>
      <c r="V159" s="9">
        <v>46265.0</v>
      </c>
      <c r="W159" s="8" t="s">
        <v>140</v>
      </c>
      <c r="X159" s="8" t="s">
        <v>266</v>
      </c>
      <c r="Y159" s="8" t="s">
        <v>328</v>
      </c>
      <c r="Z159" s="8"/>
      <c r="AA159" s="13"/>
      <c r="AB159" s="8"/>
      <c r="AC159" s="8"/>
      <c r="AD159" s="8"/>
      <c r="AE159" s="8" t="s">
        <v>367</v>
      </c>
      <c r="AF159" s="8"/>
      <c r="AG159" s="8"/>
      <c r="AH159" s="8"/>
      <c r="AI159" s="8"/>
      <c r="AJ159" s="8"/>
      <c r="AK159" s="8"/>
      <c r="AL159" s="8"/>
      <c r="AM159" s="8" t="b">
        <f t="shared" ref="AM159:AM160" si="243">FALSE()</f>
        <v>0</v>
      </c>
      <c r="AN159" s="8"/>
      <c r="AO159" s="8"/>
      <c r="AP159" s="8"/>
      <c r="AQ159" s="8"/>
      <c r="AR159" s="8"/>
      <c r="AS159" s="8"/>
      <c r="AT159" s="10"/>
      <c r="AU159" s="8" t="b">
        <f t="shared" si="238"/>
        <v>0</v>
      </c>
      <c r="AV159" s="10"/>
      <c r="AW159" s="8" t="s">
        <v>554</v>
      </c>
      <c r="AX159" s="8">
        <v>5.0</v>
      </c>
      <c r="AY159" s="8" t="b">
        <f t="shared" ref="AY159:BC159" si="242">TRUE()</f>
        <v>1</v>
      </c>
      <c r="AZ159" s="8" t="b">
        <f t="shared" si="242"/>
        <v>1</v>
      </c>
      <c r="BA159" s="8" t="b">
        <f t="shared" si="242"/>
        <v>1</v>
      </c>
      <c r="BB159" s="8" t="b">
        <f t="shared" si="242"/>
        <v>1</v>
      </c>
      <c r="BC159" s="8" t="b">
        <f t="shared" si="242"/>
        <v>1</v>
      </c>
      <c r="BD159" s="10"/>
    </row>
    <row r="160" ht="15.0" customHeight="1">
      <c r="A160" s="8" t="s">
        <v>820</v>
      </c>
      <c r="B160" s="8" t="s">
        <v>821</v>
      </c>
      <c r="C160" s="8"/>
      <c r="D160" s="8" t="b">
        <f t="shared" si="139"/>
        <v>0</v>
      </c>
      <c r="E160" s="10"/>
      <c r="F160" s="9"/>
      <c r="G160" s="9"/>
      <c r="H160" s="8">
        <v>0.0</v>
      </c>
      <c r="I160" s="8" t="s">
        <v>167</v>
      </c>
      <c r="J160" s="9">
        <v>46258.0</v>
      </c>
      <c r="K160" s="8" t="s">
        <v>167</v>
      </c>
      <c r="L160" s="8" t="b">
        <f t="shared" si="32"/>
        <v>1</v>
      </c>
      <c r="M160" s="9">
        <v>46258.0</v>
      </c>
      <c r="N160" s="8" t="b">
        <f t="shared" si="48"/>
        <v>0</v>
      </c>
      <c r="O160" s="9"/>
      <c r="P160" s="8" t="b">
        <f t="shared" si="16"/>
        <v>0</v>
      </c>
      <c r="Q160" s="9"/>
      <c r="R160" s="8" t="b">
        <f t="shared" si="28"/>
        <v>0</v>
      </c>
      <c r="S160" s="9"/>
      <c r="T160" s="8">
        <v>1.0</v>
      </c>
      <c r="U160" s="9">
        <v>46258.0</v>
      </c>
      <c r="V160" s="9">
        <v>46258.0</v>
      </c>
      <c r="W160" s="8" t="s">
        <v>83</v>
      </c>
      <c r="X160" s="8" t="s">
        <v>266</v>
      </c>
      <c r="Y160" s="8" t="s">
        <v>205</v>
      </c>
      <c r="Z160" s="8"/>
      <c r="AA160" s="13"/>
      <c r="AB160" s="8"/>
      <c r="AC160" s="8"/>
      <c r="AD160" s="8"/>
      <c r="AE160" s="8" t="s">
        <v>367</v>
      </c>
      <c r="AF160" s="8"/>
      <c r="AG160" s="8"/>
      <c r="AH160" s="8"/>
      <c r="AI160" s="8"/>
      <c r="AJ160" s="8"/>
      <c r="AK160" s="8"/>
      <c r="AL160" s="8"/>
      <c r="AM160" s="8" t="b">
        <f t="shared" si="243"/>
        <v>0</v>
      </c>
      <c r="AN160" s="8"/>
      <c r="AO160" s="8"/>
      <c r="AP160" s="8"/>
      <c r="AQ160" s="8"/>
      <c r="AR160" s="8"/>
      <c r="AS160" s="8"/>
      <c r="AT160" s="10"/>
      <c r="AU160" s="8" t="b">
        <f t="shared" si="238"/>
        <v>0</v>
      </c>
      <c r="AV160" s="10"/>
      <c r="AW160" s="8" t="s">
        <v>554</v>
      </c>
      <c r="AX160" s="8">
        <v>5.0</v>
      </c>
      <c r="AY160" s="8" t="b">
        <f t="shared" ref="AY160:BC160" si="244">TRUE()</f>
        <v>1</v>
      </c>
      <c r="AZ160" s="8" t="b">
        <f t="shared" si="244"/>
        <v>1</v>
      </c>
      <c r="BA160" s="8" t="b">
        <f t="shared" si="244"/>
        <v>1</v>
      </c>
      <c r="BB160" s="8" t="b">
        <f t="shared" si="244"/>
        <v>1</v>
      </c>
      <c r="BC160" s="8" t="b">
        <f t="shared" si="244"/>
        <v>1</v>
      </c>
      <c r="BD160" s="10"/>
    </row>
    <row r="161" ht="15.0" customHeight="1">
      <c r="A161" s="8" t="s">
        <v>1142</v>
      </c>
      <c r="B161" s="8" t="s">
        <v>1108</v>
      </c>
      <c r="C161" s="8" t="s">
        <v>1143</v>
      </c>
      <c r="D161" s="8" t="b">
        <f t="shared" si="139"/>
        <v>0</v>
      </c>
      <c r="E161" s="10"/>
      <c r="F161" s="9"/>
      <c r="G161" s="9"/>
      <c r="H161" s="8">
        <v>0.0</v>
      </c>
      <c r="I161" s="8" t="s">
        <v>167</v>
      </c>
      <c r="J161" s="9">
        <v>46209.0</v>
      </c>
      <c r="K161" s="8" t="s">
        <v>167</v>
      </c>
      <c r="L161" s="8" t="b">
        <f t="shared" si="32"/>
        <v>1</v>
      </c>
      <c r="M161" s="9">
        <v>46209.0</v>
      </c>
      <c r="N161" s="8" t="b">
        <f t="shared" si="48"/>
        <v>0</v>
      </c>
      <c r="O161" s="9"/>
      <c r="P161" s="8" t="b">
        <f t="shared" si="16"/>
        <v>0</v>
      </c>
      <c r="Q161" s="9"/>
      <c r="R161" s="8" t="b">
        <f t="shared" si="28"/>
        <v>0</v>
      </c>
      <c r="S161" s="9"/>
      <c r="T161" s="8">
        <v>10.0</v>
      </c>
      <c r="U161" s="9">
        <v>46195.0</v>
      </c>
      <c r="V161" s="9">
        <v>46265.0</v>
      </c>
      <c r="W161" s="8" t="s">
        <v>121</v>
      </c>
      <c r="X161" s="8" t="s">
        <v>204</v>
      </c>
      <c r="Y161" s="8" t="s">
        <v>317</v>
      </c>
      <c r="Z161" s="8" t="s">
        <v>119</v>
      </c>
      <c r="AA161" s="13">
        <v>1.5E7</v>
      </c>
      <c r="AB161" s="8" t="s">
        <v>234</v>
      </c>
      <c r="AC161" s="8" t="s">
        <v>183</v>
      </c>
      <c r="AD161" s="8" t="s">
        <v>87</v>
      </c>
      <c r="AE161" s="8" t="s">
        <v>87</v>
      </c>
      <c r="AF161" s="8" t="s">
        <v>167</v>
      </c>
      <c r="AG161" s="8" t="s">
        <v>353</v>
      </c>
      <c r="AH161" s="8" t="s">
        <v>220</v>
      </c>
      <c r="AI161" s="8" t="s">
        <v>218</v>
      </c>
      <c r="AJ161" s="8" t="s">
        <v>220</v>
      </c>
      <c r="AK161" s="8" t="s">
        <v>297</v>
      </c>
      <c r="AL161" s="8" t="s">
        <v>515</v>
      </c>
      <c r="AM161" s="8" t="b">
        <f t="shared" ref="AM161:AM162" si="246">TRUE()</f>
        <v>1</v>
      </c>
      <c r="AN161" s="8" t="s">
        <v>227</v>
      </c>
      <c r="AO161" s="8">
        <v>3.10239078E8</v>
      </c>
      <c r="AP161" s="8">
        <v>2.45518702E8</v>
      </c>
      <c r="AQ161" s="8" t="s">
        <v>1060</v>
      </c>
      <c r="AR161" s="8" t="s">
        <v>473</v>
      </c>
      <c r="AS161" s="8" t="s">
        <v>562</v>
      </c>
      <c r="AT161" s="10" t="s">
        <v>1080</v>
      </c>
      <c r="AU161" s="8" t="b">
        <f t="shared" si="238"/>
        <v>0</v>
      </c>
      <c r="AV161" s="10"/>
      <c r="AW161" s="8" t="s">
        <v>233</v>
      </c>
      <c r="AX161" s="8">
        <v>0.0</v>
      </c>
      <c r="AY161" s="8" t="b">
        <f t="shared" ref="AY161:BC161" si="245">FALSE()</f>
        <v>0</v>
      </c>
      <c r="AZ161" s="8" t="b">
        <f t="shared" si="245"/>
        <v>0</v>
      </c>
      <c r="BA161" s="8" t="b">
        <f t="shared" si="245"/>
        <v>0</v>
      </c>
      <c r="BB161" s="8" t="b">
        <f t="shared" si="245"/>
        <v>0</v>
      </c>
      <c r="BC161" s="8" t="b">
        <f t="shared" si="245"/>
        <v>0</v>
      </c>
      <c r="BD161" s="10" t="s">
        <v>1144</v>
      </c>
    </row>
    <row r="162" ht="15.0" customHeight="1">
      <c r="A162" s="8" t="s">
        <v>825</v>
      </c>
      <c r="B162" s="8" t="s">
        <v>826</v>
      </c>
      <c r="C162" s="8" t="s">
        <v>833</v>
      </c>
      <c r="D162" s="8" t="b">
        <f t="shared" si="139"/>
        <v>0</v>
      </c>
      <c r="E162" s="10"/>
      <c r="F162" s="9"/>
      <c r="G162" s="9"/>
      <c r="H162" s="8">
        <v>0.0</v>
      </c>
      <c r="I162" s="8" t="s">
        <v>167</v>
      </c>
      <c r="J162" s="9">
        <v>46265.0</v>
      </c>
      <c r="K162" s="8" t="s">
        <v>167</v>
      </c>
      <c r="L162" s="8" t="b">
        <f t="shared" si="32"/>
        <v>1</v>
      </c>
      <c r="M162" s="9">
        <v>46265.0</v>
      </c>
      <c r="N162" s="8" t="b">
        <f t="shared" si="48"/>
        <v>0</v>
      </c>
      <c r="O162" s="9"/>
      <c r="P162" s="8" t="b">
        <f t="shared" si="16"/>
        <v>0</v>
      </c>
      <c r="Q162" s="9"/>
      <c r="R162" s="8" t="b">
        <f t="shared" si="28"/>
        <v>0</v>
      </c>
      <c r="S162" s="9"/>
      <c r="T162" s="8">
        <v>1.0</v>
      </c>
      <c r="U162" s="9">
        <v>46265.0</v>
      </c>
      <c r="V162" s="9">
        <v>46265.0</v>
      </c>
      <c r="W162" s="8" t="s">
        <v>140</v>
      </c>
      <c r="X162" s="8" t="s">
        <v>266</v>
      </c>
      <c r="Y162" s="8" t="s">
        <v>328</v>
      </c>
      <c r="Z162" s="8"/>
      <c r="AA162" s="13"/>
      <c r="AB162" s="8"/>
      <c r="AC162" s="8"/>
      <c r="AD162" s="8"/>
      <c r="AE162" s="8" t="s">
        <v>367</v>
      </c>
      <c r="AF162" s="8" t="s">
        <v>539</v>
      </c>
      <c r="AG162" s="8"/>
      <c r="AH162" s="8"/>
      <c r="AI162" s="8"/>
      <c r="AJ162" s="8"/>
      <c r="AK162" s="8" t="s">
        <v>254</v>
      </c>
      <c r="AL162" s="8" t="s">
        <v>429</v>
      </c>
      <c r="AM162" s="8" t="b">
        <f t="shared" si="246"/>
        <v>1</v>
      </c>
      <c r="AN162" s="8" t="s">
        <v>338</v>
      </c>
      <c r="AO162" s="8">
        <v>3.12333261E8</v>
      </c>
      <c r="AP162" s="8">
        <v>2.5018567E8</v>
      </c>
      <c r="AQ162" s="8" t="s">
        <v>349</v>
      </c>
      <c r="AR162" s="8" t="s">
        <v>549</v>
      </c>
      <c r="AS162" s="8" t="s">
        <v>549</v>
      </c>
      <c r="AT162" s="10"/>
      <c r="AU162" s="8" t="b">
        <f t="shared" si="238"/>
        <v>0</v>
      </c>
      <c r="AV162" s="10"/>
      <c r="AW162" s="8" t="s">
        <v>554</v>
      </c>
      <c r="AX162" s="8">
        <v>3.0</v>
      </c>
      <c r="AY162" s="8" t="b">
        <f>FALSE()</f>
        <v>0</v>
      </c>
      <c r="AZ162" s="8" t="b">
        <f t="shared" ref="AZ162:BB162" si="247">TRUE()</f>
        <v>1</v>
      </c>
      <c r="BA162" s="8" t="b">
        <f t="shared" si="247"/>
        <v>1</v>
      </c>
      <c r="BB162" s="8" t="b">
        <f t="shared" si="247"/>
        <v>1</v>
      </c>
      <c r="BC162" s="8" t="b">
        <f>FALSE()</f>
        <v>0</v>
      </c>
      <c r="BD162" s="10" t="s">
        <v>1145</v>
      </c>
    </row>
    <row r="163" ht="79.5" customHeight="1">
      <c r="A163" s="8" t="s">
        <v>834</v>
      </c>
      <c r="B163" s="8" t="s">
        <v>587</v>
      </c>
      <c r="C163" s="8"/>
      <c r="D163" s="8" t="b">
        <f t="shared" si="139"/>
        <v>0</v>
      </c>
      <c r="E163" s="10"/>
      <c r="F163" s="9"/>
      <c r="G163" s="9"/>
      <c r="H163" s="8">
        <v>0.0</v>
      </c>
      <c r="I163" s="8" t="s">
        <v>167</v>
      </c>
      <c r="J163" s="9">
        <v>45985.0</v>
      </c>
      <c r="K163" s="8" t="s">
        <v>313</v>
      </c>
      <c r="L163" s="8" t="b">
        <f t="shared" si="32"/>
        <v>1</v>
      </c>
      <c r="M163" s="9">
        <v>45985.0</v>
      </c>
      <c r="N163" s="8" t="b">
        <f t="shared" si="48"/>
        <v>0</v>
      </c>
      <c r="O163" s="9"/>
      <c r="P163" s="8" t="b">
        <f t="shared" si="16"/>
        <v>0</v>
      </c>
      <c r="Q163" s="9"/>
      <c r="R163" s="8" t="b">
        <f t="shared" si="28"/>
        <v>0</v>
      </c>
      <c r="S163" s="9"/>
      <c r="T163" s="8">
        <v>38.0</v>
      </c>
      <c r="U163" s="9">
        <v>45978.0</v>
      </c>
      <c r="V163" s="9">
        <v>46265.0</v>
      </c>
      <c r="W163" s="8" t="s">
        <v>83</v>
      </c>
      <c r="X163" s="8" t="s">
        <v>266</v>
      </c>
      <c r="Y163" s="8" t="s">
        <v>205</v>
      </c>
      <c r="Z163" s="8"/>
      <c r="AA163" s="13"/>
      <c r="AB163" s="8"/>
      <c r="AC163" s="8"/>
      <c r="AD163" s="8"/>
      <c r="AE163" s="8" t="s">
        <v>367</v>
      </c>
      <c r="AF163" s="8"/>
      <c r="AG163" s="8"/>
      <c r="AH163" s="8"/>
      <c r="AI163" s="8"/>
      <c r="AJ163" s="8"/>
      <c r="AK163" s="8"/>
      <c r="AL163" s="8"/>
      <c r="AM163" s="8" t="b">
        <f>FALSE()</f>
        <v>0</v>
      </c>
      <c r="AN163" s="8"/>
      <c r="AO163" s="8"/>
      <c r="AP163" s="8"/>
      <c r="AQ163" s="8"/>
      <c r="AR163" s="8"/>
      <c r="AS163" s="8"/>
      <c r="AT163" s="10"/>
      <c r="AU163" s="8" t="b">
        <f t="shared" si="238"/>
        <v>0</v>
      </c>
      <c r="AV163" s="10"/>
      <c r="AW163" s="8" t="s">
        <v>554</v>
      </c>
      <c r="AX163" s="8">
        <v>5.0</v>
      </c>
      <c r="AY163" s="8" t="b">
        <f t="shared" ref="AY163:BC163" si="248">TRUE()</f>
        <v>1</v>
      </c>
      <c r="AZ163" s="8" t="b">
        <f t="shared" si="248"/>
        <v>1</v>
      </c>
      <c r="BA163" s="8" t="b">
        <f t="shared" si="248"/>
        <v>1</v>
      </c>
      <c r="BB163" s="8" t="b">
        <f t="shared" si="248"/>
        <v>1</v>
      </c>
      <c r="BC163" s="8" t="b">
        <f t="shared" si="248"/>
        <v>1</v>
      </c>
      <c r="BD163" s="10"/>
    </row>
    <row r="164" ht="15.0" customHeight="1">
      <c r="A164" s="8" t="s">
        <v>1146</v>
      </c>
      <c r="B164" s="8" t="s">
        <v>1004</v>
      </c>
      <c r="C164" s="8" t="s">
        <v>1147</v>
      </c>
      <c r="D164" s="8" t="b">
        <f t="shared" si="139"/>
        <v>0</v>
      </c>
      <c r="E164" s="10"/>
      <c r="F164" s="9"/>
      <c r="G164" s="9"/>
      <c r="H164" s="8">
        <v>0.0</v>
      </c>
      <c r="I164" s="8" t="s">
        <v>167</v>
      </c>
      <c r="J164" s="9">
        <v>46146.0</v>
      </c>
      <c r="K164" s="8" t="s">
        <v>167</v>
      </c>
      <c r="L164" s="8" t="b">
        <f t="shared" si="32"/>
        <v>1</v>
      </c>
      <c r="M164" s="9">
        <v>46146.0</v>
      </c>
      <c r="N164" s="8" t="b">
        <f t="shared" si="48"/>
        <v>0</v>
      </c>
      <c r="O164" s="9"/>
      <c r="P164" s="8" t="b">
        <f t="shared" si="16"/>
        <v>0</v>
      </c>
      <c r="Q164" s="9"/>
      <c r="R164" s="8" t="b">
        <f t="shared" si="28"/>
        <v>0</v>
      </c>
      <c r="S164" s="9"/>
      <c r="T164" s="8">
        <v>17.0</v>
      </c>
      <c r="U164" s="9">
        <v>46146.0</v>
      </c>
      <c r="V164" s="9">
        <v>46265.0</v>
      </c>
      <c r="W164" s="8" t="s">
        <v>140</v>
      </c>
      <c r="X164" s="8" t="s">
        <v>204</v>
      </c>
      <c r="Y164" s="8" t="s">
        <v>328</v>
      </c>
      <c r="Z164" s="8" t="s">
        <v>56</v>
      </c>
      <c r="AA164" s="13">
        <v>2.0E7</v>
      </c>
      <c r="AB164" s="8" t="s">
        <v>292</v>
      </c>
      <c r="AC164" s="8" t="s">
        <v>70</v>
      </c>
      <c r="AD164" s="8" t="s">
        <v>71</v>
      </c>
      <c r="AE164" s="8" t="s">
        <v>214</v>
      </c>
      <c r="AF164" s="8" t="s">
        <v>539</v>
      </c>
      <c r="AG164" s="8"/>
      <c r="AH164" s="8"/>
      <c r="AI164" s="8"/>
      <c r="AJ164" s="8"/>
      <c r="AK164" s="8" t="s">
        <v>267</v>
      </c>
      <c r="AL164" s="8" t="s">
        <v>445</v>
      </c>
      <c r="AM164" s="8" t="b">
        <f>TRUE()</f>
        <v>1</v>
      </c>
      <c r="AN164" s="8" t="s">
        <v>338</v>
      </c>
      <c r="AO164" s="8">
        <v>2.85843577E8</v>
      </c>
      <c r="AP164" s="8">
        <v>2.40616154E8</v>
      </c>
      <c r="AQ164" s="8" t="s">
        <v>1148</v>
      </c>
      <c r="AR164" s="8" t="s">
        <v>1149</v>
      </c>
      <c r="AS164" s="8" t="s">
        <v>733</v>
      </c>
      <c r="AT164" s="10"/>
      <c r="AU164" s="8" t="b">
        <f t="shared" si="238"/>
        <v>0</v>
      </c>
      <c r="AV164" s="10"/>
      <c r="AW164" s="8" t="s">
        <v>233</v>
      </c>
      <c r="AX164" s="8">
        <v>0.0</v>
      </c>
      <c r="AY164" s="8" t="b">
        <f t="shared" ref="AY164:BC164" si="249">FALSE()</f>
        <v>0</v>
      </c>
      <c r="AZ164" s="8" t="b">
        <f t="shared" si="249"/>
        <v>0</v>
      </c>
      <c r="BA164" s="8" t="b">
        <f t="shared" si="249"/>
        <v>0</v>
      </c>
      <c r="BB164" s="8" t="b">
        <f t="shared" si="249"/>
        <v>0</v>
      </c>
      <c r="BC164" s="8" t="b">
        <f t="shared" si="249"/>
        <v>0</v>
      </c>
      <c r="BD164" s="10" t="s">
        <v>1151</v>
      </c>
    </row>
    <row r="165" ht="15.0" customHeight="1">
      <c r="A165" s="8" t="s">
        <v>836</v>
      </c>
      <c r="B165" s="8" t="s">
        <v>837</v>
      </c>
      <c r="C165" s="8"/>
      <c r="D165" s="8" t="b">
        <f t="shared" si="139"/>
        <v>0</v>
      </c>
      <c r="E165" s="10"/>
      <c r="F165" s="9"/>
      <c r="G165" s="9"/>
      <c r="H165" s="8">
        <v>0.0</v>
      </c>
      <c r="I165" s="8" t="s">
        <v>167</v>
      </c>
      <c r="J165" s="9">
        <v>46125.0</v>
      </c>
      <c r="K165" s="8" t="s">
        <v>167</v>
      </c>
      <c r="L165" s="8" t="b">
        <f t="shared" si="32"/>
        <v>1</v>
      </c>
      <c r="M165" s="9">
        <v>46125.0</v>
      </c>
      <c r="N165" s="8" t="b">
        <f t="shared" si="48"/>
        <v>0</v>
      </c>
      <c r="O165" s="9"/>
      <c r="P165" s="8" t="b">
        <f t="shared" si="16"/>
        <v>0</v>
      </c>
      <c r="Q165" s="9"/>
      <c r="R165" s="8" t="b">
        <f t="shared" si="28"/>
        <v>0</v>
      </c>
      <c r="S165" s="9"/>
      <c r="T165" s="8">
        <v>4.0</v>
      </c>
      <c r="U165" s="9">
        <v>46125.0</v>
      </c>
      <c r="V165" s="9">
        <v>46153.0</v>
      </c>
      <c r="W165" s="8" t="s">
        <v>121</v>
      </c>
      <c r="X165" s="8" t="s">
        <v>266</v>
      </c>
      <c r="Y165" s="8" t="s">
        <v>317</v>
      </c>
      <c r="Z165" s="8"/>
      <c r="AA165" s="13"/>
      <c r="AB165" s="8"/>
      <c r="AC165" s="8"/>
      <c r="AD165" s="8"/>
      <c r="AE165" s="8" t="s">
        <v>367</v>
      </c>
      <c r="AF165" s="8"/>
      <c r="AG165" s="8"/>
      <c r="AH165" s="8"/>
      <c r="AI165" s="8"/>
      <c r="AJ165" s="8"/>
      <c r="AK165" s="8"/>
      <c r="AL165" s="8"/>
      <c r="AM165" s="8" t="b">
        <f t="shared" ref="AM165:AM166" si="251">FALSE()</f>
        <v>0</v>
      </c>
      <c r="AN165" s="8"/>
      <c r="AO165" s="8"/>
      <c r="AP165" s="8"/>
      <c r="AQ165" s="8"/>
      <c r="AR165" s="8"/>
      <c r="AS165" s="8"/>
      <c r="AT165" s="10"/>
      <c r="AU165" s="8" t="b">
        <f t="shared" si="238"/>
        <v>0</v>
      </c>
      <c r="AV165" s="10"/>
      <c r="AW165" s="8" t="s">
        <v>554</v>
      </c>
      <c r="AX165" s="8">
        <v>5.0</v>
      </c>
      <c r="AY165" s="8" t="b">
        <f t="shared" ref="AY165:BC165" si="250">TRUE()</f>
        <v>1</v>
      </c>
      <c r="AZ165" s="8" t="b">
        <f t="shared" si="250"/>
        <v>1</v>
      </c>
      <c r="BA165" s="8" t="b">
        <f t="shared" si="250"/>
        <v>1</v>
      </c>
      <c r="BB165" s="8" t="b">
        <f t="shared" si="250"/>
        <v>1</v>
      </c>
      <c r="BC165" s="8" t="b">
        <f t="shared" si="250"/>
        <v>1</v>
      </c>
      <c r="BD165" s="10"/>
    </row>
    <row r="166" ht="15.0" customHeight="1">
      <c r="A166" s="8" t="s">
        <v>838</v>
      </c>
      <c r="B166" s="8" t="s">
        <v>839</v>
      </c>
      <c r="C166" s="8"/>
      <c r="D166" s="8" t="b">
        <f t="shared" si="139"/>
        <v>0</v>
      </c>
      <c r="E166" s="10"/>
      <c r="F166" s="9"/>
      <c r="G166" s="9"/>
      <c r="H166" s="8">
        <v>0.0</v>
      </c>
      <c r="I166" s="8" t="s">
        <v>167</v>
      </c>
      <c r="J166" s="9">
        <v>46083.0</v>
      </c>
      <c r="K166" s="8" t="s">
        <v>167</v>
      </c>
      <c r="L166" s="8" t="b">
        <f t="shared" si="32"/>
        <v>1</v>
      </c>
      <c r="M166" s="9">
        <v>46083.0</v>
      </c>
      <c r="N166" s="8" t="b">
        <f t="shared" si="48"/>
        <v>0</v>
      </c>
      <c r="O166" s="9"/>
      <c r="P166" s="8" t="b">
        <f t="shared" si="16"/>
        <v>0</v>
      </c>
      <c r="Q166" s="9"/>
      <c r="R166" s="8" t="b">
        <f t="shared" si="28"/>
        <v>0</v>
      </c>
      <c r="S166" s="9"/>
      <c r="T166" s="8">
        <v>3.0</v>
      </c>
      <c r="U166" s="9">
        <v>46083.0</v>
      </c>
      <c r="V166" s="9">
        <v>46097.0</v>
      </c>
      <c r="W166" s="8" t="s">
        <v>83</v>
      </c>
      <c r="X166" s="8" t="s">
        <v>266</v>
      </c>
      <c r="Y166" s="8" t="s">
        <v>205</v>
      </c>
      <c r="Z166" s="8"/>
      <c r="AA166" s="13"/>
      <c r="AB166" s="8"/>
      <c r="AC166" s="8"/>
      <c r="AD166" s="8"/>
      <c r="AE166" s="8" t="s">
        <v>367</v>
      </c>
      <c r="AF166" s="8"/>
      <c r="AG166" s="8"/>
      <c r="AH166" s="8"/>
      <c r="AI166" s="8"/>
      <c r="AJ166" s="8"/>
      <c r="AK166" s="8"/>
      <c r="AL166" s="8"/>
      <c r="AM166" s="8" t="b">
        <f t="shared" si="251"/>
        <v>0</v>
      </c>
      <c r="AN166" s="8"/>
      <c r="AO166" s="8"/>
      <c r="AP166" s="8"/>
      <c r="AQ166" s="8"/>
      <c r="AR166" s="8"/>
      <c r="AS166" s="8"/>
      <c r="AT166" s="10"/>
      <c r="AU166" s="8" t="b">
        <f t="shared" si="238"/>
        <v>0</v>
      </c>
      <c r="AV166" s="10"/>
      <c r="AW166" s="8" t="s">
        <v>554</v>
      </c>
      <c r="AX166" s="8">
        <v>5.0</v>
      </c>
      <c r="AY166" s="8" t="b">
        <f t="shared" ref="AY166:BC166" si="252">TRUE()</f>
        <v>1</v>
      </c>
      <c r="AZ166" s="8" t="b">
        <f t="shared" si="252"/>
        <v>1</v>
      </c>
      <c r="BA166" s="8" t="b">
        <f t="shared" si="252"/>
        <v>1</v>
      </c>
      <c r="BB166" s="8" t="b">
        <f t="shared" si="252"/>
        <v>1</v>
      </c>
      <c r="BC166" s="8" t="b">
        <f t="shared" si="252"/>
        <v>1</v>
      </c>
      <c r="BD166" s="10"/>
    </row>
    <row r="167" ht="124.5" customHeight="1">
      <c r="A167" s="8" t="s">
        <v>841</v>
      </c>
      <c r="B167" s="8" t="s">
        <v>842</v>
      </c>
      <c r="C167" s="8"/>
      <c r="D167" s="8" t="b">
        <f t="shared" si="139"/>
        <v>0</v>
      </c>
      <c r="E167" s="10"/>
      <c r="F167" s="9"/>
      <c r="G167" s="9"/>
      <c r="H167" s="8">
        <v>0.0</v>
      </c>
      <c r="I167" s="8" t="s">
        <v>167</v>
      </c>
      <c r="J167" s="9">
        <v>46125.0</v>
      </c>
      <c r="K167" s="8" t="s">
        <v>167</v>
      </c>
      <c r="L167" s="8" t="b">
        <f t="shared" si="32"/>
        <v>1</v>
      </c>
      <c r="M167" s="9">
        <v>46125.0</v>
      </c>
      <c r="N167" s="8" t="b">
        <f t="shared" si="48"/>
        <v>0</v>
      </c>
      <c r="O167" s="9"/>
      <c r="P167" s="8" t="b">
        <f t="shared" si="16"/>
        <v>0</v>
      </c>
      <c r="Q167" s="9"/>
      <c r="R167" s="8" t="b">
        <f t="shared" si="28"/>
        <v>0</v>
      </c>
      <c r="S167" s="9"/>
      <c r="T167" s="8">
        <v>2.0</v>
      </c>
      <c r="U167" s="9">
        <v>46125.0</v>
      </c>
      <c r="V167" s="9">
        <v>46132.0</v>
      </c>
      <c r="W167" s="8" t="s">
        <v>83</v>
      </c>
      <c r="X167" s="8" t="s">
        <v>266</v>
      </c>
      <c r="Y167" s="8" t="s">
        <v>205</v>
      </c>
      <c r="Z167" s="8"/>
      <c r="AA167" s="13"/>
      <c r="AB167" s="8"/>
      <c r="AC167" s="8"/>
      <c r="AD167" s="8"/>
      <c r="AE167" s="8" t="s">
        <v>367</v>
      </c>
      <c r="AF167" s="8" t="s">
        <v>539</v>
      </c>
      <c r="AG167" s="8"/>
      <c r="AH167" s="8"/>
      <c r="AI167" s="8"/>
      <c r="AJ167" s="8"/>
      <c r="AK167" s="8" t="s">
        <v>127</v>
      </c>
      <c r="AL167" s="8" t="s">
        <v>318</v>
      </c>
      <c r="AM167" s="8" t="b">
        <f>TRUE()</f>
        <v>1</v>
      </c>
      <c r="AN167" s="8" t="s">
        <v>319</v>
      </c>
      <c r="AO167" s="8">
        <v>3.11604651E8</v>
      </c>
      <c r="AP167" s="8">
        <v>2.3773266E8</v>
      </c>
      <c r="AQ167" s="8" t="s">
        <v>483</v>
      </c>
      <c r="AR167" s="8"/>
      <c r="AS167" s="8"/>
      <c r="AT167" s="10"/>
      <c r="AU167" s="8" t="b">
        <f t="shared" si="238"/>
        <v>0</v>
      </c>
      <c r="AV167" s="10"/>
      <c r="AW167" s="8" t="s">
        <v>554</v>
      </c>
      <c r="AX167" s="8">
        <v>4.0</v>
      </c>
      <c r="AY167" s="8" t="b">
        <f t="shared" ref="AY167:BB167" si="253">TRUE()</f>
        <v>1</v>
      </c>
      <c r="AZ167" s="8" t="b">
        <f t="shared" si="253"/>
        <v>1</v>
      </c>
      <c r="BA167" s="8" t="b">
        <f t="shared" si="253"/>
        <v>1</v>
      </c>
      <c r="BB167" s="8" t="b">
        <f t="shared" si="253"/>
        <v>1</v>
      </c>
      <c r="BC167" s="8" t="b">
        <f>FALSE()</f>
        <v>0</v>
      </c>
      <c r="BD167" s="10"/>
    </row>
    <row r="168" ht="15.0" customHeight="1">
      <c r="A168" s="8" t="s">
        <v>843</v>
      </c>
      <c r="B168" s="8" t="s">
        <v>507</v>
      </c>
      <c r="C168" s="8"/>
      <c r="D168" s="8" t="b">
        <f t="shared" si="139"/>
        <v>0</v>
      </c>
      <c r="E168" s="10"/>
      <c r="F168" s="9"/>
      <c r="G168" s="9"/>
      <c r="H168" s="8">
        <v>0.0</v>
      </c>
      <c r="I168" s="8" t="s">
        <v>167</v>
      </c>
      <c r="J168" s="9">
        <v>45944.0</v>
      </c>
      <c r="K168" s="8" t="s">
        <v>167</v>
      </c>
      <c r="L168" s="8" t="b">
        <f t="shared" si="32"/>
        <v>1</v>
      </c>
      <c r="M168" s="9">
        <v>45944.0</v>
      </c>
      <c r="N168" s="8" t="b">
        <f t="shared" si="48"/>
        <v>0</v>
      </c>
      <c r="O168" s="9"/>
      <c r="P168" s="8" t="b">
        <f t="shared" si="16"/>
        <v>0</v>
      </c>
      <c r="Q168" s="9"/>
      <c r="R168" s="8" t="b">
        <f t="shared" si="28"/>
        <v>0</v>
      </c>
      <c r="S168" s="9"/>
      <c r="T168" s="8">
        <v>1.0</v>
      </c>
      <c r="U168" s="9">
        <v>45944.0</v>
      </c>
      <c r="V168" s="9">
        <v>45944.0</v>
      </c>
      <c r="W168" s="8" t="s">
        <v>140</v>
      </c>
      <c r="X168" s="8" t="s">
        <v>266</v>
      </c>
      <c r="Y168" s="8" t="s">
        <v>328</v>
      </c>
      <c r="Z168" s="8"/>
      <c r="AA168" s="13"/>
      <c r="AB168" s="8"/>
      <c r="AC168" s="8"/>
      <c r="AD168" s="8"/>
      <c r="AE168" s="8" t="s">
        <v>367</v>
      </c>
      <c r="AF168" s="8"/>
      <c r="AG168" s="8"/>
      <c r="AH168" s="8"/>
      <c r="AI168" s="8"/>
      <c r="AJ168" s="8"/>
      <c r="AK168" s="8"/>
      <c r="AL168" s="8"/>
      <c r="AM168" s="8" t="b">
        <f t="shared" ref="AM168:AM169" si="255">FALSE()</f>
        <v>0</v>
      </c>
      <c r="AN168" s="8"/>
      <c r="AO168" s="8"/>
      <c r="AP168" s="8"/>
      <c r="AQ168" s="8"/>
      <c r="AR168" s="8"/>
      <c r="AS168" s="8"/>
      <c r="AT168" s="10"/>
      <c r="AU168" s="8" t="b">
        <f t="shared" si="238"/>
        <v>0</v>
      </c>
      <c r="AV168" s="10"/>
      <c r="AW168" s="8" t="s">
        <v>554</v>
      </c>
      <c r="AX168" s="8">
        <v>5.0</v>
      </c>
      <c r="AY168" s="8" t="b">
        <f t="shared" ref="AY168:BC168" si="254">TRUE()</f>
        <v>1</v>
      </c>
      <c r="AZ168" s="8" t="b">
        <f t="shared" si="254"/>
        <v>1</v>
      </c>
      <c r="BA168" s="8" t="b">
        <f t="shared" si="254"/>
        <v>1</v>
      </c>
      <c r="BB168" s="8" t="b">
        <f t="shared" si="254"/>
        <v>1</v>
      </c>
      <c r="BC168" s="8" t="b">
        <f t="shared" si="254"/>
        <v>1</v>
      </c>
      <c r="BD168" s="10"/>
    </row>
    <row r="169" ht="15.0" customHeight="1">
      <c r="A169" s="8" t="s">
        <v>844</v>
      </c>
      <c r="B169" s="8" t="s">
        <v>845</v>
      </c>
      <c r="C169" s="8"/>
      <c r="D169" s="8" t="b">
        <f t="shared" si="139"/>
        <v>0</v>
      </c>
      <c r="E169" s="10"/>
      <c r="F169" s="9"/>
      <c r="G169" s="9"/>
      <c r="H169" s="8">
        <v>0.0</v>
      </c>
      <c r="I169" s="8" t="s">
        <v>167</v>
      </c>
      <c r="J169" s="9">
        <v>46174.0</v>
      </c>
      <c r="K169" s="8" t="s">
        <v>313</v>
      </c>
      <c r="L169" s="8" t="b">
        <f t="shared" si="32"/>
        <v>1</v>
      </c>
      <c r="M169" s="9">
        <v>46174.0</v>
      </c>
      <c r="N169" s="8" t="b">
        <f t="shared" si="48"/>
        <v>0</v>
      </c>
      <c r="O169" s="9"/>
      <c r="P169" s="8" t="b">
        <f t="shared" si="16"/>
        <v>0</v>
      </c>
      <c r="Q169" s="9"/>
      <c r="R169" s="8" t="b">
        <f t="shared" si="28"/>
        <v>0</v>
      </c>
      <c r="S169" s="9"/>
      <c r="T169" s="8">
        <v>13.0</v>
      </c>
      <c r="U169" s="9">
        <v>46174.0</v>
      </c>
      <c r="V169" s="9">
        <v>46265.0</v>
      </c>
      <c r="W169" s="8" t="s">
        <v>360</v>
      </c>
      <c r="X169" s="8" t="s">
        <v>266</v>
      </c>
      <c r="Y169" s="8" t="s">
        <v>360</v>
      </c>
      <c r="Z169" s="8"/>
      <c r="AA169" s="13"/>
      <c r="AB169" s="8"/>
      <c r="AC169" s="8"/>
      <c r="AD169" s="8"/>
      <c r="AE169" s="8" t="s">
        <v>367</v>
      </c>
      <c r="AF169" s="8"/>
      <c r="AG169" s="8"/>
      <c r="AH169" s="8"/>
      <c r="AI169" s="8"/>
      <c r="AJ169" s="8"/>
      <c r="AK169" s="8"/>
      <c r="AL169" s="8"/>
      <c r="AM169" s="8" t="b">
        <f t="shared" si="255"/>
        <v>0</v>
      </c>
      <c r="AN169" s="8"/>
      <c r="AO169" s="8"/>
      <c r="AP169" s="8"/>
      <c r="AQ169" s="8"/>
      <c r="AR169" s="8"/>
      <c r="AS169" s="8"/>
      <c r="AT169" s="10"/>
      <c r="AU169" s="8" t="b">
        <f t="shared" si="238"/>
        <v>0</v>
      </c>
      <c r="AV169" s="10"/>
      <c r="AW169" s="8" t="s">
        <v>554</v>
      </c>
      <c r="AX169" s="8">
        <v>5.0</v>
      </c>
      <c r="AY169" s="8" t="b">
        <f t="shared" ref="AY169:BC169" si="256">TRUE()</f>
        <v>1</v>
      </c>
      <c r="AZ169" s="8" t="b">
        <f t="shared" si="256"/>
        <v>1</v>
      </c>
      <c r="BA169" s="8" t="b">
        <f t="shared" si="256"/>
        <v>1</v>
      </c>
      <c r="BB169" s="8" t="b">
        <f t="shared" si="256"/>
        <v>1</v>
      </c>
      <c r="BC169" s="8" t="b">
        <f t="shared" si="256"/>
        <v>1</v>
      </c>
      <c r="BD169" s="10"/>
    </row>
    <row r="170" ht="15.0" customHeight="1">
      <c r="A170" s="8" t="s">
        <v>995</v>
      </c>
      <c r="B170" s="8" t="s">
        <v>890</v>
      </c>
      <c r="C170" s="8" t="s">
        <v>996</v>
      </c>
      <c r="D170" s="8" t="b">
        <f t="shared" si="139"/>
        <v>0</v>
      </c>
      <c r="E170" s="10"/>
      <c r="F170" s="9"/>
      <c r="G170" s="9"/>
      <c r="H170" s="8">
        <v>0.0</v>
      </c>
      <c r="I170" s="8" t="s">
        <v>167</v>
      </c>
      <c r="J170" s="9">
        <v>46097.0</v>
      </c>
      <c r="K170" s="8" t="s">
        <v>167</v>
      </c>
      <c r="L170" s="8" t="b">
        <f t="shared" si="32"/>
        <v>1</v>
      </c>
      <c r="M170" s="9">
        <v>46097.0</v>
      </c>
      <c r="N170" s="8" t="b">
        <f t="shared" si="48"/>
        <v>0</v>
      </c>
      <c r="O170" s="9"/>
      <c r="P170" s="8" t="b">
        <f t="shared" si="16"/>
        <v>0</v>
      </c>
      <c r="Q170" s="9"/>
      <c r="R170" s="8" t="b">
        <f t="shared" si="28"/>
        <v>0</v>
      </c>
      <c r="S170" s="9"/>
      <c r="T170" s="8">
        <v>1.0</v>
      </c>
      <c r="U170" s="9">
        <v>46097.0</v>
      </c>
      <c r="V170" s="9">
        <v>46097.0</v>
      </c>
      <c r="W170" s="8" t="s">
        <v>83</v>
      </c>
      <c r="X170" s="8" t="s">
        <v>204</v>
      </c>
      <c r="Y170" s="8" t="s">
        <v>205</v>
      </c>
      <c r="Z170" s="8" t="s">
        <v>281</v>
      </c>
      <c r="AA170" s="13">
        <v>1500000.0</v>
      </c>
      <c r="AB170" s="8"/>
      <c r="AC170" s="8"/>
      <c r="AD170" s="8"/>
      <c r="AE170" s="8" t="s">
        <v>367</v>
      </c>
      <c r="AF170" s="8" t="s">
        <v>167</v>
      </c>
      <c r="AG170" s="8" t="s">
        <v>405</v>
      </c>
      <c r="AH170" s="8"/>
      <c r="AI170" s="8"/>
      <c r="AJ170" s="8"/>
      <c r="AK170" s="8" t="s">
        <v>127</v>
      </c>
      <c r="AL170" s="8" t="s">
        <v>318</v>
      </c>
      <c r="AM170" s="8" t="b">
        <f t="shared" ref="AM170:AM175" si="258">TRUE()</f>
        <v>1</v>
      </c>
      <c r="AN170" s="8" t="s">
        <v>227</v>
      </c>
      <c r="AO170" s="8">
        <v>3.11318901E8</v>
      </c>
      <c r="AP170" s="8">
        <v>2.36172534E8</v>
      </c>
      <c r="AQ170" s="8" t="s">
        <v>1152</v>
      </c>
      <c r="AR170" s="8" t="s">
        <v>1153</v>
      </c>
      <c r="AS170" s="8" t="s">
        <v>1153</v>
      </c>
      <c r="AT170" s="10"/>
      <c r="AU170" s="8" t="b">
        <f t="shared" si="238"/>
        <v>0</v>
      </c>
      <c r="AV170" s="10"/>
      <c r="AW170" s="8" t="s">
        <v>233</v>
      </c>
      <c r="AX170" s="8">
        <v>1.0</v>
      </c>
      <c r="AY170" s="8" t="b">
        <f t="shared" ref="AY170:AY171" si="259">FALSE()</f>
        <v>0</v>
      </c>
      <c r="AZ170" s="8" t="b">
        <f>TRUE()</f>
        <v>1</v>
      </c>
      <c r="BA170" s="8" t="b">
        <f t="shared" ref="BA170:BC170" si="257">FALSE()</f>
        <v>0</v>
      </c>
      <c r="BB170" s="8" t="b">
        <f t="shared" si="257"/>
        <v>0</v>
      </c>
      <c r="BC170" s="8" t="b">
        <f t="shared" si="257"/>
        <v>0</v>
      </c>
      <c r="BD170" s="10" t="s">
        <v>1154</v>
      </c>
    </row>
    <row r="171" ht="124.5" customHeight="1">
      <c r="A171" s="8" t="s">
        <v>1155</v>
      </c>
      <c r="B171" s="8" t="s">
        <v>765</v>
      </c>
      <c r="C171" s="8" t="s">
        <v>1156</v>
      </c>
      <c r="D171" s="8" t="b">
        <f t="shared" si="139"/>
        <v>0</v>
      </c>
      <c r="E171" s="10"/>
      <c r="F171" s="9"/>
      <c r="G171" s="9"/>
      <c r="H171" s="8">
        <v>0.0</v>
      </c>
      <c r="I171" s="8" t="s">
        <v>167</v>
      </c>
      <c r="J171" s="9">
        <v>46070.0</v>
      </c>
      <c r="K171" s="8" t="s">
        <v>167</v>
      </c>
      <c r="L171" s="8" t="b">
        <f t="shared" si="32"/>
        <v>1</v>
      </c>
      <c r="M171" s="9">
        <v>46070.0</v>
      </c>
      <c r="N171" s="8" t="b">
        <f t="shared" si="48"/>
        <v>0</v>
      </c>
      <c r="O171" s="9"/>
      <c r="P171" s="8" t="b">
        <f t="shared" si="16"/>
        <v>0</v>
      </c>
      <c r="Q171" s="9"/>
      <c r="R171" s="8" t="b">
        <f t="shared" si="28"/>
        <v>0</v>
      </c>
      <c r="S171" s="9"/>
      <c r="T171" s="8">
        <v>10.0</v>
      </c>
      <c r="U171" s="9">
        <v>46062.0</v>
      </c>
      <c r="V171" s="9">
        <v>46125.0</v>
      </c>
      <c r="W171" s="8" t="s">
        <v>83</v>
      </c>
      <c r="X171" s="8" t="s">
        <v>204</v>
      </c>
      <c r="Y171" s="8" t="s">
        <v>205</v>
      </c>
      <c r="Z171" s="8" t="s">
        <v>119</v>
      </c>
      <c r="AA171" s="13">
        <v>5000000.0</v>
      </c>
      <c r="AB171" s="8" t="s">
        <v>1157</v>
      </c>
      <c r="AC171" s="8" t="s">
        <v>316</v>
      </c>
      <c r="AD171" s="8" t="s">
        <v>87</v>
      </c>
      <c r="AE171" s="8" t="s">
        <v>87</v>
      </c>
      <c r="AF171" s="8" t="s">
        <v>167</v>
      </c>
      <c r="AG171" s="8" t="s">
        <v>405</v>
      </c>
      <c r="AH171" s="8"/>
      <c r="AI171" s="8"/>
      <c r="AJ171" s="8"/>
      <c r="AK171" s="8" t="s">
        <v>127</v>
      </c>
      <c r="AL171" s="8" t="s">
        <v>318</v>
      </c>
      <c r="AM171" s="8" t="b">
        <f t="shared" si="258"/>
        <v>1</v>
      </c>
      <c r="AN171" s="8" t="s">
        <v>227</v>
      </c>
      <c r="AO171" s="8">
        <v>2.90374423E8</v>
      </c>
      <c r="AP171" s="8">
        <v>2.33307759E8</v>
      </c>
      <c r="AQ171" s="8" t="s">
        <v>412</v>
      </c>
      <c r="AR171" s="8" t="s">
        <v>1158</v>
      </c>
      <c r="AS171" s="8" t="s">
        <v>1158</v>
      </c>
      <c r="AT171" s="10"/>
      <c r="AU171" s="8" t="b">
        <f t="shared" si="238"/>
        <v>0</v>
      </c>
      <c r="AV171" s="10"/>
      <c r="AW171" s="8" t="s">
        <v>233</v>
      </c>
      <c r="AX171" s="8">
        <v>0.0</v>
      </c>
      <c r="AY171" s="8" t="b">
        <f t="shared" si="259"/>
        <v>0</v>
      </c>
      <c r="AZ171" s="8" t="b">
        <f t="shared" ref="AZ171:BC171" si="260">FALSE()</f>
        <v>0</v>
      </c>
      <c r="BA171" s="8" t="b">
        <f t="shared" si="260"/>
        <v>0</v>
      </c>
      <c r="BB171" s="8" t="b">
        <f t="shared" si="260"/>
        <v>0</v>
      </c>
      <c r="BC171" s="8" t="b">
        <f t="shared" si="260"/>
        <v>0</v>
      </c>
      <c r="BD171" s="10" t="s">
        <v>1159</v>
      </c>
    </row>
    <row r="172" ht="45.75" customHeight="1">
      <c r="A172" s="8" t="s">
        <v>846</v>
      </c>
      <c r="B172" s="8" t="s">
        <v>847</v>
      </c>
      <c r="C172" s="8"/>
      <c r="D172" s="8" t="b">
        <f t="shared" si="139"/>
        <v>0</v>
      </c>
      <c r="E172" s="10"/>
      <c r="F172" s="9"/>
      <c r="G172" s="9"/>
      <c r="H172" s="8">
        <v>0.0</v>
      </c>
      <c r="I172" s="8" t="s">
        <v>167</v>
      </c>
      <c r="J172" s="9">
        <v>46209.0</v>
      </c>
      <c r="K172" s="8" t="s">
        <v>167</v>
      </c>
      <c r="L172" s="8" t="b">
        <f t="shared" si="32"/>
        <v>1</v>
      </c>
      <c r="M172" s="9">
        <v>46209.0</v>
      </c>
      <c r="N172" s="8" t="b">
        <f t="shared" si="48"/>
        <v>0</v>
      </c>
      <c r="O172" s="9"/>
      <c r="P172" s="8" t="b">
        <f t="shared" si="16"/>
        <v>0</v>
      </c>
      <c r="Q172" s="9"/>
      <c r="R172" s="8" t="b">
        <f t="shared" si="28"/>
        <v>0</v>
      </c>
      <c r="S172" s="9"/>
      <c r="T172" s="8">
        <v>2.0</v>
      </c>
      <c r="U172" s="9">
        <v>46209.0</v>
      </c>
      <c r="V172" s="9">
        <v>46216.0</v>
      </c>
      <c r="W172" s="8" t="s">
        <v>140</v>
      </c>
      <c r="X172" s="8" t="s">
        <v>204</v>
      </c>
      <c r="Y172" s="8" t="s">
        <v>328</v>
      </c>
      <c r="Z172" s="8"/>
      <c r="AA172" s="13"/>
      <c r="AB172" s="8"/>
      <c r="AC172" s="8"/>
      <c r="AD172" s="8"/>
      <c r="AE172" s="8" t="s">
        <v>367</v>
      </c>
      <c r="AF172" s="8" t="s">
        <v>539</v>
      </c>
      <c r="AG172" s="8"/>
      <c r="AH172" s="8"/>
      <c r="AI172" s="8"/>
      <c r="AJ172" s="8"/>
      <c r="AK172" s="8" t="s">
        <v>254</v>
      </c>
      <c r="AL172" s="8" t="s">
        <v>429</v>
      </c>
      <c r="AM172" s="8" t="b">
        <f t="shared" si="258"/>
        <v>1</v>
      </c>
      <c r="AN172" s="8" t="s">
        <v>227</v>
      </c>
      <c r="AO172" s="8">
        <v>3.10571811E8</v>
      </c>
      <c r="AP172" s="8">
        <v>2.31962057E8</v>
      </c>
      <c r="AQ172" s="8" t="s">
        <v>454</v>
      </c>
      <c r="AR172" s="8"/>
      <c r="AS172" s="8"/>
      <c r="AT172" s="10"/>
      <c r="AU172" s="8" t="b">
        <f t="shared" si="238"/>
        <v>0</v>
      </c>
      <c r="AV172" s="10"/>
      <c r="AW172" s="8" t="s">
        <v>554</v>
      </c>
      <c r="AX172" s="8">
        <v>4.0</v>
      </c>
      <c r="AY172" s="8" t="b">
        <f t="shared" ref="AY172:BB172" si="261">TRUE()</f>
        <v>1</v>
      </c>
      <c r="AZ172" s="8" t="b">
        <f t="shared" si="261"/>
        <v>1</v>
      </c>
      <c r="BA172" s="8" t="b">
        <f t="shared" si="261"/>
        <v>1</v>
      </c>
      <c r="BB172" s="8" t="b">
        <f t="shared" si="261"/>
        <v>1</v>
      </c>
      <c r="BC172" s="8" t="b">
        <f>FALSE()</f>
        <v>0</v>
      </c>
      <c r="BD172" s="10" t="s">
        <v>1160</v>
      </c>
    </row>
    <row r="173" ht="45.75" customHeight="1">
      <c r="A173" s="8" t="s">
        <v>997</v>
      </c>
      <c r="B173" s="8" t="s">
        <v>669</v>
      </c>
      <c r="C173" s="8" t="s">
        <v>999</v>
      </c>
      <c r="D173" s="8" t="b">
        <f t="shared" si="139"/>
        <v>0</v>
      </c>
      <c r="E173" s="10"/>
      <c r="F173" s="9"/>
      <c r="G173" s="9"/>
      <c r="H173" s="8">
        <v>0.0</v>
      </c>
      <c r="I173" s="8" t="s">
        <v>167</v>
      </c>
      <c r="J173" s="9">
        <v>46034.0</v>
      </c>
      <c r="K173" s="8" t="s">
        <v>167</v>
      </c>
      <c r="L173" s="8" t="b">
        <f t="shared" si="32"/>
        <v>1</v>
      </c>
      <c r="M173" s="9">
        <v>46034.0</v>
      </c>
      <c r="N173" s="8" t="b">
        <f t="shared" si="48"/>
        <v>0</v>
      </c>
      <c r="O173" s="9"/>
      <c r="P173" s="8" t="b">
        <f t="shared" si="16"/>
        <v>0</v>
      </c>
      <c r="Q173" s="9"/>
      <c r="R173" s="8" t="b">
        <f t="shared" si="28"/>
        <v>0</v>
      </c>
      <c r="S173" s="9"/>
      <c r="T173" s="8">
        <v>19.0</v>
      </c>
      <c r="U173" s="9">
        <v>46034.0</v>
      </c>
      <c r="V173" s="9">
        <v>46258.0</v>
      </c>
      <c r="W173" s="8" t="s">
        <v>140</v>
      </c>
      <c r="X173" s="8" t="s">
        <v>204</v>
      </c>
      <c r="Y173" s="8" t="s">
        <v>328</v>
      </c>
      <c r="Z173" s="8" t="s">
        <v>119</v>
      </c>
      <c r="AA173" s="13">
        <v>1.5E7</v>
      </c>
      <c r="AB173" s="8"/>
      <c r="AC173" s="8"/>
      <c r="AD173" s="8"/>
      <c r="AE173" s="8" t="s">
        <v>367</v>
      </c>
      <c r="AF173" s="8" t="s">
        <v>167</v>
      </c>
      <c r="AG173" s="8"/>
      <c r="AH173" s="8"/>
      <c r="AI173" s="8"/>
      <c r="AJ173" s="8"/>
      <c r="AK173" s="8" t="s">
        <v>74</v>
      </c>
      <c r="AL173" s="8" t="s">
        <v>223</v>
      </c>
      <c r="AM173" s="8" t="b">
        <f t="shared" si="258"/>
        <v>1</v>
      </c>
      <c r="AN173" s="8" t="s">
        <v>227</v>
      </c>
      <c r="AO173" s="8">
        <v>3.0926274E8</v>
      </c>
      <c r="AP173" s="8">
        <v>2.34880897E8</v>
      </c>
      <c r="AQ173" s="8" t="s">
        <v>1161</v>
      </c>
      <c r="AR173" s="8" t="s">
        <v>1162</v>
      </c>
      <c r="AS173" s="8" t="s">
        <v>1163</v>
      </c>
      <c r="AT173" s="10"/>
      <c r="AU173" s="8" t="b">
        <f t="shared" si="238"/>
        <v>0</v>
      </c>
      <c r="AV173" s="10"/>
      <c r="AW173" s="8" t="s">
        <v>233</v>
      </c>
      <c r="AX173" s="8">
        <v>1.0</v>
      </c>
      <c r="AY173" s="8" t="b">
        <f t="shared" ref="AY173:AY174" si="263">FALSE()</f>
        <v>0</v>
      </c>
      <c r="AZ173" s="8" t="b">
        <f>TRUE()</f>
        <v>1</v>
      </c>
      <c r="BA173" s="8" t="b">
        <f t="shared" ref="BA173:BC173" si="262">FALSE()</f>
        <v>0</v>
      </c>
      <c r="BB173" s="8" t="b">
        <f t="shared" si="262"/>
        <v>0</v>
      </c>
      <c r="BC173" s="8" t="b">
        <f t="shared" si="262"/>
        <v>0</v>
      </c>
      <c r="BD173" s="10"/>
    </row>
    <row r="174" ht="15.0" customHeight="1">
      <c r="A174" s="8" t="s">
        <v>1164</v>
      </c>
      <c r="B174" s="8" t="s">
        <v>672</v>
      </c>
      <c r="C174" s="8" t="s">
        <v>1165</v>
      </c>
      <c r="D174" s="8" t="b">
        <f t="shared" si="139"/>
        <v>0</v>
      </c>
      <c r="E174" s="10"/>
      <c r="F174" s="9"/>
      <c r="G174" s="9"/>
      <c r="H174" s="8">
        <v>0.0</v>
      </c>
      <c r="I174" s="8" t="s">
        <v>167</v>
      </c>
      <c r="J174" s="9">
        <v>46034.0</v>
      </c>
      <c r="K174" s="8" t="s">
        <v>167</v>
      </c>
      <c r="L174" s="8" t="b">
        <f t="shared" si="32"/>
        <v>1</v>
      </c>
      <c r="M174" s="9">
        <v>46034.0</v>
      </c>
      <c r="N174" s="8" t="b">
        <f t="shared" si="48"/>
        <v>0</v>
      </c>
      <c r="O174" s="9"/>
      <c r="P174" s="8" t="b">
        <f t="shared" si="16"/>
        <v>0</v>
      </c>
      <c r="Q174" s="9"/>
      <c r="R174" s="8" t="b">
        <f t="shared" si="28"/>
        <v>0</v>
      </c>
      <c r="S174" s="9"/>
      <c r="T174" s="8">
        <v>4.0</v>
      </c>
      <c r="U174" s="9">
        <v>46034.0</v>
      </c>
      <c r="V174" s="9">
        <v>46055.0</v>
      </c>
      <c r="W174" s="8" t="s">
        <v>83</v>
      </c>
      <c r="X174" s="8" t="s">
        <v>204</v>
      </c>
      <c r="Y174" s="8" t="s">
        <v>205</v>
      </c>
      <c r="Z174" s="8" t="s">
        <v>56</v>
      </c>
      <c r="AA174" s="13">
        <v>2.5E7</v>
      </c>
      <c r="AB174" s="8" t="s">
        <v>1166</v>
      </c>
      <c r="AC174" s="8" t="s">
        <v>324</v>
      </c>
      <c r="AD174" s="8" t="s">
        <v>87</v>
      </c>
      <c r="AE174" s="8" t="s">
        <v>87</v>
      </c>
      <c r="AF174" s="8" t="s">
        <v>293</v>
      </c>
      <c r="AG174" s="8" t="s">
        <v>405</v>
      </c>
      <c r="AH174" s="8"/>
      <c r="AI174" s="8"/>
      <c r="AJ174" s="8"/>
      <c r="AK174" s="8" t="s">
        <v>215</v>
      </c>
      <c r="AL174" s="8" t="s">
        <v>393</v>
      </c>
      <c r="AM174" s="8" t="b">
        <f t="shared" si="258"/>
        <v>1</v>
      </c>
      <c r="AN174" s="8" t="s">
        <v>319</v>
      </c>
      <c r="AO174" s="8">
        <v>2.85739554E8</v>
      </c>
      <c r="AP174" s="8">
        <v>2.27029836E8</v>
      </c>
      <c r="AQ174" s="8" t="s">
        <v>1006</v>
      </c>
      <c r="AR174" s="8" t="s">
        <v>1167</v>
      </c>
      <c r="AS174" s="8" t="s">
        <v>1167</v>
      </c>
      <c r="AT174" s="10"/>
      <c r="AU174" s="8" t="b">
        <f t="shared" si="238"/>
        <v>0</v>
      </c>
      <c r="AV174" s="10"/>
      <c r="AW174" s="8" t="s">
        <v>233</v>
      </c>
      <c r="AX174" s="8">
        <v>0.0</v>
      </c>
      <c r="AY174" s="8" t="b">
        <f t="shared" si="263"/>
        <v>0</v>
      </c>
      <c r="AZ174" s="8" t="b">
        <f t="shared" ref="AZ174:BC174" si="264">FALSE()</f>
        <v>0</v>
      </c>
      <c r="BA174" s="8" t="b">
        <f t="shared" si="264"/>
        <v>0</v>
      </c>
      <c r="BB174" s="8" t="b">
        <f t="shared" si="264"/>
        <v>0</v>
      </c>
      <c r="BC174" s="8" t="b">
        <f t="shared" si="264"/>
        <v>0</v>
      </c>
      <c r="BD174" s="10" t="s">
        <v>1168</v>
      </c>
    </row>
    <row r="175" ht="15.0" customHeight="1">
      <c r="A175" s="8" t="s">
        <v>851</v>
      </c>
      <c r="B175" s="8" t="s">
        <v>852</v>
      </c>
      <c r="C175" s="8"/>
      <c r="D175" s="8" t="b">
        <f t="shared" si="139"/>
        <v>0</v>
      </c>
      <c r="E175" s="10"/>
      <c r="F175" s="9"/>
      <c r="G175" s="9"/>
      <c r="H175" s="8">
        <v>0.0</v>
      </c>
      <c r="I175" s="8" t="s">
        <v>167</v>
      </c>
      <c r="J175" s="9">
        <v>46118.0</v>
      </c>
      <c r="K175" s="8" t="s">
        <v>313</v>
      </c>
      <c r="L175" s="8" t="b">
        <f t="shared" si="32"/>
        <v>1</v>
      </c>
      <c r="M175" s="9">
        <v>46118.0</v>
      </c>
      <c r="N175" s="8" t="b">
        <f t="shared" si="48"/>
        <v>0</v>
      </c>
      <c r="O175" s="9"/>
      <c r="P175" s="8" t="b">
        <f t="shared" si="16"/>
        <v>0</v>
      </c>
      <c r="Q175" s="9"/>
      <c r="R175" s="8" t="b">
        <f t="shared" si="28"/>
        <v>0</v>
      </c>
      <c r="S175" s="9"/>
      <c r="T175" s="8">
        <v>15.0</v>
      </c>
      <c r="U175" s="9">
        <v>46118.0</v>
      </c>
      <c r="V175" s="9">
        <v>46230.0</v>
      </c>
      <c r="W175" s="8" t="s">
        <v>121</v>
      </c>
      <c r="X175" s="8" t="s">
        <v>204</v>
      </c>
      <c r="Y175" s="8" t="s">
        <v>317</v>
      </c>
      <c r="Z175" s="8" t="s">
        <v>119</v>
      </c>
      <c r="AA175" s="13"/>
      <c r="AB175" s="8"/>
      <c r="AC175" s="8"/>
      <c r="AD175" s="8"/>
      <c r="AE175" s="8" t="s">
        <v>367</v>
      </c>
      <c r="AF175" s="8" t="s">
        <v>185</v>
      </c>
      <c r="AG175" s="8" t="s">
        <v>471</v>
      </c>
      <c r="AH175" s="8"/>
      <c r="AI175" s="8"/>
      <c r="AJ175" s="8"/>
      <c r="AK175" s="8" t="s">
        <v>154</v>
      </c>
      <c r="AL175" s="8" t="s">
        <v>337</v>
      </c>
      <c r="AM175" s="8" t="b">
        <f t="shared" si="258"/>
        <v>1</v>
      </c>
      <c r="AN175" s="8" t="s">
        <v>227</v>
      </c>
      <c r="AO175" s="8">
        <v>3.11664638E8</v>
      </c>
      <c r="AP175" s="8">
        <v>2.37913313E8</v>
      </c>
      <c r="AQ175" s="8" t="s">
        <v>882</v>
      </c>
      <c r="AR175" s="8"/>
      <c r="AS175" s="8"/>
      <c r="AT175" s="10"/>
      <c r="AU175" s="8" t="b">
        <f t="shared" si="238"/>
        <v>0</v>
      </c>
      <c r="AV175" s="10"/>
      <c r="AW175" s="8" t="s">
        <v>554</v>
      </c>
      <c r="AX175" s="8">
        <v>3.0</v>
      </c>
      <c r="AY175" s="8" t="b">
        <f t="shared" ref="AY175:AZ175" si="265">TRUE()</f>
        <v>1</v>
      </c>
      <c r="AZ175" s="8" t="b">
        <f t="shared" si="265"/>
        <v>1</v>
      </c>
      <c r="BA175" s="8" t="b">
        <f>FALSE()</f>
        <v>0</v>
      </c>
      <c r="BB175" s="8" t="b">
        <f>TRUE()</f>
        <v>1</v>
      </c>
      <c r="BC175" s="8" t="b">
        <f>FALSE()</f>
        <v>0</v>
      </c>
      <c r="BD175" s="10"/>
    </row>
    <row r="176" ht="15.0" customHeight="1">
      <c r="A176" s="8" t="s">
        <v>853</v>
      </c>
      <c r="B176" s="8" t="s">
        <v>854</v>
      </c>
      <c r="C176" s="28" t="s">
        <v>1169</v>
      </c>
      <c r="D176" s="8" t="b">
        <f t="shared" si="139"/>
        <v>0</v>
      </c>
      <c r="E176" s="10"/>
      <c r="F176" s="9"/>
      <c r="G176" s="9"/>
      <c r="H176" s="8">
        <v>0.0</v>
      </c>
      <c r="I176" s="8" t="s">
        <v>167</v>
      </c>
      <c r="J176" s="9">
        <v>46209.0</v>
      </c>
      <c r="K176" s="8" t="s">
        <v>167</v>
      </c>
      <c r="L176" s="8" t="b">
        <f t="shared" si="32"/>
        <v>1</v>
      </c>
      <c r="M176" s="9">
        <v>46209.0</v>
      </c>
      <c r="N176" s="8" t="b">
        <f t="shared" si="48"/>
        <v>0</v>
      </c>
      <c r="O176" s="9"/>
      <c r="P176" s="8" t="b">
        <f t="shared" si="16"/>
        <v>0</v>
      </c>
      <c r="Q176" s="9"/>
      <c r="R176" s="8" t="b">
        <f t="shared" si="28"/>
        <v>0</v>
      </c>
      <c r="S176" s="9"/>
      <c r="T176" s="8">
        <v>2.0</v>
      </c>
      <c r="U176" s="9">
        <v>46209.0</v>
      </c>
      <c r="V176" s="9">
        <v>46216.0</v>
      </c>
      <c r="W176" s="8" t="s">
        <v>121</v>
      </c>
      <c r="X176" s="8" t="s">
        <v>266</v>
      </c>
      <c r="Y176" s="8" t="s">
        <v>317</v>
      </c>
      <c r="Z176" s="8"/>
      <c r="AA176" s="13"/>
      <c r="AB176" s="8"/>
      <c r="AC176" s="8"/>
      <c r="AD176" s="8"/>
      <c r="AE176" s="8" t="s">
        <v>367</v>
      </c>
      <c r="AF176" s="8"/>
      <c r="AG176" s="8"/>
      <c r="AH176" s="8"/>
      <c r="AI176" s="8"/>
      <c r="AJ176" s="8"/>
      <c r="AK176" s="8"/>
      <c r="AL176" s="8"/>
      <c r="AM176" s="8" t="b">
        <f t="shared" ref="AM176:AM180" si="267">FALSE()</f>
        <v>0</v>
      </c>
      <c r="AN176" s="8"/>
      <c r="AO176" s="8"/>
      <c r="AP176" s="8"/>
      <c r="AQ176" s="8"/>
      <c r="AR176" s="8"/>
      <c r="AS176" s="8"/>
      <c r="AT176" s="10"/>
      <c r="AU176" s="8" t="b">
        <f t="shared" si="238"/>
        <v>0</v>
      </c>
      <c r="AV176" s="10"/>
      <c r="AW176" s="8" t="s">
        <v>554</v>
      </c>
      <c r="AX176" s="8">
        <v>5.0</v>
      </c>
      <c r="AY176" s="8" t="b">
        <f t="shared" ref="AY176:BC176" si="266">TRUE()</f>
        <v>1</v>
      </c>
      <c r="AZ176" s="8" t="b">
        <f t="shared" si="266"/>
        <v>1</v>
      </c>
      <c r="BA176" s="8" t="b">
        <f t="shared" si="266"/>
        <v>1</v>
      </c>
      <c r="BB176" s="8" t="b">
        <f t="shared" si="266"/>
        <v>1</v>
      </c>
      <c r="BC176" s="8" t="b">
        <f t="shared" si="266"/>
        <v>1</v>
      </c>
      <c r="BD176" s="10"/>
    </row>
    <row r="177" ht="15.0" customHeight="1">
      <c r="A177" s="8" t="s">
        <v>857</v>
      </c>
      <c r="B177" s="8" t="s">
        <v>858</v>
      </c>
      <c r="C177" s="8"/>
      <c r="D177" s="8" t="b">
        <f t="shared" si="139"/>
        <v>0</v>
      </c>
      <c r="E177" s="10"/>
      <c r="F177" s="9"/>
      <c r="G177" s="9"/>
      <c r="H177" s="8">
        <v>0.0</v>
      </c>
      <c r="I177" s="8" t="s">
        <v>167</v>
      </c>
      <c r="J177" s="9">
        <v>46125.0</v>
      </c>
      <c r="K177" s="8" t="s">
        <v>167</v>
      </c>
      <c r="L177" s="8" t="b">
        <f t="shared" si="32"/>
        <v>1</v>
      </c>
      <c r="M177" s="9">
        <v>46125.0</v>
      </c>
      <c r="N177" s="8" t="b">
        <f t="shared" si="48"/>
        <v>0</v>
      </c>
      <c r="O177" s="9"/>
      <c r="P177" s="8" t="b">
        <f t="shared" si="16"/>
        <v>0</v>
      </c>
      <c r="Q177" s="9"/>
      <c r="R177" s="8" t="b">
        <f t="shared" si="28"/>
        <v>0</v>
      </c>
      <c r="S177" s="9"/>
      <c r="T177" s="8">
        <v>2.0</v>
      </c>
      <c r="U177" s="9">
        <v>46125.0</v>
      </c>
      <c r="V177" s="9">
        <v>46132.0</v>
      </c>
      <c r="W177" s="8" t="s">
        <v>140</v>
      </c>
      <c r="X177" s="8" t="s">
        <v>266</v>
      </c>
      <c r="Y177" s="8" t="s">
        <v>328</v>
      </c>
      <c r="Z177" s="8"/>
      <c r="AA177" s="13"/>
      <c r="AB177" s="8"/>
      <c r="AC177" s="8"/>
      <c r="AD177" s="8"/>
      <c r="AE177" s="8" t="s">
        <v>367</v>
      </c>
      <c r="AF177" s="8"/>
      <c r="AG177" s="8"/>
      <c r="AH177" s="8"/>
      <c r="AI177" s="8"/>
      <c r="AJ177" s="8"/>
      <c r="AK177" s="8"/>
      <c r="AL177" s="8"/>
      <c r="AM177" s="8" t="b">
        <f t="shared" si="267"/>
        <v>0</v>
      </c>
      <c r="AN177" s="8"/>
      <c r="AO177" s="8"/>
      <c r="AP177" s="8"/>
      <c r="AQ177" s="8"/>
      <c r="AR177" s="8"/>
      <c r="AS177" s="8"/>
      <c r="AT177" s="10"/>
      <c r="AU177" s="8" t="b">
        <f t="shared" si="238"/>
        <v>0</v>
      </c>
      <c r="AV177" s="10"/>
      <c r="AW177" s="8" t="s">
        <v>554</v>
      </c>
      <c r="AX177" s="8">
        <v>5.0</v>
      </c>
      <c r="AY177" s="8" t="b">
        <f t="shared" ref="AY177:BC177" si="268">TRUE()</f>
        <v>1</v>
      </c>
      <c r="AZ177" s="8" t="b">
        <f t="shared" si="268"/>
        <v>1</v>
      </c>
      <c r="BA177" s="8" t="b">
        <f t="shared" si="268"/>
        <v>1</v>
      </c>
      <c r="BB177" s="8" t="b">
        <f t="shared" si="268"/>
        <v>1</v>
      </c>
      <c r="BC177" s="8" t="b">
        <f t="shared" si="268"/>
        <v>1</v>
      </c>
      <c r="BD177" s="10"/>
    </row>
    <row r="178" ht="15.0" customHeight="1">
      <c r="A178" s="8" t="s">
        <v>862</v>
      </c>
      <c r="B178" s="8" t="s">
        <v>863</v>
      </c>
      <c r="C178" s="8"/>
      <c r="D178" s="8" t="b">
        <f t="shared" si="139"/>
        <v>0</v>
      </c>
      <c r="E178" s="10"/>
      <c r="F178" s="9"/>
      <c r="G178" s="9"/>
      <c r="H178" s="8">
        <v>0.0</v>
      </c>
      <c r="I178" s="8" t="s">
        <v>167</v>
      </c>
      <c r="J178" s="9">
        <v>46104.0</v>
      </c>
      <c r="K178" s="8" t="s">
        <v>167</v>
      </c>
      <c r="L178" s="8" t="b">
        <f t="shared" si="32"/>
        <v>1</v>
      </c>
      <c r="M178" s="9">
        <v>46104.0</v>
      </c>
      <c r="N178" s="8" t="b">
        <f t="shared" si="48"/>
        <v>0</v>
      </c>
      <c r="O178" s="9"/>
      <c r="P178" s="8" t="b">
        <f t="shared" si="16"/>
        <v>0</v>
      </c>
      <c r="Q178" s="9"/>
      <c r="R178" s="8" t="b">
        <f t="shared" si="28"/>
        <v>0</v>
      </c>
      <c r="S178" s="9"/>
      <c r="T178" s="8">
        <v>2.0</v>
      </c>
      <c r="U178" s="9">
        <v>46104.0</v>
      </c>
      <c r="V178" s="9">
        <v>46111.0</v>
      </c>
      <c r="W178" s="8" t="s">
        <v>121</v>
      </c>
      <c r="X178" s="8" t="s">
        <v>266</v>
      </c>
      <c r="Y178" s="8" t="s">
        <v>317</v>
      </c>
      <c r="Z178" s="8"/>
      <c r="AA178" s="13"/>
      <c r="AB178" s="8"/>
      <c r="AC178" s="8"/>
      <c r="AD178" s="8"/>
      <c r="AE178" s="8" t="s">
        <v>367</v>
      </c>
      <c r="AF178" s="8"/>
      <c r="AG178" s="8"/>
      <c r="AH178" s="8"/>
      <c r="AI178" s="8"/>
      <c r="AJ178" s="8"/>
      <c r="AK178" s="8"/>
      <c r="AL178" s="8"/>
      <c r="AM178" s="8" t="b">
        <f t="shared" si="267"/>
        <v>0</v>
      </c>
      <c r="AN178" s="8"/>
      <c r="AO178" s="8"/>
      <c r="AP178" s="8"/>
      <c r="AQ178" s="8"/>
      <c r="AR178" s="8"/>
      <c r="AS178" s="8"/>
      <c r="AT178" s="10"/>
      <c r="AU178" s="8" t="b">
        <f t="shared" si="238"/>
        <v>0</v>
      </c>
      <c r="AV178" s="10"/>
      <c r="AW178" s="8" t="s">
        <v>554</v>
      </c>
      <c r="AX178" s="8">
        <v>5.0</v>
      </c>
      <c r="AY178" s="8" t="b">
        <f t="shared" ref="AY178:BC178" si="269">TRUE()</f>
        <v>1</v>
      </c>
      <c r="AZ178" s="8" t="b">
        <f t="shared" si="269"/>
        <v>1</v>
      </c>
      <c r="BA178" s="8" t="b">
        <f t="shared" si="269"/>
        <v>1</v>
      </c>
      <c r="BB178" s="8" t="b">
        <f t="shared" si="269"/>
        <v>1</v>
      </c>
      <c r="BC178" s="8" t="b">
        <f t="shared" si="269"/>
        <v>1</v>
      </c>
      <c r="BD178" s="10"/>
    </row>
    <row r="179" ht="23.25" customHeight="1">
      <c r="A179" s="8" t="s">
        <v>866</v>
      </c>
      <c r="B179" s="8" t="s">
        <v>867</v>
      </c>
      <c r="C179" s="30" t="s">
        <v>1170</v>
      </c>
      <c r="D179" s="8" t="b">
        <f t="shared" si="139"/>
        <v>0</v>
      </c>
      <c r="E179" s="10"/>
      <c r="F179" s="9"/>
      <c r="G179" s="9"/>
      <c r="H179" s="8">
        <v>0.0</v>
      </c>
      <c r="I179" s="8" t="s">
        <v>167</v>
      </c>
      <c r="J179" s="9">
        <v>46125.0</v>
      </c>
      <c r="K179" s="8" t="s">
        <v>167</v>
      </c>
      <c r="L179" s="8" t="b">
        <f t="shared" si="32"/>
        <v>1</v>
      </c>
      <c r="M179" s="9">
        <v>46125.0</v>
      </c>
      <c r="N179" s="8" t="b">
        <f t="shared" si="48"/>
        <v>0</v>
      </c>
      <c r="O179" s="9"/>
      <c r="P179" s="8" t="b">
        <f t="shared" si="16"/>
        <v>0</v>
      </c>
      <c r="Q179" s="9"/>
      <c r="R179" s="8" t="b">
        <f t="shared" si="28"/>
        <v>0</v>
      </c>
      <c r="S179" s="9"/>
      <c r="T179" s="8">
        <v>3.0</v>
      </c>
      <c r="U179" s="9">
        <v>46118.0</v>
      </c>
      <c r="V179" s="9">
        <v>46132.0</v>
      </c>
      <c r="W179" s="8" t="s">
        <v>83</v>
      </c>
      <c r="X179" s="8" t="s">
        <v>266</v>
      </c>
      <c r="Y179" s="8" t="s">
        <v>205</v>
      </c>
      <c r="Z179" s="8"/>
      <c r="AA179" s="13"/>
      <c r="AB179" s="8"/>
      <c r="AC179" s="8"/>
      <c r="AD179" s="8"/>
      <c r="AE179" s="8" t="s">
        <v>367</v>
      </c>
      <c r="AF179" s="8"/>
      <c r="AG179" s="8"/>
      <c r="AH179" s="8"/>
      <c r="AI179" s="8"/>
      <c r="AJ179" s="8"/>
      <c r="AK179" s="8"/>
      <c r="AL179" s="8"/>
      <c r="AM179" s="8" t="b">
        <f t="shared" si="267"/>
        <v>0</v>
      </c>
      <c r="AN179" s="8"/>
      <c r="AO179" s="8"/>
      <c r="AP179" s="8"/>
      <c r="AQ179" s="8"/>
      <c r="AR179" s="8"/>
      <c r="AS179" s="8"/>
      <c r="AT179" s="10"/>
      <c r="AU179" s="8" t="b">
        <f t="shared" si="238"/>
        <v>0</v>
      </c>
      <c r="AV179" s="10"/>
      <c r="AW179" s="8" t="s">
        <v>554</v>
      </c>
      <c r="AX179" s="8">
        <v>5.0</v>
      </c>
      <c r="AY179" s="8" t="b">
        <f t="shared" ref="AY179:BC179" si="270">TRUE()</f>
        <v>1</v>
      </c>
      <c r="AZ179" s="8" t="b">
        <f t="shared" si="270"/>
        <v>1</v>
      </c>
      <c r="BA179" s="8" t="b">
        <f t="shared" si="270"/>
        <v>1</v>
      </c>
      <c r="BB179" s="8" t="b">
        <f t="shared" si="270"/>
        <v>1</v>
      </c>
      <c r="BC179" s="8" t="b">
        <f t="shared" si="270"/>
        <v>1</v>
      </c>
      <c r="BD179" s="10"/>
    </row>
    <row r="180" ht="15.0" customHeight="1">
      <c r="A180" s="8" t="s">
        <v>870</v>
      </c>
      <c r="B180" s="8" t="s">
        <v>569</v>
      </c>
      <c r="C180" s="8"/>
      <c r="D180" s="8" t="b">
        <f t="shared" si="139"/>
        <v>0</v>
      </c>
      <c r="E180" s="10"/>
      <c r="F180" s="9"/>
      <c r="G180" s="9"/>
      <c r="H180" s="8">
        <v>0.0</v>
      </c>
      <c r="I180" s="8" t="s">
        <v>167</v>
      </c>
      <c r="J180" s="9">
        <v>45971.0</v>
      </c>
      <c r="K180" s="8" t="s">
        <v>167</v>
      </c>
      <c r="L180" s="8" t="b">
        <f t="shared" si="32"/>
        <v>1</v>
      </c>
      <c r="M180" s="9">
        <v>45971.0</v>
      </c>
      <c r="N180" s="8" t="b">
        <f t="shared" si="48"/>
        <v>0</v>
      </c>
      <c r="O180" s="9"/>
      <c r="P180" s="8" t="b">
        <f t="shared" si="16"/>
        <v>0</v>
      </c>
      <c r="Q180" s="9"/>
      <c r="R180" s="8" t="b">
        <f t="shared" si="28"/>
        <v>0</v>
      </c>
      <c r="S180" s="9"/>
      <c r="T180" s="8">
        <v>2.0</v>
      </c>
      <c r="U180" s="9">
        <v>45971.0</v>
      </c>
      <c r="V180" s="9">
        <v>45978.0</v>
      </c>
      <c r="W180" s="8" t="s">
        <v>121</v>
      </c>
      <c r="X180" s="8" t="s">
        <v>266</v>
      </c>
      <c r="Y180" s="8" t="s">
        <v>317</v>
      </c>
      <c r="Z180" s="8"/>
      <c r="AA180" s="13"/>
      <c r="AB180" s="8"/>
      <c r="AC180" s="8"/>
      <c r="AD180" s="8"/>
      <c r="AE180" s="8" t="s">
        <v>367</v>
      </c>
      <c r="AF180" s="8"/>
      <c r="AG180" s="8"/>
      <c r="AH180" s="8"/>
      <c r="AI180" s="8"/>
      <c r="AJ180" s="8"/>
      <c r="AK180" s="8"/>
      <c r="AL180" s="8"/>
      <c r="AM180" s="8" t="b">
        <f t="shared" si="267"/>
        <v>0</v>
      </c>
      <c r="AN180" s="8"/>
      <c r="AO180" s="8"/>
      <c r="AP180" s="8"/>
      <c r="AQ180" s="8"/>
      <c r="AR180" s="8"/>
      <c r="AS180" s="8"/>
      <c r="AT180" s="10"/>
      <c r="AU180" s="8" t="b">
        <f t="shared" si="238"/>
        <v>0</v>
      </c>
      <c r="AV180" s="10"/>
      <c r="AW180" s="8" t="s">
        <v>554</v>
      </c>
      <c r="AX180" s="8">
        <v>5.0</v>
      </c>
      <c r="AY180" s="8" t="b">
        <f t="shared" ref="AY180:BC180" si="271">TRUE()</f>
        <v>1</v>
      </c>
      <c r="AZ180" s="8" t="b">
        <f t="shared" si="271"/>
        <v>1</v>
      </c>
      <c r="BA180" s="8" t="b">
        <f t="shared" si="271"/>
        <v>1</v>
      </c>
      <c r="BB180" s="8" t="b">
        <f t="shared" si="271"/>
        <v>1</v>
      </c>
      <c r="BC180" s="8" t="b">
        <f t="shared" si="271"/>
        <v>1</v>
      </c>
      <c r="BD180" s="10"/>
    </row>
    <row r="181" ht="15.0" customHeight="1">
      <c r="A181" s="8" t="s">
        <v>1000</v>
      </c>
      <c r="B181" s="8" t="s">
        <v>1001</v>
      </c>
      <c r="C181" s="8" t="s">
        <v>1002</v>
      </c>
      <c r="D181" s="8" t="b">
        <f t="shared" si="139"/>
        <v>0</v>
      </c>
      <c r="E181" s="10"/>
      <c r="F181" s="9"/>
      <c r="G181" s="9"/>
      <c r="H181" s="8">
        <v>0.0</v>
      </c>
      <c r="I181" s="8" t="s">
        <v>167</v>
      </c>
      <c r="J181" s="9">
        <v>46258.0</v>
      </c>
      <c r="K181" s="8" t="s">
        <v>167</v>
      </c>
      <c r="L181" s="8" t="b">
        <f t="shared" si="32"/>
        <v>1</v>
      </c>
      <c r="M181" s="9">
        <v>46258.0</v>
      </c>
      <c r="N181" s="8" t="b">
        <f t="shared" si="48"/>
        <v>0</v>
      </c>
      <c r="O181" s="9"/>
      <c r="P181" s="8" t="b">
        <f t="shared" si="16"/>
        <v>0</v>
      </c>
      <c r="Q181" s="9"/>
      <c r="R181" s="8" t="b">
        <f t="shared" si="28"/>
        <v>0</v>
      </c>
      <c r="S181" s="9"/>
      <c r="T181" s="8">
        <v>2.0</v>
      </c>
      <c r="U181" s="9">
        <v>46258.0</v>
      </c>
      <c r="V181" s="9">
        <v>46265.0</v>
      </c>
      <c r="W181" s="8" t="s">
        <v>83</v>
      </c>
      <c r="X181" s="8" t="s">
        <v>204</v>
      </c>
      <c r="Y181" s="8" t="s">
        <v>205</v>
      </c>
      <c r="Z181" s="8" t="s">
        <v>56</v>
      </c>
      <c r="AA181" s="13"/>
      <c r="AB181" s="8" t="s">
        <v>1171</v>
      </c>
      <c r="AC181" s="8" t="s">
        <v>70</v>
      </c>
      <c r="AD181" s="8" t="s">
        <v>71</v>
      </c>
      <c r="AE181" s="8" t="s">
        <v>214</v>
      </c>
      <c r="AF181" s="8" t="s">
        <v>293</v>
      </c>
      <c r="AG181" s="8" t="s">
        <v>353</v>
      </c>
      <c r="AH181" s="8"/>
      <c r="AI181" s="8"/>
      <c r="AJ181" s="8"/>
      <c r="AK181" s="8" t="s">
        <v>215</v>
      </c>
      <c r="AL181" s="8" t="s">
        <v>393</v>
      </c>
      <c r="AM181" s="8" t="b">
        <f t="shared" ref="AM181:AM182" si="273">TRUE()</f>
        <v>1</v>
      </c>
      <c r="AN181" s="8" t="s">
        <v>227</v>
      </c>
      <c r="AO181" s="8">
        <v>2.62569269E8</v>
      </c>
      <c r="AP181" s="8">
        <v>2.50126375E8</v>
      </c>
      <c r="AQ181" s="8" t="s">
        <v>887</v>
      </c>
      <c r="AR181" s="8" t="s">
        <v>1172</v>
      </c>
      <c r="AS181" s="8" t="s">
        <v>1173</v>
      </c>
      <c r="AT181" s="10"/>
      <c r="AU181" s="8" t="b">
        <f t="shared" si="238"/>
        <v>0</v>
      </c>
      <c r="AV181" s="10"/>
      <c r="AW181" s="8" t="s">
        <v>233</v>
      </c>
      <c r="AX181" s="8">
        <v>1.0</v>
      </c>
      <c r="AY181" s="8" t="b">
        <f t="shared" ref="AY181:BA181" si="272">FALSE()</f>
        <v>0</v>
      </c>
      <c r="AZ181" s="8" t="b">
        <f t="shared" si="272"/>
        <v>0</v>
      </c>
      <c r="BA181" s="8" t="b">
        <f t="shared" si="272"/>
        <v>0</v>
      </c>
      <c r="BB181" s="8" t="b">
        <f>TRUE()</f>
        <v>1</v>
      </c>
      <c r="BC181" s="8" t="b">
        <f>FALSE()</f>
        <v>0</v>
      </c>
      <c r="BD181" s="10" t="s">
        <v>1174</v>
      </c>
    </row>
    <row r="182" ht="15.0" customHeight="1">
      <c r="A182" s="8" t="s">
        <v>1175</v>
      </c>
      <c r="B182" s="8" t="s">
        <v>1112</v>
      </c>
      <c r="C182" s="8" t="s">
        <v>1176</v>
      </c>
      <c r="D182" s="8" t="b">
        <f t="shared" si="139"/>
        <v>0</v>
      </c>
      <c r="E182" s="10"/>
      <c r="F182" s="9"/>
      <c r="G182" s="9"/>
      <c r="H182" s="8">
        <v>0.0</v>
      </c>
      <c r="I182" s="8" t="s">
        <v>167</v>
      </c>
      <c r="J182" s="9">
        <v>46230.0</v>
      </c>
      <c r="K182" s="8" t="s">
        <v>167</v>
      </c>
      <c r="L182" s="8" t="b">
        <f t="shared" si="32"/>
        <v>1</v>
      </c>
      <c r="M182" s="9">
        <v>46230.0</v>
      </c>
      <c r="N182" s="8" t="b">
        <f t="shared" si="48"/>
        <v>0</v>
      </c>
      <c r="O182" s="9"/>
      <c r="P182" s="8" t="b">
        <f t="shared" si="16"/>
        <v>0</v>
      </c>
      <c r="Q182" s="9"/>
      <c r="R182" s="8" t="b">
        <f t="shared" si="28"/>
        <v>0</v>
      </c>
      <c r="S182" s="9"/>
      <c r="T182" s="8">
        <v>6.0</v>
      </c>
      <c r="U182" s="9">
        <v>46230.0</v>
      </c>
      <c r="V182" s="9">
        <v>46265.0</v>
      </c>
      <c r="W182" s="8" t="s">
        <v>83</v>
      </c>
      <c r="X182" s="8" t="s">
        <v>204</v>
      </c>
      <c r="Y182" s="8" t="s">
        <v>205</v>
      </c>
      <c r="Z182" s="8" t="s">
        <v>119</v>
      </c>
      <c r="AA182" s="13">
        <v>4000000.0</v>
      </c>
      <c r="AB182" s="8" t="s">
        <v>1177</v>
      </c>
      <c r="AC182" s="8" t="s">
        <v>1178</v>
      </c>
      <c r="AD182" s="8" t="s">
        <v>87</v>
      </c>
      <c r="AE182" s="8" t="s">
        <v>87</v>
      </c>
      <c r="AF182" s="8" t="s">
        <v>167</v>
      </c>
      <c r="AG182" s="8" t="s">
        <v>353</v>
      </c>
      <c r="AH182" s="8"/>
      <c r="AI182" s="8" t="s">
        <v>220</v>
      </c>
      <c r="AJ182" s="8" t="s">
        <v>218</v>
      </c>
      <c r="AK182" s="8" t="s">
        <v>215</v>
      </c>
      <c r="AL182" s="8" t="s">
        <v>393</v>
      </c>
      <c r="AM182" s="8" t="b">
        <f t="shared" si="273"/>
        <v>1</v>
      </c>
      <c r="AN182" s="8" t="s">
        <v>227</v>
      </c>
      <c r="AO182" s="8">
        <v>2.9867351E8</v>
      </c>
      <c r="AP182" s="8">
        <v>2.47619557E8</v>
      </c>
      <c r="AQ182" s="8" t="s">
        <v>548</v>
      </c>
      <c r="AR182" s="8" t="s">
        <v>1179</v>
      </c>
      <c r="AS182" s="8" t="s">
        <v>733</v>
      </c>
      <c r="AT182" s="10" t="s">
        <v>1113</v>
      </c>
      <c r="AU182" s="8" t="b">
        <f t="shared" si="238"/>
        <v>0</v>
      </c>
      <c r="AV182" s="10"/>
      <c r="AW182" s="8" t="s">
        <v>233</v>
      </c>
      <c r="AX182" s="8">
        <v>0.0</v>
      </c>
      <c r="AY182" s="8" t="b">
        <f t="shared" ref="AY182:BC182" si="274">FALSE()</f>
        <v>0</v>
      </c>
      <c r="AZ182" s="8" t="b">
        <f t="shared" si="274"/>
        <v>0</v>
      </c>
      <c r="BA182" s="8" t="b">
        <f t="shared" si="274"/>
        <v>0</v>
      </c>
      <c r="BB182" s="8" t="b">
        <f t="shared" si="274"/>
        <v>0</v>
      </c>
      <c r="BC182" s="8" t="b">
        <f t="shared" si="274"/>
        <v>0</v>
      </c>
      <c r="BD182" s="10" t="s">
        <v>1180</v>
      </c>
    </row>
    <row r="183" ht="15.0" customHeight="1">
      <c r="A183" s="8" t="s">
        <v>872</v>
      </c>
      <c r="B183" s="8" t="s">
        <v>855</v>
      </c>
      <c r="C183" s="8"/>
      <c r="D183" s="8" t="b">
        <f t="shared" si="139"/>
        <v>0</v>
      </c>
      <c r="E183" s="10"/>
      <c r="F183" s="9"/>
      <c r="G183" s="9"/>
      <c r="H183" s="8">
        <v>0.0</v>
      </c>
      <c r="I183" s="8" t="s">
        <v>167</v>
      </c>
      <c r="J183" s="9">
        <v>46083.0</v>
      </c>
      <c r="K183" s="8" t="s">
        <v>167</v>
      </c>
      <c r="L183" s="8" t="b">
        <f t="shared" si="32"/>
        <v>1</v>
      </c>
      <c r="M183" s="9">
        <v>46083.0</v>
      </c>
      <c r="N183" s="8" t="b">
        <f t="shared" si="48"/>
        <v>0</v>
      </c>
      <c r="O183" s="9"/>
      <c r="P183" s="8" t="b">
        <f t="shared" si="16"/>
        <v>0</v>
      </c>
      <c r="Q183" s="9"/>
      <c r="R183" s="8" t="b">
        <f t="shared" si="28"/>
        <v>0</v>
      </c>
      <c r="S183" s="9"/>
      <c r="T183" s="8">
        <v>5.0</v>
      </c>
      <c r="U183" s="9">
        <v>46083.0</v>
      </c>
      <c r="V183" s="9">
        <v>46132.0</v>
      </c>
      <c r="W183" s="8" t="s">
        <v>83</v>
      </c>
      <c r="X183" s="8" t="s">
        <v>266</v>
      </c>
      <c r="Y183" s="8" t="s">
        <v>205</v>
      </c>
      <c r="Z183" s="8"/>
      <c r="AA183" s="13"/>
      <c r="AB183" s="8"/>
      <c r="AC183" s="8"/>
      <c r="AD183" s="8"/>
      <c r="AE183" s="8" t="s">
        <v>367</v>
      </c>
      <c r="AF183" s="8"/>
      <c r="AG183" s="8"/>
      <c r="AH183" s="8"/>
      <c r="AI183" s="8"/>
      <c r="AJ183" s="8"/>
      <c r="AK183" s="8"/>
      <c r="AL183" s="8"/>
      <c r="AM183" s="8" t="b">
        <f t="shared" ref="AM183:AM185" si="276">FALSE()</f>
        <v>0</v>
      </c>
      <c r="AN183" s="8"/>
      <c r="AO183" s="8"/>
      <c r="AP183" s="8"/>
      <c r="AQ183" s="8"/>
      <c r="AR183" s="8"/>
      <c r="AS183" s="8"/>
      <c r="AT183" s="10"/>
      <c r="AU183" s="8" t="b">
        <f t="shared" si="238"/>
        <v>0</v>
      </c>
      <c r="AV183" s="10"/>
      <c r="AW183" s="8" t="s">
        <v>554</v>
      </c>
      <c r="AX183" s="8">
        <v>5.0</v>
      </c>
      <c r="AY183" s="8" t="b">
        <f t="shared" ref="AY183:BC183" si="275">TRUE()</f>
        <v>1</v>
      </c>
      <c r="AZ183" s="8" t="b">
        <f t="shared" si="275"/>
        <v>1</v>
      </c>
      <c r="BA183" s="8" t="b">
        <f t="shared" si="275"/>
        <v>1</v>
      </c>
      <c r="BB183" s="8" t="b">
        <f t="shared" si="275"/>
        <v>1</v>
      </c>
      <c r="BC183" s="8" t="b">
        <f t="shared" si="275"/>
        <v>1</v>
      </c>
      <c r="BD183" s="10"/>
    </row>
    <row r="184" ht="15.0" customHeight="1">
      <c r="A184" s="8" t="s">
        <v>875</v>
      </c>
      <c r="B184" s="8" t="s">
        <v>830</v>
      </c>
      <c r="C184" s="8"/>
      <c r="D184" s="8" t="b">
        <f t="shared" si="139"/>
        <v>0</v>
      </c>
      <c r="E184" s="10"/>
      <c r="F184" s="9"/>
      <c r="G184" s="9"/>
      <c r="H184" s="8">
        <v>0.0</v>
      </c>
      <c r="I184" s="8" t="s">
        <v>167</v>
      </c>
      <c r="J184" s="9">
        <v>46076.0</v>
      </c>
      <c r="K184" s="8" t="s">
        <v>167</v>
      </c>
      <c r="L184" s="8" t="b">
        <f t="shared" si="32"/>
        <v>1</v>
      </c>
      <c r="M184" s="9">
        <v>46076.0</v>
      </c>
      <c r="N184" s="8" t="b">
        <f t="shared" si="48"/>
        <v>0</v>
      </c>
      <c r="O184" s="9"/>
      <c r="P184" s="8" t="b">
        <f t="shared" si="16"/>
        <v>0</v>
      </c>
      <c r="Q184" s="9"/>
      <c r="R184" s="8" t="b">
        <f t="shared" si="28"/>
        <v>0</v>
      </c>
      <c r="S184" s="9"/>
      <c r="T184" s="8">
        <v>1.0</v>
      </c>
      <c r="U184" s="9">
        <v>46076.0</v>
      </c>
      <c r="V184" s="9">
        <v>46076.0</v>
      </c>
      <c r="W184" s="8" t="s">
        <v>83</v>
      </c>
      <c r="X184" s="8" t="s">
        <v>266</v>
      </c>
      <c r="Y184" s="8" t="s">
        <v>205</v>
      </c>
      <c r="Z184" s="8"/>
      <c r="AA184" s="13"/>
      <c r="AB184" s="8"/>
      <c r="AC184" s="8"/>
      <c r="AD184" s="8"/>
      <c r="AE184" s="8" t="s">
        <v>367</v>
      </c>
      <c r="AF184" s="8"/>
      <c r="AG184" s="8"/>
      <c r="AH184" s="8"/>
      <c r="AI184" s="8"/>
      <c r="AJ184" s="8"/>
      <c r="AK184" s="8"/>
      <c r="AL184" s="8"/>
      <c r="AM184" s="8" t="b">
        <f t="shared" si="276"/>
        <v>0</v>
      </c>
      <c r="AN184" s="8"/>
      <c r="AO184" s="8"/>
      <c r="AP184" s="8"/>
      <c r="AQ184" s="8"/>
      <c r="AR184" s="8"/>
      <c r="AS184" s="8"/>
      <c r="AT184" s="10"/>
      <c r="AU184" s="8" t="b">
        <f t="shared" si="238"/>
        <v>0</v>
      </c>
      <c r="AV184" s="10"/>
      <c r="AW184" s="8" t="s">
        <v>554</v>
      </c>
      <c r="AX184" s="8">
        <v>5.0</v>
      </c>
      <c r="AY184" s="8" t="b">
        <f t="shared" ref="AY184:BC184" si="277">TRUE()</f>
        <v>1</v>
      </c>
      <c r="AZ184" s="8" t="b">
        <f t="shared" si="277"/>
        <v>1</v>
      </c>
      <c r="BA184" s="8" t="b">
        <f t="shared" si="277"/>
        <v>1</v>
      </c>
      <c r="BB184" s="8" t="b">
        <f t="shared" si="277"/>
        <v>1</v>
      </c>
      <c r="BC184" s="8" t="b">
        <f t="shared" si="277"/>
        <v>1</v>
      </c>
      <c r="BD184" s="10"/>
    </row>
    <row r="185" ht="15.0" customHeight="1">
      <c r="A185" s="8" t="s">
        <v>877</v>
      </c>
      <c r="B185" s="8" t="s">
        <v>878</v>
      </c>
      <c r="C185" s="8"/>
      <c r="D185" s="8" t="b">
        <f t="shared" si="139"/>
        <v>0</v>
      </c>
      <c r="E185" s="10"/>
      <c r="F185" s="9"/>
      <c r="G185" s="9"/>
      <c r="H185" s="8">
        <v>0.0</v>
      </c>
      <c r="I185" s="8" t="s">
        <v>167</v>
      </c>
      <c r="J185" s="9">
        <v>46125.0</v>
      </c>
      <c r="K185" s="8" t="s">
        <v>167</v>
      </c>
      <c r="L185" s="8" t="b">
        <f t="shared" si="32"/>
        <v>1</v>
      </c>
      <c r="M185" s="9">
        <v>46125.0</v>
      </c>
      <c r="N185" s="8" t="b">
        <f t="shared" si="48"/>
        <v>0</v>
      </c>
      <c r="O185" s="9"/>
      <c r="P185" s="8" t="b">
        <f t="shared" si="16"/>
        <v>0</v>
      </c>
      <c r="Q185" s="9"/>
      <c r="R185" s="8" t="b">
        <f t="shared" si="28"/>
        <v>0</v>
      </c>
      <c r="S185" s="9"/>
      <c r="T185" s="8">
        <v>3.0</v>
      </c>
      <c r="U185" s="9">
        <v>46125.0</v>
      </c>
      <c r="V185" s="9">
        <v>46146.0</v>
      </c>
      <c r="W185" s="8" t="s">
        <v>121</v>
      </c>
      <c r="X185" s="8" t="s">
        <v>266</v>
      </c>
      <c r="Y185" s="8" t="s">
        <v>317</v>
      </c>
      <c r="Z185" s="8"/>
      <c r="AA185" s="13"/>
      <c r="AB185" s="8"/>
      <c r="AC185" s="8"/>
      <c r="AD185" s="8"/>
      <c r="AE185" s="8" t="s">
        <v>367</v>
      </c>
      <c r="AF185" s="8"/>
      <c r="AG185" s="8"/>
      <c r="AH185" s="8"/>
      <c r="AI185" s="8"/>
      <c r="AJ185" s="8"/>
      <c r="AK185" s="8"/>
      <c r="AL185" s="8"/>
      <c r="AM185" s="8" t="b">
        <f t="shared" si="276"/>
        <v>0</v>
      </c>
      <c r="AN185" s="8"/>
      <c r="AO185" s="8"/>
      <c r="AP185" s="8"/>
      <c r="AQ185" s="8"/>
      <c r="AR185" s="8"/>
      <c r="AS185" s="8"/>
      <c r="AT185" s="10"/>
      <c r="AU185" s="8" t="b">
        <f t="shared" si="238"/>
        <v>0</v>
      </c>
      <c r="AV185" s="10"/>
      <c r="AW185" s="8" t="s">
        <v>554</v>
      </c>
      <c r="AX185" s="8">
        <v>5.0</v>
      </c>
      <c r="AY185" s="8" t="b">
        <f t="shared" ref="AY185:BC185" si="278">TRUE()</f>
        <v>1</v>
      </c>
      <c r="AZ185" s="8" t="b">
        <f t="shared" si="278"/>
        <v>1</v>
      </c>
      <c r="BA185" s="8" t="b">
        <f t="shared" si="278"/>
        <v>1</v>
      </c>
      <c r="BB185" s="8" t="b">
        <f t="shared" si="278"/>
        <v>1</v>
      </c>
      <c r="BC185" s="8" t="b">
        <f t="shared" si="278"/>
        <v>1</v>
      </c>
      <c r="BD185" s="10"/>
    </row>
    <row r="186" ht="15.0" customHeight="1">
      <c r="A186" s="8" t="s">
        <v>1181</v>
      </c>
      <c r="B186" s="8" t="s">
        <v>1119</v>
      </c>
      <c r="C186" s="8" t="s">
        <v>1182</v>
      </c>
      <c r="D186" s="8" t="b">
        <f t="shared" si="139"/>
        <v>0</v>
      </c>
      <c r="E186" s="10"/>
      <c r="F186" s="9"/>
      <c r="G186" s="9"/>
      <c r="H186" s="8">
        <v>0.0</v>
      </c>
      <c r="I186" s="8" t="s">
        <v>167</v>
      </c>
      <c r="J186" s="9">
        <v>46237.0</v>
      </c>
      <c r="K186" s="8" t="s">
        <v>167</v>
      </c>
      <c r="L186" s="8" t="b">
        <f t="shared" si="32"/>
        <v>1</v>
      </c>
      <c r="M186" s="9">
        <v>46237.0</v>
      </c>
      <c r="N186" s="8" t="b">
        <f t="shared" si="48"/>
        <v>0</v>
      </c>
      <c r="O186" s="9"/>
      <c r="P186" s="8" t="b">
        <f t="shared" si="16"/>
        <v>0</v>
      </c>
      <c r="Q186" s="9"/>
      <c r="R186" s="8" t="b">
        <f t="shared" si="28"/>
        <v>0</v>
      </c>
      <c r="S186" s="9"/>
      <c r="T186" s="8">
        <v>1.0</v>
      </c>
      <c r="U186" s="9">
        <v>46237.0</v>
      </c>
      <c r="V186" s="9">
        <v>46237.0</v>
      </c>
      <c r="W186" s="8" t="s">
        <v>121</v>
      </c>
      <c r="X186" s="8" t="s">
        <v>204</v>
      </c>
      <c r="Y186" s="8" t="s">
        <v>317</v>
      </c>
      <c r="Z186" s="8" t="s">
        <v>119</v>
      </c>
      <c r="AA186" s="13">
        <v>2.0E7</v>
      </c>
      <c r="AB186" s="8" t="s">
        <v>1183</v>
      </c>
      <c r="AC186" s="8" t="s">
        <v>166</v>
      </c>
      <c r="AD186" s="8" t="s">
        <v>87</v>
      </c>
      <c r="AE186" s="8" t="s">
        <v>87</v>
      </c>
      <c r="AF186" s="8" t="s">
        <v>293</v>
      </c>
      <c r="AG186" s="8" t="s">
        <v>471</v>
      </c>
      <c r="AH186" s="8"/>
      <c r="AI186" s="8"/>
      <c r="AJ186" s="8"/>
      <c r="AK186" s="8" t="s">
        <v>127</v>
      </c>
      <c r="AL186" s="8" t="s">
        <v>318</v>
      </c>
      <c r="AM186" s="8" t="b">
        <f>TRUE()</f>
        <v>1</v>
      </c>
      <c r="AN186" s="8" t="s">
        <v>227</v>
      </c>
      <c r="AO186" s="8">
        <v>2.9611468E8</v>
      </c>
      <c r="AP186" s="8">
        <v>2.48261541E8</v>
      </c>
      <c r="AQ186" s="8" t="s">
        <v>732</v>
      </c>
      <c r="AR186" s="8" t="s">
        <v>1184</v>
      </c>
      <c r="AS186" s="8" t="s">
        <v>1184</v>
      </c>
      <c r="AT186" s="10"/>
      <c r="AU186" s="8" t="b">
        <f t="shared" si="238"/>
        <v>0</v>
      </c>
      <c r="AV186" s="10"/>
      <c r="AW186" s="8" t="s">
        <v>233</v>
      </c>
      <c r="AX186" s="8">
        <v>0.0</v>
      </c>
      <c r="AY186" s="8" t="b">
        <f t="shared" ref="AY186:BC186" si="279">FALSE()</f>
        <v>0</v>
      </c>
      <c r="AZ186" s="8" t="b">
        <f t="shared" si="279"/>
        <v>0</v>
      </c>
      <c r="BA186" s="8" t="b">
        <f t="shared" si="279"/>
        <v>0</v>
      </c>
      <c r="BB186" s="8" t="b">
        <f t="shared" si="279"/>
        <v>0</v>
      </c>
      <c r="BC186" s="8" t="b">
        <f t="shared" si="279"/>
        <v>0</v>
      </c>
      <c r="BD186" s="10" t="s">
        <v>1185</v>
      </c>
    </row>
    <row r="187" ht="68.25" customHeight="1">
      <c r="A187" s="6"/>
      <c r="B187" s="6"/>
      <c r="C187" s="6"/>
      <c r="D187" s="6"/>
      <c r="E187" s="6"/>
      <c r="I187" s="6"/>
      <c r="K187" s="6"/>
      <c r="W187" s="6"/>
      <c r="Z187" s="32"/>
      <c r="AB187" s="6"/>
      <c r="AC187" s="6"/>
      <c r="AD187" s="6"/>
      <c r="AF187" s="6"/>
      <c r="AK187" s="6"/>
      <c r="AL187" s="6"/>
      <c r="AT187" s="6"/>
      <c r="AV187" s="6"/>
      <c r="AW187" s="6"/>
      <c r="BD187" s="6"/>
    </row>
    <row r="188" ht="102.0" customHeight="1">
      <c r="A188" s="6"/>
      <c r="B188" s="6"/>
      <c r="C188" s="6"/>
      <c r="D188" s="6"/>
      <c r="E188" s="6"/>
      <c r="I188" s="6"/>
      <c r="K188" s="6"/>
      <c r="W188" s="6"/>
      <c r="Z188" s="32"/>
      <c r="AB188" s="6"/>
      <c r="AC188" s="6"/>
      <c r="AD188" s="6"/>
      <c r="AF188" s="6"/>
      <c r="AK188" s="6"/>
      <c r="AL188" s="6"/>
      <c r="AT188" s="6"/>
      <c r="AV188" s="6"/>
      <c r="AW188" s="6"/>
      <c r="BD188" s="6"/>
    </row>
    <row r="189" ht="57.0" customHeight="1">
      <c r="A189" s="6"/>
      <c r="B189" s="6"/>
      <c r="C189" s="6"/>
      <c r="D189" s="6"/>
      <c r="E189" s="6"/>
      <c r="I189" s="6"/>
      <c r="K189" s="6"/>
      <c r="W189" s="6"/>
      <c r="Z189" s="32"/>
      <c r="AB189" s="6"/>
      <c r="AC189" s="6"/>
      <c r="AD189" s="6"/>
      <c r="AF189" s="6"/>
      <c r="AK189" s="6"/>
      <c r="AL189" s="6"/>
      <c r="AT189" s="6"/>
      <c r="AV189" s="6"/>
      <c r="AW189" s="6"/>
      <c r="BD189" s="6"/>
    </row>
    <row r="190" ht="15.0" customHeight="1">
      <c r="A190" s="6"/>
      <c r="B190" s="6"/>
      <c r="C190" s="6"/>
      <c r="D190" s="6"/>
      <c r="E190" s="6"/>
      <c r="I190" s="6"/>
      <c r="K190" s="6"/>
      <c r="W190" s="6"/>
      <c r="Z190" s="32"/>
      <c r="AB190" s="6"/>
      <c r="AC190" s="6"/>
      <c r="AD190" s="6"/>
      <c r="AF190" s="6"/>
      <c r="AK190" s="6"/>
      <c r="AL190" s="6"/>
      <c r="AT190" s="6"/>
      <c r="AV190" s="6"/>
      <c r="AW190" s="6"/>
      <c r="BD190" s="6"/>
    </row>
    <row r="191" ht="15.0" customHeight="1">
      <c r="A191" s="6"/>
      <c r="B191" s="6"/>
      <c r="C191" s="6"/>
      <c r="D191" s="6"/>
      <c r="E191" s="6"/>
      <c r="I191" s="6"/>
      <c r="K191" s="6"/>
      <c r="W191" s="6"/>
      <c r="Z191" s="32"/>
      <c r="AB191" s="6"/>
      <c r="AC191" s="6"/>
      <c r="AD191" s="6"/>
      <c r="AF191" s="6"/>
      <c r="AK191" s="6"/>
      <c r="AL191" s="6"/>
      <c r="AT191" s="6"/>
      <c r="AV191" s="6"/>
      <c r="AW191" s="6"/>
      <c r="BD191" s="6"/>
    </row>
    <row r="192" ht="102.0" customHeight="1">
      <c r="A192" s="6"/>
      <c r="B192" s="6"/>
      <c r="C192" s="6"/>
      <c r="D192" s="6"/>
      <c r="E192" s="6"/>
      <c r="I192" s="6"/>
      <c r="K192" s="6"/>
      <c r="W192" s="6"/>
      <c r="Z192" s="32"/>
      <c r="AB192" s="6"/>
      <c r="AC192" s="6"/>
      <c r="AD192" s="6"/>
      <c r="AF192" s="6"/>
      <c r="AK192" s="6"/>
      <c r="AL192" s="6"/>
      <c r="AT192" s="6"/>
      <c r="AV192" s="6"/>
      <c r="AW192" s="6"/>
      <c r="BD192" s="6"/>
    </row>
    <row r="193" ht="15.0" customHeight="1">
      <c r="A193" s="6"/>
      <c r="B193" s="6"/>
      <c r="C193" s="6"/>
      <c r="D193" s="6"/>
      <c r="E193" s="6"/>
      <c r="I193" s="6"/>
      <c r="K193" s="6"/>
      <c r="W193" s="6"/>
      <c r="Z193" s="32"/>
      <c r="AB193" s="6"/>
      <c r="AC193" s="6"/>
      <c r="AD193" s="6"/>
      <c r="AF193" s="6"/>
      <c r="AK193" s="6"/>
      <c r="AL193" s="6"/>
      <c r="AT193" s="6"/>
      <c r="AV193" s="6"/>
      <c r="AW193" s="6"/>
      <c r="BD193" s="6"/>
    </row>
    <row r="194" ht="45.75" customHeight="1">
      <c r="A194" s="6"/>
      <c r="B194" s="6"/>
      <c r="C194" s="6"/>
      <c r="D194" s="6"/>
      <c r="E194" s="6"/>
      <c r="I194" s="6"/>
      <c r="K194" s="6"/>
      <c r="W194" s="6"/>
      <c r="Z194" s="32"/>
      <c r="AB194" s="6"/>
      <c r="AC194" s="6"/>
      <c r="AD194" s="6"/>
      <c r="AF194" s="6"/>
      <c r="AK194" s="6"/>
      <c r="AL194" s="6"/>
      <c r="AT194" s="6"/>
      <c r="AV194" s="6"/>
      <c r="AW194" s="6"/>
      <c r="BD194" s="6"/>
    </row>
    <row r="195" ht="45.75" customHeight="1">
      <c r="A195" s="6"/>
      <c r="B195" s="6"/>
      <c r="C195" s="6"/>
      <c r="D195" s="6"/>
      <c r="E195" s="6"/>
      <c r="I195" s="6"/>
      <c r="K195" s="6"/>
      <c r="W195" s="6"/>
      <c r="Z195" s="32"/>
      <c r="AB195" s="6"/>
      <c r="AC195" s="6"/>
      <c r="AD195" s="6"/>
      <c r="AF195" s="6"/>
      <c r="AK195" s="6"/>
      <c r="AL195" s="6"/>
      <c r="AT195" s="6"/>
      <c r="AV195" s="6"/>
      <c r="AW195" s="6"/>
      <c r="BD195" s="6"/>
    </row>
    <row r="196" ht="15.0" customHeight="1">
      <c r="A196" s="6"/>
      <c r="B196" s="6"/>
      <c r="C196" s="6"/>
      <c r="D196" s="6"/>
      <c r="E196" s="6"/>
      <c r="I196" s="6"/>
      <c r="K196" s="6"/>
      <c r="W196" s="6"/>
      <c r="Z196" s="32"/>
      <c r="AB196" s="6"/>
      <c r="AC196" s="6"/>
      <c r="AD196" s="6"/>
      <c r="AF196" s="6"/>
      <c r="AK196" s="6"/>
      <c r="AL196" s="6"/>
      <c r="AT196" s="6"/>
      <c r="AV196" s="6"/>
      <c r="AW196" s="6"/>
      <c r="BD196" s="6"/>
    </row>
    <row r="197" ht="15.0" customHeight="1">
      <c r="A197" s="6"/>
      <c r="B197" s="6"/>
      <c r="C197" s="6"/>
      <c r="D197" s="6"/>
      <c r="E197" s="6"/>
      <c r="I197" s="6"/>
      <c r="K197" s="6"/>
      <c r="W197" s="6"/>
      <c r="Z197" s="32"/>
      <c r="AB197" s="6"/>
      <c r="AC197" s="6"/>
      <c r="AD197" s="6"/>
      <c r="AF197" s="6"/>
      <c r="AK197" s="6"/>
      <c r="AL197" s="6"/>
      <c r="AT197" s="6"/>
      <c r="AV197" s="6"/>
      <c r="AW197" s="6"/>
      <c r="BD197" s="6"/>
    </row>
    <row r="198" ht="15.0" customHeight="1">
      <c r="A198" s="6"/>
      <c r="B198" s="6"/>
      <c r="C198" s="6"/>
      <c r="D198" s="6"/>
      <c r="E198" s="6"/>
      <c r="I198" s="6"/>
      <c r="K198" s="6"/>
      <c r="W198" s="6"/>
      <c r="Z198" s="32"/>
      <c r="AB198" s="6"/>
      <c r="AC198" s="6"/>
      <c r="AD198" s="6"/>
      <c r="AF198" s="6"/>
      <c r="AK198" s="6"/>
      <c r="AL198" s="6"/>
      <c r="AT198" s="6"/>
      <c r="AV198" s="6"/>
      <c r="AW198" s="6"/>
      <c r="BD198" s="6"/>
    </row>
    <row r="199" ht="15.0" customHeight="1">
      <c r="A199" s="6"/>
      <c r="B199" s="6"/>
      <c r="C199" s="6"/>
      <c r="D199" s="6"/>
      <c r="E199" s="6"/>
      <c r="I199" s="6"/>
      <c r="K199" s="6"/>
      <c r="W199" s="6"/>
      <c r="Z199" s="32"/>
      <c r="AB199" s="6"/>
      <c r="AC199" s="6"/>
      <c r="AD199" s="6"/>
      <c r="AF199" s="6"/>
      <c r="AK199" s="6"/>
      <c r="AL199" s="6"/>
      <c r="AT199" s="6"/>
      <c r="AV199" s="6"/>
      <c r="AW199" s="6"/>
      <c r="BD199" s="6"/>
    </row>
    <row r="200" ht="15.0" customHeight="1">
      <c r="A200" s="6"/>
      <c r="B200" s="6"/>
      <c r="C200" s="6"/>
      <c r="D200" s="6"/>
      <c r="E200" s="6"/>
      <c r="I200" s="6"/>
      <c r="K200" s="6"/>
      <c r="W200" s="6"/>
      <c r="Z200" s="32"/>
      <c r="AB200" s="6"/>
      <c r="AC200" s="6"/>
      <c r="AD200" s="6"/>
      <c r="AF200" s="6"/>
      <c r="AK200" s="6"/>
      <c r="AL200" s="6"/>
      <c r="AT200" s="6"/>
      <c r="AV200" s="6"/>
      <c r="AW200" s="6"/>
      <c r="BD200" s="6"/>
    </row>
    <row r="201" ht="15.0" customHeight="1">
      <c r="A201" s="6"/>
      <c r="B201" s="6"/>
      <c r="C201" s="6"/>
      <c r="D201" s="6"/>
      <c r="E201" s="6"/>
      <c r="I201" s="6"/>
      <c r="K201" s="6"/>
      <c r="W201" s="6"/>
      <c r="Z201" s="32"/>
      <c r="AB201" s="6"/>
      <c r="AC201" s="6"/>
      <c r="AD201" s="6"/>
      <c r="AF201" s="6"/>
      <c r="AK201" s="6"/>
      <c r="AL201" s="6"/>
      <c r="AT201" s="6"/>
      <c r="AV201" s="6"/>
      <c r="AW201" s="6"/>
      <c r="BD201" s="6"/>
    </row>
    <row r="202" ht="15.0" customHeight="1">
      <c r="A202" s="6"/>
      <c r="B202" s="6"/>
      <c r="C202" s="6"/>
      <c r="D202" s="6"/>
      <c r="E202" s="6"/>
      <c r="I202" s="6"/>
      <c r="K202" s="6"/>
      <c r="W202" s="6"/>
      <c r="Z202" s="32"/>
      <c r="AB202" s="6"/>
      <c r="AC202" s="6"/>
      <c r="AD202" s="6"/>
      <c r="AF202" s="6"/>
      <c r="AK202" s="6"/>
      <c r="AL202" s="6"/>
      <c r="AT202" s="6"/>
      <c r="AV202" s="6"/>
      <c r="AW202" s="6"/>
      <c r="BD202" s="6"/>
    </row>
    <row r="203" ht="15.0" customHeight="1">
      <c r="A203" s="6"/>
      <c r="B203" s="6"/>
      <c r="C203" s="6"/>
      <c r="D203" s="6"/>
      <c r="E203" s="6"/>
      <c r="I203" s="6"/>
      <c r="K203" s="6"/>
      <c r="W203" s="6"/>
      <c r="Z203" s="32"/>
      <c r="AB203" s="6"/>
      <c r="AC203" s="6"/>
      <c r="AD203" s="6"/>
      <c r="AF203" s="6"/>
      <c r="AK203" s="6"/>
      <c r="AL203" s="6"/>
      <c r="AT203" s="6"/>
      <c r="AV203" s="6"/>
      <c r="AW203" s="6"/>
      <c r="BD203" s="6"/>
    </row>
    <row r="204" ht="15.0" customHeight="1">
      <c r="A204" s="6"/>
      <c r="B204" s="6"/>
      <c r="C204" s="6"/>
      <c r="D204" s="6"/>
      <c r="E204" s="6"/>
      <c r="I204" s="6"/>
      <c r="K204" s="6"/>
      <c r="W204" s="6"/>
      <c r="Z204" s="32"/>
      <c r="AB204" s="6"/>
      <c r="AC204" s="6"/>
      <c r="AD204" s="6"/>
      <c r="AF204" s="6"/>
      <c r="AK204" s="6"/>
      <c r="AL204" s="6"/>
      <c r="AT204" s="6"/>
      <c r="AV204" s="6"/>
      <c r="AW204" s="6"/>
      <c r="BD204" s="6"/>
    </row>
    <row r="205" ht="90.75" customHeight="1">
      <c r="A205" s="6"/>
      <c r="B205" s="6"/>
      <c r="C205" s="6"/>
      <c r="D205" s="6"/>
      <c r="E205" s="6"/>
      <c r="I205" s="6"/>
      <c r="K205" s="6"/>
      <c r="W205" s="6"/>
      <c r="Z205" s="32"/>
      <c r="AB205" s="6"/>
      <c r="AC205" s="6"/>
      <c r="AD205" s="6"/>
      <c r="AF205" s="6"/>
      <c r="AK205" s="6"/>
      <c r="AL205" s="6"/>
      <c r="AT205" s="6"/>
      <c r="AV205" s="6"/>
      <c r="AW205" s="6"/>
      <c r="BD205" s="6"/>
    </row>
    <row r="206" ht="102.0" customHeight="1">
      <c r="A206" s="6"/>
      <c r="B206" s="6"/>
      <c r="C206" s="6"/>
      <c r="D206" s="6"/>
      <c r="E206" s="6"/>
      <c r="I206" s="6"/>
      <c r="K206" s="6"/>
      <c r="W206" s="6"/>
      <c r="Z206" s="32"/>
      <c r="AB206" s="6"/>
      <c r="AC206" s="6"/>
      <c r="AD206" s="6"/>
      <c r="AF206" s="6"/>
      <c r="AK206" s="6"/>
      <c r="AL206" s="6"/>
      <c r="AT206" s="6"/>
      <c r="AV206" s="6"/>
      <c r="AW206" s="6"/>
      <c r="BD206" s="6"/>
    </row>
    <row r="207" ht="15.0" customHeight="1">
      <c r="A207" s="6"/>
      <c r="B207" s="6"/>
      <c r="C207" s="6"/>
      <c r="D207" s="6"/>
      <c r="E207" s="6"/>
      <c r="I207" s="6"/>
      <c r="K207" s="6"/>
      <c r="W207" s="6"/>
      <c r="Z207" s="32"/>
      <c r="AB207" s="6"/>
      <c r="AC207" s="6"/>
      <c r="AD207" s="6"/>
      <c r="AF207" s="6"/>
      <c r="AK207" s="6"/>
      <c r="AL207" s="6"/>
      <c r="AT207" s="6"/>
      <c r="AV207" s="6"/>
      <c r="AW207" s="6"/>
      <c r="BD207" s="6"/>
    </row>
    <row r="208" ht="15.0" customHeight="1">
      <c r="A208" s="6"/>
      <c r="B208" s="6"/>
      <c r="C208" s="6"/>
      <c r="D208" s="6"/>
      <c r="E208" s="6"/>
      <c r="I208" s="6"/>
      <c r="K208" s="6"/>
      <c r="W208" s="6"/>
      <c r="Z208" s="32"/>
      <c r="AB208" s="6"/>
      <c r="AC208" s="6"/>
      <c r="AD208" s="6"/>
      <c r="AF208" s="6"/>
      <c r="AK208" s="6"/>
      <c r="AL208" s="6"/>
      <c r="AT208" s="6"/>
      <c r="AV208" s="6"/>
      <c r="AW208" s="6"/>
      <c r="BD208" s="6"/>
    </row>
    <row r="209" ht="102.0" customHeight="1">
      <c r="A209" s="6"/>
      <c r="B209" s="6"/>
      <c r="C209" s="6"/>
      <c r="D209" s="6"/>
      <c r="E209" s="6"/>
      <c r="I209" s="6"/>
      <c r="K209" s="6"/>
      <c r="W209" s="6"/>
      <c r="Z209" s="32"/>
      <c r="AB209" s="6"/>
      <c r="AC209" s="6"/>
      <c r="AD209" s="6"/>
      <c r="AF209" s="6"/>
      <c r="AK209" s="6"/>
      <c r="AL209" s="6"/>
      <c r="AT209" s="6"/>
      <c r="AV209" s="6"/>
      <c r="AW209" s="6"/>
      <c r="BD209" s="6"/>
    </row>
    <row r="210" ht="102.0" customHeight="1">
      <c r="A210" s="6"/>
      <c r="B210" s="6"/>
      <c r="C210" s="6"/>
      <c r="D210" s="6"/>
      <c r="E210" s="6"/>
      <c r="I210" s="6"/>
      <c r="K210" s="6"/>
      <c r="W210" s="6"/>
      <c r="Z210" s="32"/>
      <c r="AB210" s="6"/>
      <c r="AC210" s="6"/>
      <c r="AD210" s="6"/>
      <c r="AF210" s="6"/>
      <c r="AK210" s="6"/>
      <c r="AL210" s="6"/>
      <c r="AT210" s="6"/>
      <c r="AV210" s="6"/>
      <c r="AW210" s="6"/>
      <c r="BD210" s="6"/>
    </row>
    <row r="211" ht="15.0" customHeight="1">
      <c r="A211" s="6"/>
      <c r="B211" s="6"/>
      <c r="C211" s="6"/>
      <c r="D211" s="6"/>
      <c r="E211" s="6"/>
      <c r="I211" s="6"/>
      <c r="K211" s="6"/>
      <c r="W211" s="6"/>
      <c r="Z211" s="32"/>
      <c r="AB211" s="6"/>
      <c r="AC211" s="6"/>
      <c r="AD211" s="6"/>
      <c r="AF211" s="6"/>
      <c r="AK211" s="6"/>
      <c r="AL211" s="6"/>
      <c r="AT211" s="6"/>
      <c r="AV211" s="6"/>
      <c r="AW211" s="6"/>
      <c r="BD211" s="6"/>
    </row>
    <row r="212" ht="15.0" customHeight="1">
      <c r="A212" s="6"/>
      <c r="B212" s="6"/>
      <c r="C212" s="6"/>
      <c r="D212" s="6"/>
      <c r="E212" s="6"/>
      <c r="I212" s="6"/>
      <c r="K212" s="6"/>
      <c r="W212" s="6"/>
      <c r="Z212" s="32"/>
      <c r="AB212" s="6"/>
      <c r="AC212" s="6"/>
      <c r="AD212" s="6"/>
      <c r="AF212" s="6"/>
      <c r="AK212" s="6"/>
      <c r="AL212" s="6"/>
      <c r="AT212" s="6"/>
      <c r="AV212" s="6"/>
      <c r="AW212" s="6"/>
      <c r="BD212" s="6"/>
    </row>
    <row r="213" ht="102.0" customHeight="1">
      <c r="A213" s="6"/>
      <c r="B213" s="6"/>
      <c r="C213" s="6"/>
      <c r="D213" s="6"/>
      <c r="E213" s="6"/>
      <c r="I213" s="6"/>
      <c r="K213" s="6"/>
      <c r="W213" s="6"/>
      <c r="Z213" s="32"/>
      <c r="AB213" s="6"/>
      <c r="AC213" s="6"/>
      <c r="AD213" s="6"/>
      <c r="AF213" s="6"/>
      <c r="AK213" s="6"/>
      <c r="AL213" s="6"/>
      <c r="AT213" s="6"/>
      <c r="AV213" s="6"/>
      <c r="AW213" s="6"/>
      <c r="BD213" s="6"/>
    </row>
    <row r="214" ht="15.0" customHeight="1">
      <c r="A214" s="6"/>
      <c r="B214" s="6"/>
      <c r="C214" s="6"/>
      <c r="D214" s="6"/>
      <c r="E214" s="6"/>
      <c r="I214" s="6"/>
      <c r="K214" s="6"/>
      <c r="W214" s="6"/>
      <c r="Z214" s="32"/>
      <c r="AB214" s="6"/>
      <c r="AC214" s="6"/>
      <c r="AD214" s="6"/>
      <c r="AF214" s="6"/>
      <c r="AK214" s="6"/>
      <c r="AL214" s="6"/>
      <c r="AT214" s="6"/>
      <c r="AV214" s="6"/>
      <c r="AW214" s="6"/>
      <c r="BD214" s="6"/>
    </row>
    <row r="215" ht="90.75" customHeight="1">
      <c r="A215" s="6"/>
      <c r="B215" s="6"/>
      <c r="C215" s="6"/>
      <c r="D215" s="6"/>
      <c r="E215" s="6"/>
      <c r="I215" s="6"/>
      <c r="K215" s="6"/>
      <c r="W215" s="6"/>
      <c r="Z215" s="32"/>
      <c r="AB215" s="6"/>
      <c r="AC215" s="6"/>
      <c r="AD215" s="6"/>
      <c r="AF215" s="6"/>
      <c r="AK215" s="6"/>
      <c r="AL215" s="6"/>
      <c r="AT215" s="6"/>
      <c r="AV215" s="6"/>
      <c r="AW215" s="6"/>
      <c r="BD215" s="6"/>
    </row>
    <row r="216" ht="15.0" customHeight="1">
      <c r="A216" s="6"/>
      <c r="B216" s="6"/>
      <c r="C216" s="6"/>
      <c r="D216" s="6"/>
      <c r="E216" s="6"/>
      <c r="I216" s="6"/>
      <c r="K216" s="6"/>
      <c r="W216" s="6"/>
      <c r="Z216" s="32"/>
      <c r="AB216" s="6"/>
      <c r="AC216" s="6"/>
      <c r="AD216" s="6"/>
      <c r="AF216" s="6"/>
      <c r="AK216" s="6"/>
      <c r="AL216" s="6"/>
      <c r="AT216" s="6"/>
      <c r="AV216" s="6"/>
      <c r="AW216" s="6"/>
      <c r="BD216" s="6"/>
    </row>
    <row r="217" ht="15.0" customHeight="1">
      <c r="A217" s="6"/>
      <c r="B217" s="6"/>
      <c r="C217" s="6"/>
      <c r="D217" s="6"/>
      <c r="E217" s="6"/>
      <c r="I217" s="6"/>
      <c r="K217" s="6"/>
      <c r="W217" s="6"/>
      <c r="Z217" s="32"/>
      <c r="AB217" s="6"/>
      <c r="AC217" s="6"/>
      <c r="AD217" s="6"/>
      <c r="AF217" s="6"/>
      <c r="AK217" s="6"/>
      <c r="AL217" s="6"/>
      <c r="AT217" s="6"/>
      <c r="AV217" s="6"/>
      <c r="AW217" s="6"/>
      <c r="BD217" s="6"/>
    </row>
    <row r="218" ht="15.0" customHeight="1">
      <c r="A218" s="6"/>
      <c r="B218" s="6"/>
      <c r="C218" s="6"/>
      <c r="D218" s="6"/>
      <c r="E218" s="6"/>
      <c r="I218" s="6"/>
      <c r="K218" s="6"/>
      <c r="W218" s="6"/>
      <c r="Z218" s="32"/>
      <c r="AB218" s="6"/>
      <c r="AC218" s="6"/>
      <c r="AD218" s="6"/>
      <c r="AF218" s="6"/>
      <c r="AK218" s="6"/>
      <c r="AL218" s="6"/>
      <c r="AT218" s="6"/>
      <c r="AV218" s="6"/>
      <c r="AW218" s="6"/>
      <c r="BD218" s="6"/>
    </row>
    <row r="219" ht="113.25" customHeight="1">
      <c r="A219" s="6"/>
      <c r="B219" s="6"/>
      <c r="C219" s="6"/>
      <c r="D219" s="6"/>
      <c r="E219" s="6"/>
      <c r="I219" s="6"/>
      <c r="K219" s="6"/>
      <c r="W219" s="6"/>
      <c r="Z219" s="32"/>
      <c r="AB219" s="6"/>
      <c r="AC219" s="6"/>
      <c r="AD219" s="6"/>
      <c r="AF219" s="6"/>
      <c r="AK219" s="6"/>
      <c r="AL219" s="6"/>
      <c r="AT219" s="6"/>
      <c r="AV219" s="6"/>
      <c r="AW219" s="6"/>
      <c r="BD219" s="6"/>
    </row>
    <row r="220" ht="15.0" customHeight="1">
      <c r="A220" s="6"/>
      <c r="B220" s="6"/>
      <c r="C220" s="6"/>
      <c r="D220" s="6"/>
      <c r="E220" s="6"/>
      <c r="I220" s="6"/>
      <c r="K220" s="6"/>
      <c r="W220" s="6"/>
      <c r="Z220" s="32"/>
      <c r="AB220" s="6"/>
      <c r="AC220" s="6"/>
      <c r="AD220" s="6"/>
      <c r="AF220" s="6"/>
      <c r="AK220" s="6"/>
      <c r="AL220" s="6"/>
      <c r="AT220" s="6"/>
      <c r="AV220" s="6"/>
      <c r="AW220" s="6"/>
      <c r="BD220" s="6"/>
    </row>
    <row r="221" ht="15.0" customHeight="1">
      <c r="A221" s="6"/>
      <c r="B221" s="6"/>
      <c r="C221" s="6"/>
      <c r="D221" s="6"/>
      <c r="E221" s="6"/>
      <c r="I221" s="6"/>
      <c r="K221" s="6"/>
      <c r="W221" s="6"/>
      <c r="Z221" s="32"/>
      <c r="AB221" s="6"/>
      <c r="AC221" s="6"/>
      <c r="AD221" s="6"/>
      <c r="AF221" s="6"/>
      <c r="AK221" s="6"/>
      <c r="AL221" s="6"/>
      <c r="AT221" s="6"/>
      <c r="AV221" s="6"/>
      <c r="AW221" s="6"/>
      <c r="BD221" s="6"/>
    </row>
    <row r="222" ht="15.0" customHeight="1">
      <c r="A222" s="6"/>
      <c r="B222" s="6"/>
      <c r="C222" s="6"/>
      <c r="D222" s="6"/>
      <c r="E222" s="6"/>
      <c r="I222" s="6"/>
      <c r="K222" s="6"/>
      <c r="W222" s="6"/>
      <c r="Z222" s="32"/>
      <c r="AB222" s="6"/>
      <c r="AC222" s="6"/>
      <c r="AD222" s="6"/>
      <c r="AF222" s="6"/>
      <c r="AK222" s="6"/>
      <c r="AL222" s="6"/>
      <c r="AT222" s="6"/>
      <c r="AV222" s="6"/>
      <c r="AW222" s="6"/>
      <c r="BD222" s="6"/>
    </row>
    <row r="223" ht="15.0" customHeight="1">
      <c r="A223" s="6"/>
      <c r="B223" s="6"/>
      <c r="C223" s="6"/>
      <c r="D223" s="6"/>
      <c r="E223" s="6"/>
      <c r="I223" s="6"/>
      <c r="K223" s="6"/>
      <c r="W223" s="6"/>
      <c r="Z223" s="32"/>
      <c r="AB223" s="6"/>
      <c r="AC223" s="6"/>
      <c r="AD223" s="6"/>
      <c r="AF223" s="6"/>
      <c r="AK223" s="6"/>
      <c r="AL223" s="6"/>
      <c r="AT223" s="6"/>
      <c r="AV223" s="6"/>
      <c r="AW223" s="6"/>
      <c r="BD223" s="6"/>
    </row>
    <row r="224" ht="15.0" customHeight="1">
      <c r="A224" s="6"/>
      <c r="B224" s="6"/>
      <c r="C224" s="6"/>
      <c r="D224" s="6"/>
      <c r="E224" s="6"/>
      <c r="I224" s="6"/>
      <c r="K224" s="6"/>
      <c r="W224" s="6"/>
      <c r="Z224" s="32"/>
      <c r="AB224" s="6"/>
      <c r="AC224" s="6"/>
      <c r="AD224" s="6"/>
      <c r="AF224" s="6"/>
      <c r="AK224" s="6"/>
      <c r="AL224" s="6"/>
      <c r="AT224" s="6"/>
      <c r="AV224" s="6"/>
      <c r="AW224" s="6"/>
      <c r="BD224" s="6"/>
    </row>
    <row r="225" ht="15.0" customHeight="1">
      <c r="A225" s="6"/>
      <c r="B225" s="6"/>
      <c r="C225" s="6"/>
      <c r="D225" s="6"/>
      <c r="E225" s="6"/>
      <c r="I225" s="6"/>
      <c r="K225" s="6"/>
      <c r="W225" s="6"/>
      <c r="Z225" s="32"/>
      <c r="AB225" s="6"/>
      <c r="AC225" s="6"/>
      <c r="AD225" s="6"/>
      <c r="AF225" s="6"/>
      <c r="AK225" s="6"/>
      <c r="AL225" s="6"/>
      <c r="AT225" s="6"/>
      <c r="AV225" s="6"/>
      <c r="AW225" s="6"/>
      <c r="BD225" s="6"/>
    </row>
    <row r="226" ht="15.0" customHeight="1">
      <c r="A226" s="6"/>
      <c r="B226" s="6"/>
      <c r="C226" s="6"/>
      <c r="D226" s="6"/>
      <c r="E226" s="6"/>
      <c r="I226" s="6"/>
      <c r="K226" s="6"/>
      <c r="W226" s="6"/>
      <c r="Z226" s="32"/>
      <c r="AB226" s="6"/>
      <c r="AC226" s="6"/>
      <c r="AD226" s="6"/>
      <c r="AF226" s="6"/>
      <c r="AK226" s="6"/>
      <c r="AL226" s="6"/>
      <c r="AT226" s="6"/>
      <c r="AV226" s="6"/>
      <c r="AW226" s="6"/>
      <c r="BD226" s="6"/>
    </row>
    <row r="227" ht="15.0" customHeight="1">
      <c r="A227" s="6"/>
      <c r="B227" s="6"/>
      <c r="C227" s="6"/>
      <c r="D227" s="6"/>
      <c r="E227" s="6"/>
      <c r="I227" s="6"/>
      <c r="K227" s="6"/>
      <c r="W227" s="6"/>
      <c r="Z227" s="32"/>
      <c r="AB227" s="6"/>
      <c r="AC227" s="6"/>
      <c r="AD227" s="6"/>
      <c r="AF227" s="6"/>
      <c r="AK227" s="6"/>
      <c r="AL227" s="6"/>
      <c r="AT227" s="6"/>
      <c r="AV227" s="6"/>
      <c r="AW227" s="6"/>
      <c r="BD227" s="6"/>
    </row>
    <row r="228" ht="102.0" customHeight="1">
      <c r="A228" s="6"/>
      <c r="B228" s="6"/>
      <c r="C228" s="6"/>
      <c r="D228" s="6"/>
      <c r="E228" s="6"/>
      <c r="I228" s="6"/>
      <c r="K228" s="6"/>
      <c r="W228" s="6"/>
      <c r="Z228" s="32"/>
      <c r="AB228" s="6"/>
      <c r="AC228" s="6"/>
      <c r="AD228" s="6"/>
      <c r="AF228" s="6"/>
      <c r="AK228" s="6"/>
      <c r="AL228" s="6"/>
      <c r="AT228" s="6"/>
      <c r="AV228" s="6"/>
      <c r="AW228" s="6"/>
      <c r="BD228" s="6"/>
    </row>
    <row r="229" ht="15.0" customHeight="1">
      <c r="A229" s="6"/>
      <c r="B229" s="6"/>
      <c r="C229" s="6"/>
      <c r="D229" s="6"/>
      <c r="E229" s="6"/>
      <c r="I229" s="6"/>
      <c r="K229" s="6"/>
      <c r="W229" s="6"/>
      <c r="Z229" s="32"/>
      <c r="AB229" s="6"/>
      <c r="AC229" s="6"/>
      <c r="AD229" s="6"/>
      <c r="AF229" s="6"/>
      <c r="AK229" s="6"/>
      <c r="AL229" s="6"/>
      <c r="AT229" s="6"/>
      <c r="AV229" s="6"/>
      <c r="AW229" s="6"/>
      <c r="BD229" s="6"/>
    </row>
    <row r="230" ht="15.0" customHeight="1">
      <c r="A230" s="6"/>
      <c r="B230" s="6"/>
      <c r="C230" s="6"/>
      <c r="D230" s="6"/>
      <c r="E230" s="6"/>
      <c r="I230" s="6"/>
      <c r="K230" s="6"/>
      <c r="W230" s="6"/>
      <c r="Z230" s="32"/>
      <c r="AB230" s="6"/>
      <c r="AC230" s="6"/>
      <c r="AD230" s="6"/>
      <c r="AF230" s="6"/>
      <c r="AK230" s="6"/>
      <c r="AL230" s="6"/>
      <c r="AT230" s="6"/>
      <c r="AV230" s="6"/>
      <c r="AW230" s="6"/>
      <c r="BD230" s="6"/>
    </row>
    <row r="231" ht="124.5" customHeight="1">
      <c r="A231" s="6"/>
      <c r="B231" s="6"/>
      <c r="C231" s="6"/>
      <c r="D231" s="6"/>
      <c r="E231" s="6"/>
      <c r="I231" s="6"/>
      <c r="K231" s="6"/>
      <c r="W231" s="6"/>
      <c r="Z231" s="32"/>
      <c r="AB231" s="6"/>
      <c r="AC231" s="6"/>
      <c r="AD231" s="6"/>
      <c r="AF231" s="6"/>
      <c r="AK231" s="6"/>
      <c r="AL231" s="6"/>
      <c r="AT231" s="6"/>
      <c r="AV231" s="6"/>
      <c r="AW231" s="6"/>
      <c r="BD231" s="6"/>
    </row>
    <row r="232" ht="15.0" customHeight="1">
      <c r="A232" s="6"/>
      <c r="B232" s="6"/>
      <c r="C232" s="6"/>
      <c r="D232" s="6"/>
      <c r="E232" s="6"/>
      <c r="I232" s="6"/>
      <c r="K232" s="6"/>
      <c r="W232" s="6"/>
      <c r="Z232" s="32"/>
      <c r="AB232" s="6"/>
      <c r="AC232" s="6"/>
      <c r="AD232" s="6"/>
      <c r="AF232" s="6"/>
      <c r="AK232" s="6"/>
      <c r="AL232" s="6"/>
      <c r="AT232" s="6"/>
      <c r="AV232" s="6"/>
      <c r="AW232" s="6"/>
      <c r="BD232" s="6"/>
    </row>
    <row r="233" ht="180.0" customHeight="1">
      <c r="A233" s="6"/>
      <c r="B233" s="6"/>
      <c r="C233" s="6"/>
      <c r="D233" s="6"/>
      <c r="E233" s="6"/>
      <c r="I233" s="6"/>
      <c r="K233" s="6"/>
      <c r="W233" s="6"/>
      <c r="Z233" s="32"/>
      <c r="AB233" s="6"/>
      <c r="AC233" s="6"/>
      <c r="AD233" s="6"/>
      <c r="AF233" s="6"/>
      <c r="AK233" s="6"/>
      <c r="AL233" s="6"/>
      <c r="AT233" s="6"/>
      <c r="AV233" s="6"/>
      <c r="AW233" s="6"/>
      <c r="BD233" s="6"/>
    </row>
    <row r="234" ht="15.0" customHeight="1">
      <c r="A234" s="6"/>
      <c r="B234" s="6"/>
      <c r="C234" s="6"/>
      <c r="D234" s="6"/>
      <c r="E234" s="6"/>
      <c r="I234" s="6"/>
      <c r="K234" s="6"/>
      <c r="W234" s="6"/>
      <c r="Z234" s="32"/>
      <c r="AB234" s="6"/>
      <c r="AC234" s="6"/>
      <c r="AD234" s="6"/>
      <c r="AF234" s="6"/>
      <c r="AK234" s="6"/>
      <c r="AL234" s="6"/>
      <c r="AT234" s="6"/>
      <c r="AV234" s="6"/>
      <c r="AW234" s="6"/>
      <c r="BD234" s="6"/>
    </row>
    <row r="235" ht="15.0" customHeight="1">
      <c r="A235" s="6"/>
      <c r="B235" s="6"/>
      <c r="C235" s="6"/>
      <c r="D235" s="6"/>
      <c r="E235" s="6"/>
      <c r="I235" s="6"/>
      <c r="K235" s="6"/>
      <c r="W235" s="6"/>
      <c r="Z235" s="32"/>
      <c r="AB235" s="6"/>
      <c r="AC235" s="6"/>
      <c r="AD235" s="6"/>
      <c r="AF235" s="6"/>
      <c r="AK235" s="6"/>
      <c r="AL235" s="6"/>
      <c r="AT235" s="6"/>
      <c r="AV235" s="6"/>
      <c r="AW235" s="6"/>
      <c r="BD235" s="6"/>
    </row>
    <row r="236" ht="15.0" customHeight="1">
      <c r="A236" s="6"/>
      <c r="B236" s="6"/>
      <c r="C236" s="6"/>
      <c r="D236" s="6"/>
      <c r="E236" s="6"/>
      <c r="I236" s="6"/>
      <c r="K236" s="6"/>
      <c r="W236" s="6"/>
      <c r="Z236" s="32"/>
      <c r="AB236" s="6"/>
      <c r="AC236" s="6"/>
      <c r="AD236" s="6"/>
      <c r="AF236" s="6"/>
      <c r="AK236" s="6"/>
      <c r="AL236" s="6"/>
      <c r="AT236" s="6"/>
      <c r="AV236" s="6"/>
      <c r="AW236" s="6"/>
      <c r="BD236" s="6"/>
    </row>
    <row r="237" ht="15.0" customHeight="1">
      <c r="A237" s="6"/>
      <c r="B237" s="6"/>
      <c r="C237" s="6"/>
      <c r="D237" s="6"/>
      <c r="E237" s="6"/>
      <c r="I237" s="6"/>
      <c r="K237" s="6"/>
      <c r="W237" s="6"/>
      <c r="Z237" s="32"/>
      <c r="AB237" s="6"/>
      <c r="AC237" s="6"/>
      <c r="AD237" s="6"/>
      <c r="AF237" s="6"/>
      <c r="AK237" s="6"/>
      <c r="AL237" s="6"/>
      <c r="AT237" s="6"/>
      <c r="AV237" s="6"/>
      <c r="AW237" s="6"/>
      <c r="BD237" s="6"/>
    </row>
    <row r="238" ht="15.0" customHeight="1">
      <c r="A238" s="6"/>
      <c r="B238" s="6"/>
      <c r="C238" s="6"/>
      <c r="D238" s="6"/>
      <c r="E238" s="6"/>
      <c r="I238" s="6"/>
      <c r="K238" s="6"/>
      <c r="W238" s="6"/>
      <c r="Z238" s="32"/>
      <c r="AB238" s="6"/>
      <c r="AC238" s="6"/>
      <c r="AD238" s="6"/>
      <c r="AF238" s="6"/>
      <c r="AK238" s="6"/>
      <c r="AL238" s="6"/>
      <c r="AT238" s="6"/>
      <c r="AV238" s="6"/>
      <c r="AW238" s="6"/>
      <c r="BD238" s="6"/>
    </row>
    <row r="239" ht="15.0" customHeight="1">
      <c r="A239" s="6"/>
      <c r="B239" s="6"/>
      <c r="C239" s="6"/>
      <c r="D239" s="6"/>
      <c r="E239" s="6"/>
      <c r="I239" s="6"/>
      <c r="K239" s="6"/>
      <c r="W239" s="6"/>
      <c r="Z239" s="32"/>
      <c r="AB239" s="6"/>
      <c r="AC239" s="6"/>
      <c r="AD239" s="6"/>
      <c r="AF239" s="6"/>
      <c r="AK239" s="6"/>
      <c r="AL239" s="6"/>
      <c r="AT239" s="6"/>
      <c r="AV239" s="6"/>
      <c r="AW239" s="6"/>
      <c r="BD239" s="6"/>
    </row>
    <row r="240" ht="102.0" customHeight="1">
      <c r="A240" s="6"/>
      <c r="B240" s="6"/>
      <c r="C240" s="6"/>
      <c r="D240" s="6"/>
      <c r="E240" s="6"/>
      <c r="I240" s="6"/>
      <c r="K240" s="6"/>
      <c r="W240" s="6"/>
      <c r="Z240" s="32"/>
      <c r="AB240" s="6"/>
      <c r="AC240" s="6"/>
      <c r="AD240" s="6"/>
      <c r="AF240" s="6"/>
      <c r="AK240" s="6"/>
      <c r="AL240" s="6"/>
      <c r="AT240" s="6"/>
      <c r="AV240" s="6"/>
      <c r="AW240" s="6"/>
      <c r="BD240" s="6"/>
    </row>
    <row r="241" ht="90.75" customHeight="1">
      <c r="A241" s="6"/>
      <c r="B241" s="6"/>
      <c r="C241" s="6"/>
      <c r="D241" s="6"/>
      <c r="E241" s="6"/>
      <c r="I241" s="6"/>
      <c r="K241" s="6"/>
      <c r="W241" s="6"/>
      <c r="Z241" s="32"/>
      <c r="AB241" s="6"/>
      <c r="AC241" s="6"/>
      <c r="AD241" s="6"/>
      <c r="AF241" s="6"/>
      <c r="AK241" s="6"/>
      <c r="AL241" s="6"/>
      <c r="AT241" s="6"/>
      <c r="AV241" s="6"/>
      <c r="AW241" s="6"/>
      <c r="BD241" s="6"/>
    </row>
    <row r="242" ht="15.0" customHeight="1">
      <c r="A242" s="6"/>
      <c r="B242" s="6"/>
      <c r="C242" s="6"/>
      <c r="D242" s="6"/>
      <c r="E242" s="6"/>
      <c r="I242" s="6"/>
      <c r="K242" s="6"/>
      <c r="W242" s="6"/>
      <c r="Z242" s="32"/>
      <c r="AB242" s="6"/>
      <c r="AC242" s="6"/>
      <c r="AD242" s="6"/>
      <c r="AF242" s="6"/>
      <c r="AK242" s="6"/>
      <c r="AL242" s="6"/>
      <c r="AT242" s="6"/>
      <c r="AV242" s="6"/>
      <c r="AW242" s="6"/>
      <c r="BD242" s="6"/>
    </row>
    <row r="243" ht="79.5" customHeight="1">
      <c r="A243" s="6"/>
      <c r="B243" s="6"/>
      <c r="C243" s="6"/>
      <c r="D243" s="6"/>
      <c r="E243" s="6"/>
      <c r="I243" s="6"/>
      <c r="K243" s="6"/>
      <c r="W243" s="6"/>
      <c r="Z243" s="32"/>
      <c r="AB243" s="6"/>
      <c r="AC243" s="6"/>
      <c r="AD243" s="6"/>
      <c r="AF243" s="6"/>
      <c r="AK243" s="6"/>
      <c r="AL243" s="6"/>
      <c r="AT243" s="6"/>
      <c r="AV243" s="6"/>
      <c r="AW243" s="6"/>
      <c r="BD243" s="6"/>
    </row>
    <row r="244" ht="15.0" customHeight="1">
      <c r="A244" s="6"/>
      <c r="B244" s="6"/>
      <c r="C244" s="6"/>
      <c r="D244" s="6"/>
      <c r="E244" s="6"/>
      <c r="I244" s="6"/>
      <c r="K244" s="6"/>
      <c r="W244" s="6"/>
      <c r="Z244" s="32"/>
      <c r="AB244" s="6"/>
      <c r="AC244" s="6"/>
      <c r="AD244" s="6"/>
      <c r="AF244" s="6"/>
      <c r="AK244" s="6"/>
      <c r="AL244" s="6"/>
      <c r="AT244" s="6"/>
      <c r="AV244" s="6"/>
      <c r="AW244" s="6"/>
      <c r="BD244" s="6"/>
    </row>
    <row r="245" ht="15.0" customHeight="1">
      <c r="A245" s="6"/>
      <c r="B245" s="6"/>
      <c r="C245" s="6"/>
      <c r="D245" s="6"/>
      <c r="E245" s="6"/>
      <c r="I245" s="6"/>
      <c r="K245" s="6"/>
      <c r="W245" s="6"/>
      <c r="Z245" s="32"/>
      <c r="AB245" s="6"/>
      <c r="AC245" s="6"/>
      <c r="AD245" s="6"/>
      <c r="AF245" s="6"/>
      <c r="AK245" s="6"/>
      <c r="AL245" s="6"/>
      <c r="AT245" s="6"/>
      <c r="AV245" s="6"/>
      <c r="AW245" s="6"/>
      <c r="BD245" s="6"/>
    </row>
    <row r="246" ht="15.0" customHeight="1">
      <c r="A246" s="6"/>
      <c r="B246" s="6"/>
      <c r="C246" s="6"/>
      <c r="D246" s="6"/>
      <c r="E246" s="6"/>
      <c r="I246" s="6"/>
      <c r="K246" s="6"/>
      <c r="W246" s="6"/>
      <c r="Z246" s="32"/>
      <c r="AB246" s="6"/>
      <c r="AC246" s="6"/>
      <c r="AD246" s="6"/>
      <c r="AF246" s="6"/>
      <c r="AK246" s="6"/>
      <c r="AL246" s="6"/>
      <c r="AT246" s="6"/>
      <c r="AV246" s="6"/>
      <c r="AW246" s="6"/>
      <c r="BD246" s="6"/>
    </row>
    <row r="247" ht="113.25" customHeight="1">
      <c r="A247" s="6"/>
      <c r="B247" s="6"/>
      <c r="C247" s="6"/>
      <c r="D247" s="6"/>
      <c r="E247" s="6"/>
      <c r="I247" s="6"/>
      <c r="K247" s="6"/>
      <c r="W247" s="6"/>
      <c r="Z247" s="32"/>
      <c r="AB247" s="6"/>
      <c r="AC247" s="6"/>
      <c r="AD247" s="6"/>
      <c r="AF247" s="6"/>
      <c r="AK247" s="6"/>
      <c r="AL247" s="6"/>
      <c r="AT247" s="6"/>
      <c r="AV247" s="6"/>
      <c r="AW247" s="6"/>
      <c r="BD247" s="6"/>
    </row>
    <row r="248" ht="15.0" customHeight="1">
      <c r="A248" s="6"/>
      <c r="B248" s="6"/>
      <c r="C248" s="6"/>
      <c r="D248" s="6"/>
      <c r="E248" s="6"/>
      <c r="I248" s="6"/>
      <c r="K248" s="6"/>
      <c r="W248" s="6"/>
      <c r="Z248" s="32"/>
      <c r="AB248" s="6"/>
      <c r="AC248" s="6"/>
      <c r="AD248" s="6"/>
      <c r="AF248" s="6"/>
      <c r="AK248" s="6"/>
      <c r="AL248" s="6"/>
      <c r="AT248" s="6"/>
      <c r="AV248" s="6"/>
      <c r="AW248" s="6"/>
      <c r="BD248" s="6"/>
    </row>
    <row r="249" ht="23.25" customHeight="1">
      <c r="A249" s="6"/>
      <c r="B249" s="6"/>
      <c r="C249" s="6"/>
      <c r="D249" s="6"/>
      <c r="E249" s="6"/>
      <c r="I249" s="6"/>
      <c r="K249" s="6"/>
      <c r="W249" s="6"/>
      <c r="Z249" s="32"/>
      <c r="AB249" s="6"/>
      <c r="AC249" s="6"/>
      <c r="AD249" s="6"/>
      <c r="AF249" s="6"/>
      <c r="AK249" s="6"/>
      <c r="AL249" s="6"/>
      <c r="AT249" s="6"/>
      <c r="AV249" s="6"/>
      <c r="AW249" s="6"/>
      <c r="BD249" s="6"/>
    </row>
    <row r="250" ht="23.25" customHeight="1">
      <c r="A250" s="6"/>
      <c r="B250" s="6"/>
      <c r="C250" s="6"/>
      <c r="D250" s="6"/>
      <c r="E250" s="6"/>
      <c r="I250" s="6"/>
      <c r="K250" s="6"/>
      <c r="W250" s="6"/>
      <c r="Z250" s="32"/>
      <c r="AB250" s="6"/>
      <c r="AC250" s="6"/>
      <c r="AD250" s="6"/>
      <c r="AF250" s="6"/>
      <c r="AK250" s="6"/>
      <c r="AL250" s="6"/>
      <c r="AT250" s="6"/>
      <c r="AV250" s="6"/>
      <c r="AW250" s="6"/>
      <c r="BD250" s="6"/>
    </row>
    <row r="251" ht="15.0" customHeight="1">
      <c r="A251" s="6"/>
      <c r="B251" s="6"/>
      <c r="C251" s="6"/>
      <c r="D251" s="6"/>
      <c r="E251" s="6"/>
      <c r="I251" s="6"/>
      <c r="K251" s="6"/>
      <c r="W251" s="6"/>
      <c r="Z251" s="32"/>
      <c r="AB251" s="6"/>
      <c r="AC251" s="6"/>
      <c r="AD251" s="6"/>
      <c r="AF251" s="6"/>
      <c r="AK251" s="6"/>
      <c r="AL251" s="6"/>
      <c r="AT251" s="6"/>
      <c r="AV251" s="6"/>
      <c r="AW251" s="6"/>
      <c r="BD251" s="6"/>
    </row>
    <row r="252" ht="15.0" customHeight="1">
      <c r="A252" s="6"/>
      <c r="B252" s="6"/>
      <c r="C252" s="6"/>
      <c r="D252" s="6"/>
      <c r="E252" s="6"/>
      <c r="I252" s="6"/>
      <c r="K252" s="6"/>
      <c r="W252" s="6"/>
      <c r="Z252" s="32"/>
      <c r="AB252" s="6"/>
      <c r="AC252" s="6"/>
      <c r="AD252" s="6"/>
      <c r="AF252" s="6"/>
      <c r="AK252" s="6"/>
      <c r="AL252" s="6"/>
      <c r="AT252" s="6"/>
      <c r="AV252" s="6"/>
      <c r="AW252" s="6"/>
      <c r="BD252" s="6"/>
    </row>
    <row r="253" ht="15.0" customHeight="1">
      <c r="A253" s="6"/>
      <c r="B253" s="6"/>
      <c r="C253" s="6"/>
      <c r="D253" s="6"/>
      <c r="E253" s="6"/>
      <c r="I253" s="6"/>
      <c r="K253" s="6"/>
      <c r="W253" s="6"/>
      <c r="Z253" s="32"/>
      <c r="AB253" s="6"/>
      <c r="AC253" s="6"/>
      <c r="AD253" s="6"/>
      <c r="AF253" s="6"/>
      <c r="AK253" s="6"/>
      <c r="AL253" s="6"/>
      <c r="AT253" s="6"/>
      <c r="AV253" s="6"/>
      <c r="AW253" s="6"/>
      <c r="BD253" s="6"/>
    </row>
    <row r="254" ht="15.0" customHeight="1">
      <c r="A254" s="6"/>
      <c r="B254" s="6"/>
      <c r="C254" s="6"/>
      <c r="D254" s="6"/>
      <c r="E254" s="6"/>
      <c r="I254" s="6"/>
      <c r="K254" s="6"/>
      <c r="W254" s="6"/>
      <c r="Z254" s="32"/>
      <c r="AB254" s="6"/>
      <c r="AC254" s="6"/>
      <c r="AD254" s="6"/>
      <c r="AF254" s="6"/>
      <c r="AK254" s="6"/>
      <c r="AL254" s="6"/>
      <c r="AT254" s="6"/>
      <c r="AV254" s="6"/>
      <c r="AW254" s="6"/>
      <c r="BD254" s="6"/>
    </row>
    <row r="255" ht="23.25" customHeight="1">
      <c r="A255" s="6"/>
      <c r="B255" s="6"/>
      <c r="C255" s="6"/>
      <c r="D255" s="6"/>
      <c r="E255" s="6"/>
      <c r="I255" s="6"/>
      <c r="K255" s="6"/>
      <c r="W255" s="6"/>
      <c r="Z255" s="32"/>
      <c r="AB255" s="6"/>
      <c r="AC255" s="6"/>
      <c r="AD255" s="6"/>
      <c r="AF255" s="6"/>
      <c r="AK255" s="6"/>
      <c r="AL255" s="6"/>
      <c r="AT255" s="6"/>
      <c r="AV255" s="6"/>
      <c r="AW255" s="6"/>
      <c r="BD255" s="6"/>
    </row>
    <row r="256" ht="15.0" customHeight="1">
      <c r="A256" s="6"/>
      <c r="B256" s="6"/>
      <c r="C256" s="6"/>
      <c r="D256" s="6"/>
      <c r="E256" s="6"/>
      <c r="I256" s="6"/>
      <c r="K256" s="6"/>
      <c r="W256" s="6"/>
      <c r="Z256" s="32"/>
      <c r="AB256" s="6"/>
      <c r="AC256" s="6"/>
      <c r="AD256" s="6"/>
      <c r="AF256" s="6"/>
      <c r="AK256" s="6"/>
      <c r="AL256" s="6"/>
      <c r="AT256" s="6"/>
      <c r="AV256" s="6"/>
      <c r="AW256" s="6"/>
      <c r="BD256" s="6"/>
    </row>
    <row r="257" ht="79.5" customHeight="1">
      <c r="A257" s="6"/>
      <c r="B257" s="6"/>
      <c r="C257" s="6"/>
      <c r="D257" s="6"/>
      <c r="E257" s="6"/>
      <c r="I257" s="6"/>
      <c r="K257" s="6"/>
      <c r="W257" s="6"/>
      <c r="Z257" s="32"/>
      <c r="AB257" s="6"/>
      <c r="AC257" s="6"/>
      <c r="AD257" s="6"/>
      <c r="AF257" s="6"/>
      <c r="AK257" s="6"/>
      <c r="AL257" s="6"/>
      <c r="AT257" s="6"/>
      <c r="AV257" s="6"/>
      <c r="AW257" s="6"/>
      <c r="BD257" s="6"/>
    </row>
    <row r="258" ht="102.0" customHeight="1">
      <c r="A258" s="6"/>
      <c r="B258" s="6"/>
      <c r="C258" s="6"/>
      <c r="D258" s="6"/>
      <c r="E258" s="6"/>
      <c r="I258" s="6"/>
      <c r="K258" s="6"/>
      <c r="W258" s="6"/>
      <c r="Z258" s="32"/>
      <c r="AB258" s="6"/>
      <c r="AC258" s="6"/>
      <c r="AD258" s="6"/>
      <c r="AF258" s="6"/>
      <c r="AK258" s="6"/>
      <c r="AL258" s="6"/>
      <c r="AT258" s="6"/>
      <c r="AV258" s="6"/>
      <c r="AW258" s="6"/>
      <c r="BD258" s="6"/>
    </row>
    <row r="259" ht="23.25" customHeight="1">
      <c r="A259" s="6"/>
      <c r="B259" s="6"/>
      <c r="C259" s="6"/>
      <c r="D259" s="6"/>
      <c r="E259" s="6"/>
      <c r="I259" s="6"/>
      <c r="K259" s="6"/>
      <c r="W259" s="6"/>
      <c r="Z259" s="32"/>
      <c r="AB259" s="6"/>
      <c r="AC259" s="6"/>
      <c r="AD259" s="6"/>
      <c r="AF259" s="6"/>
      <c r="AK259" s="6"/>
      <c r="AL259" s="6"/>
      <c r="AT259" s="6"/>
      <c r="AV259" s="6"/>
      <c r="AW259" s="6"/>
      <c r="BD259" s="6"/>
    </row>
    <row r="260" ht="15.0" customHeight="1">
      <c r="A260" s="6"/>
      <c r="B260" s="6"/>
      <c r="C260" s="6"/>
      <c r="D260" s="6"/>
      <c r="E260" s="6"/>
      <c r="I260" s="6"/>
      <c r="K260" s="6"/>
      <c r="W260" s="6"/>
      <c r="Z260" s="32"/>
      <c r="AB260" s="6"/>
      <c r="AC260" s="6"/>
      <c r="AD260" s="6"/>
      <c r="AF260" s="6"/>
      <c r="AK260" s="6"/>
      <c r="AL260" s="6"/>
      <c r="AT260" s="6"/>
      <c r="AV260" s="6"/>
      <c r="AW260" s="6"/>
      <c r="BD260" s="6"/>
    </row>
    <row r="261" ht="15.0" customHeight="1">
      <c r="A261" s="6"/>
      <c r="B261" s="6"/>
      <c r="C261" s="6"/>
      <c r="D261" s="6"/>
      <c r="E261" s="6"/>
      <c r="I261" s="6"/>
      <c r="K261" s="6"/>
      <c r="W261" s="6"/>
      <c r="Z261" s="32"/>
      <c r="AB261" s="6"/>
      <c r="AC261" s="6"/>
      <c r="AD261" s="6"/>
      <c r="AF261" s="6"/>
      <c r="AK261" s="6"/>
      <c r="AL261" s="6"/>
      <c r="AT261" s="6"/>
      <c r="AV261" s="6"/>
      <c r="AW261" s="6"/>
      <c r="BD261" s="6"/>
    </row>
    <row r="262" ht="15.0" customHeight="1">
      <c r="A262" s="6"/>
      <c r="B262" s="6"/>
      <c r="C262" s="6"/>
      <c r="D262" s="6"/>
      <c r="E262" s="6"/>
      <c r="I262" s="6"/>
      <c r="K262" s="6"/>
      <c r="W262" s="6"/>
      <c r="Z262" s="32"/>
      <c r="AB262" s="6"/>
      <c r="AC262" s="6"/>
      <c r="AD262" s="6"/>
      <c r="AF262" s="6"/>
      <c r="AK262" s="6"/>
      <c r="AL262" s="6"/>
      <c r="AT262" s="6"/>
      <c r="AV262" s="6"/>
      <c r="AW262" s="6"/>
      <c r="BD262" s="6"/>
    </row>
    <row r="263" ht="15.0" customHeight="1">
      <c r="A263" s="6"/>
      <c r="B263" s="6"/>
      <c r="C263" s="6"/>
      <c r="D263" s="6"/>
      <c r="E263" s="6"/>
      <c r="I263" s="6"/>
      <c r="K263" s="6"/>
      <c r="W263" s="6"/>
      <c r="Z263" s="32"/>
      <c r="AB263" s="6"/>
      <c r="AC263" s="6"/>
      <c r="AD263" s="6"/>
      <c r="AF263" s="6"/>
      <c r="AK263" s="6"/>
      <c r="AL263" s="6"/>
      <c r="AT263" s="6"/>
      <c r="AV263" s="6"/>
      <c r="AW263" s="6"/>
      <c r="BD263" s="6"/>
    </row>
    <row r="264" ht="15.0" customHeight="1">
      <c r="A264" s="6"/>
      <c r="B264" s="6"/>
      <c r="C264" s="6"/>
      <c r="D264" s="6"/>
      <c r="E264" s="6"/>
      <c r="I264" s="6"/>
      <c r="K264" s="6"/>
      <c r="W264" s="6"/>
      <c r="Z264" s="32"/>
      <c r="AB264" s="6"/>
      <c r="AC264" s="6"/>
      <c r="AD264" s="6"/>
      <c r="AF264" s="6"/>
      <c r="AK264" s="6"/>
      <c r="AL264" s="6"/>
      <c r="AT264" s="6"/>
      <c r="AV264" s="6"/>
      <c r="AW264" s="6"/>
      <c r="BD264" s="6"/>
    </row>
    <row r="265" ht="15.0" customHeight="1">
      <c r="A265" s="6"/>
      <c r="B265" s="6"/>
      <c r="C265" s="6"/>
      <c r="D265" s="6"/>
      <c r="E265" s="6"/>
      <c r="I265" s="6"/>
      <c r="K265" s="6"/>
      <c r="W265" s="6"/>
      <c r="Z265" s="32"/>
      <c r="AB265" s="6"/>
      <c r="AC265" s="6"/>
      <c r="AD265" s="6"/>
      <c r="AF265" s="6"/>
      <c r="AK265" s="6"/>
      <c r="AL265" s="6"/>
      <c r="AT265" s="6"/>
      <c r="AV265" s="6"/>
      <c r="AW265" s="6"/>
      <c r="BD265" s="6"/>
    </row>
    <row r="266" ht="15.0" customHeight="1">
      <c r="A266" s="6"/>
      <c r="B266" s="6"/>
      <c r="C266" s="6"/>
      <c r="D266" s="6"/>
      <c r="E266" s="6"/>
      <c r="I266" s="6"/>
      <c r="K266" s="6"/>
      <c r="W266" s="6"/>
      <c r="Z266" s="32"/>
      <c r="AB266" s="6"/>
      <c r="AC266" s="6"/>
      <c r="AD266" s="6"/>
      <c r="AF266" s="6"/>
      <c r="AK266" s="6"/>
      <c r="AL266" s="6"/>
      <c r="AT266" s="6"/>
      <c r="AV266" s="6"/>
      <c r="AW266" s="6"/>
      <c r="BD266" s="6"/>
    </row>
    <row r="267" ht="15.0" customHeight="1">
      <c r="A267" s="6"/>
      <c r="B267" s="6"/>
      <c r="C267" s="6"/>
      <c r="D267" s="6"/>
      <c r="E267" s="6"/>
      <c r="I267" s="6"/>
      <c r="K267" s="6"/>
      <c r="W267" s="6"/>
      <c r="Z267" s="32"/>
      <c r="AB267" s="6"/>
      <c r="AC267" s="6"/>
      <c r="AD267" s="6"/>
      <c r="AF267" s="6"/>
      <c r="AK267" s="6"/>
      <c r="AL267" s="6"/>
      <c r="AT267" s="6"/>
      <c r="AV267" s="6"/>
      <c r="AW267" s="6"/>
      <c r="BD267" s="6"/>
    </row>
    <row r="268" ht="15.0" customHeight="1">
      <c r="A268" s="6"/>
      <c r="B268" s="6"/>
      <c r="C268" s="6"/>
      <c r="D268" s="6"/>
      <c r="E268" s="6"/>
      <c r="I268" s="6"/>
      <c r="K268" s="6"/>
      <c r="W268" s="6"/>
      <c r="Z268" s="32"/>
      <c r="AB268" s="6"/>
      <c r="AC268" s="6"/>
      <c r="AD268" s="6"/>
      <c r="AF268" s="6"/>
      <c r="AK268" s="6"/>
      <c r="AL268" s="6"/>
      <c r="AT268" s="6"/>
      <c r="AV268" s="6"/>
      <c r="AW268" s="6"/>
      <c r="BD268" s="6"/>
    </row>
    <row r="269" ht="113.25" customHeight="1">
      <c r="A269" s="6"/>
      <c r="B269" s="6"/>
      <c r="C269" s="6"/>
      <c r="D269" s="6"/>
      <c r="E269" s="6"/>
      <c r="I269" s="6"/>
      <c r="K269" s="6"/>
      <c r="W269" s="6"/>
      <c r="Z269" s="32"/>
      <c r="AB269" s="6"/>
      <c r="AC269" s="6"/>
      <c r="AD269" s="6"/>
      <c r="AF269" s="6"/>
      <c r="AK269" s="6"/>
      <c r="AL269" s="6"/>
      <c r="AT269" s="6"/>
      <c r="AV269" s="6"/>
      <c r="AW269" s="6"/>
      <c r="BD269" s="6"/>
    </row>
    <row r="270" ht="15.0" customHeight="1">
      <c r="A270" s="6"/>
      <c r="B270" s="6"/>
      <c r="C270" s="6"/>
      <c r="D270" s="6"/>
      <c r="E270" s="6"/>
      <c r="I270" s="6"/>
      <c r="K270" s="6"/>
      <c r="W270" s="6"/>
      <c r="Z270" s="32"/>
      <c r="AB270" s="6"/>
      <c r="AC270" s="6"/>
      <c r="AD270" s="6"/>
      <c r="AF270" s="6"/>
      <c r="AK270" s="6"/>
      <c r="AL270" s="6"/>
      <c r="AT270" s="6"/>
      <c r="AV270" s="6"/>
      <c r="AW270" s="6"/>
      <c r="BD270" s="6"/>
    </row>
    <row r="271" ht="15.0" customHeight="1">
      <c r="A271" s="6"/>
      <c r="B271" s="6"/>
      <c r="C271" s="6"/>
      <c r="D271" s="6"/>
      <c r="E271" s="6"/>
      <c r="I271" s="6"/>
      <c r="K271" s="6"/>
      <c r="W271" s="6"/>
      <c r="Z271" s="32"/>
      <c r="AB271" s="6"/>
      <c r="AC271" s="6"/>
      <c r="AD271" s="6"/>
      <c r="AF271" s="6"/>
      <c r="AK271" s="6"/>
      <c r="AL271" s="6"/>
      <c r="AT271" s="6"/>
      <c r="AV271" s="6"/>
      <c r="AW271" s="6"/>
      <c r="BD271" s="6"/>
    </row>
    <row r="272" ht="15.0" customHeight="1">
      <c r="A272" s="6"/>
      <c r="B272" s="6"/>
      <c r="C272" s="6"/>
      <c r="D272" s="6"/>
      <c r="E272" s="6"/>
      <c r="I272" s="6"/>
      <c r="K272" s="6"/>
      <c r="W272" s="6"/>
      <c r="Z272" s="32"/>
      <c r="AB272" s="6"/>
      <c r="AC272" s="6"/>
      <c r="AD272" s="6"/>
      <c r="AF272" s="6"/>
      <c r="AK272" s="6"/>
      <c r="AL272" s="6"/>
      <c r="AT272" s="6"/>
      <c r="AV272" s="6"/>
      <c r="AW272" s="6"/>
      <c r="BD272" s="6"/>
    </row>
    <row r="273" ht="102.0" customHeight="1">
      <c r="A273" s="6"/>
      <c r="B273" s="6"/>
      <c r="C273" s="6"/>
      <c r="D273" s="6"/>
      <c r="E273" s="6"/>
      <c r="I273" s="6"/>
      <c r="K273" s="6"/>
      <c r="W273" s="6"/>
      <c r="Z273" s="32"/>
      <c r="AB273" s="6"/>
      <c r="AC273" s="6"/>
      <c r="AD273" s="6"/>
      <c r="AF273" s="6"/>
      <c r="AK273" s="6"/>
      <c r="AL273" s="6"/>
      <c r="AT273" s="6"/>
      <c r="AV273" s="6"/>
      <c r="AW273" s="6"/>
      <c r="BD273" s="6"/>
    </row>
    <row r="274" ht="113.25" customHeight="1">
      <c r="A274" s="6"/>
      <c r="B274" s="6"/>
      <c r="C274" s="6"/>
      <c r="D274" s="6"/>
      <c r="E274" s="6"/>
      <c r="I274" s="6"/>
      <c r="K274" s="6"/>
      <c r="W274" s="6"/>
      <c r="Z274" s="32"/>
      <c r="AB274" s="6"/>
      <c r="AC274" s="6"/>
      <c r="AD274" s="6"/>
      <c r="AF274" s="6"/>
      <c r="AK274" s="6"/>
      <c r="AL274" s="6"/>
      <c r="AT274" s="6"/>
      <c r="AV274" s="6"/>
      <c r="AW274" s="6"/>
      <c r="BD274" s="6"/>
    </row>
    <row r="275" ht="102.0" customHeight="1">
      <c r="A275" s="6"/>
      <c r="B275" s="6"/>
      <c r="C275" s="6"/>
      <c r="D275" s="6"/>
      <c r="E275" s="6"/>
      <c r="I275" s="6"/>
      <c r="K275" s="6"/>
      <c r="W275" s="6"/>
      <c r="Z275" s="32"/>
      <c r="AB275" s="6"/>
      <c r="AC275" s="6"/>
      <c r="AD275" s="6"/>
      <c r="AF275" s="6"/>
      <c r="AK275" s="6"/>
      <c r="AL275" s="6"/>
      <c r="AT275" s="6"/>
      <c r="AV275" s="6"/>
      <c r="AW275" s="6"/>
      <c r="BD275" s="6"/>
    </row>
    <row r="276" ht="23.25" customHeight="1">
      <c r="A276" s="6"/>
      <c r="B276" s="6"/>
      <c r="C276" s="6"/>
      <c r="D276" s="6"/>
      <c r="E276" s="6"/>
      <c r="I276" s="6"/>
      <c r="K276" s="6"/>
      <c r="W276" s="6"/>
      <c r="Z276" s="32"/>
      <c r="AB276" s="6"/>
      <c r="AC276" s="6"/>
      <c r="AD276" s="6"/>
      <c r="AF276" s="6"/>
      <c r="AK276" s="6"/>
      <c r="AL276" s="6"/>
      <c r="AT276" s="6"/>
      <c r="AV276" s="6"/>
      <c r="AW276" s="6"/>
      <c r="BD276" s="6"/>
    </row>
    <row r="277" ht="15.0" customHeight="1">
      <c r="A277" s="6"/>
      <c r="B277" s="6"/>
      <c r="C277" s="6"/>
      <c r="D277" s="6"/>
      <c r="E277" s="6"/>
      <c r="I277" s="6"/>
      <c r="K277" s="6"/>
      <c r="W277" s="6"/>
      <c r="Z277" s="32"/>
      <c r="AB277" s="6"/>
      <c r="AC277" s="6"/>
      <c r="AD277" s="6"/>
      <c r="AF277" s="6"/>
      <c r="AK277" s="6"/>
      <c r="AL277" s="6"/>
      <c r="AT277" s="6"/>
      <c r="AV277" s="6"/>
      <c r="AW277" s="6"/>
      <c r="BD277" s="6"/>
    </row>
    <row r="278" ht="15.0" customHeight="1">
      <c r="A278" s="6"/>
      <c r="B278" s="6"/>
      <c r="C278" s="6"/>
      <c r="D278" s="6"/>
      <c r="E278" s="6"/>
      <c r="I278" s="6"/>
      <c r="K278" s="6"/>
      <c r="W278" s="6"/>
      <c r="Z278" s="32"/>
      <c r="AB278" s="6"/>
      <c r="AC278" s="6"/>
      <c r="AD278" s="6"/>
      <c r="AF278" s="6"/>
      <c r="AK278" s="6"/>
      <c r="AL278" s="6"/>
      <c r="AT278" s="6"/>
      <c r="AV278" s="6"/>
      <c r="AW278" s="6"/>
      <c r="BD278" s="6"/>
    </row>
    <row r="279" ht="15.0" customHeight="1">
      <c r="A279" s="6"/>
      <c r="B279" s="6"/>
      <c r="C279" s="6"/>
      <c r="D279" s="6"/>
      <c r="E279" s="6"/>
      <c r="I279" s="6"/>
      <c r="K279" s="6"/>
      <c r="W279" s="6"/>
      <c r="Z279" s="32"/>
      <c r="AB279" s="6"/>
      <c r="AC279" s="6"/>
      <c r="AD279" s="6"/>
      <c r="AF279" s="6"/>
      <c r="AK279" s="6"/>
      <c r="AL279" s="6"/>
      <c r="AT279" s="6"/>
      <c r="AV279" s="6"/>
      <c r="AW279" s="6"/>
      <c r="BD279" s="6"/>
    </row>
    <row r="280" ht="15.0" customHeight="1">
      <c r="A280" s="6"/>
      <c r="B280" s="6"/>
      <c r="C280" s="6"/>
      <c r="D280" s="6"/>
      <c r="E280" s="6"/>
      <c r="I280" s="6"/>
      <c r="K280" s="6"/>
      <c r="W280" s="6"/>
      <c r="Z280" s="32"/>
      <c r="AB280" s="6"/>
      <c r="AC280" s="6"/>
      <c r="AD280" s="6"/>
      <c r="AF280" s="6"/>
      <c r="AK280" s="6"/>
      <c r="AL280" s="6"/>
      <c r="AT280" s="6"/>
      <c r="AV280" s="6"/>
      <c r="AW280" s="6"/>
      <c r="BD280" s="6"/>
    </row>
    <row r="281" ht="79.5" customHeight="1">
      <c r="A281" s="6"/>
      <c r="B281" s="6"/>
      <c r="C281" s="6"/>
      <c r="D281" s="6"/>
      <c r="E281" s="6"/>
      <c r="I281" s="6"/>
      <c r="K281" s="6"/>
      <c r="W281" s="6"/>
      <c r="Z281" s="32"/>
      <c r="AB281" s="6"/>
      <c r="AC281" s="6"/>
      <c r="AD281" s="6"/>
      <c r="AF281" s="6"/>
      <c r="AK281" s="6"/>
      <c r="AL281" s="6"/>
      <c r="AT281" s="6"/>
      <c r="AV281" s="6"/>
      <c r="AW281" s="6"/>
      <c r="BD281" s="6"/>
    </row>
    <row r="282" ht="15.0" customHeight="1">
      <c r="A282" s="6"/>
      <c r="B282" s="6"/>
      <c r="C282" s="6"/>
      <c r="D282" s="6"/>
      <c r="E282" s="6"/>
      <c r="I282" s="6"/>
      <c r="K282" s="6"/>
      <c r="W282" s="6"/>
      <c r="Z282" s="32"/>
      <c r="AB282" s="6"/>
      <c r="AC282" s="6"/>
      <c r="AD282" s="6"/>
      <c r="AF282" s="6"/>
      <c r="AK282" s="6"/>
      <c r="AL282" s="6"/>
      <c r="AT282" s="6"/>
      <c r="AV282" s="6"/>
      <c r="AW282" s="6"/>
      <c r="BD282" s="6"/>
    </row>
    <row r="283" ht="113.25" customHeight="1">
      <c r="A283" s="6"/>
      <c r="B283" s="6"/>
      <c r="C283" s="6"/>
      <c r="D283" s="6"/>
      <c r="E283" s="6"/>
      <c r="I283" s="6"/>
      <c r="K283" s="6"/>
      <c r="W283" s="6"/>
      <c r="Z283" s="32"/>
      <c r="AB283" s="6"/>
      <c r="AC283" s="6"/>
      <c r="AD283" s="6"/>
      <c r="AF283" s="6"/>
      <c r="AK283" s="6"/>
      <c r="AL283" s="6"/>
      <c r="AT283" s="6"/>
      <c r="AV283" s="6"/>
      <c r="AW283" s="6"/>
      <c r="BD283" s="6"/>
    </row>
    <row r="284" ht="113.25" customHeight="1">
      <c r="A284" s="6"/>
      <c r="B284" s="6"/>
      <c r="C284" s="6"/>
      <c r="D284" s="6"/>
      <c r="E284" s="6"/>
      <c r="I284" s="6"/>
      <c r="K284" s="6"/>
      <c r="W284" s="6"/>
      <c r="Z284" s="32"/>
      <c r="AB284" s="6"/>
      <c r="AC284" s="6"/>
      <c r="AD284" s="6"/>
      <c r="AF284" s="6"/>
      <c r="AK284" s="6"/>
      <c r="AL284" s="6"/>
      <c r="AT284" s="6"/>
      <c r="AV284" s="6"/>
      <c r="AW284" s="6"/>
      <c r="BD284" s="6"/>
    </row>
    <row r="285" ht="15.0" customHeight="1">
      <c r="A285" s="6"/>
      <c r="B285" s="6"/>
      <c r="C285" s="6"/>
      <c r="D285" s="6"/>
      <c r="E285" s="6"/>
      <c r="I285" s="6"/>
      <c r="K285" s="6"/>
      <c r="W285" s="6"/>
      <c r="Z285" s="32"/>
      <c r="AB285" s="6"/>
      <c r="AC285" s="6"/>
      <c r="AD285" s="6"/>
      <c r="AF285" s="6"/>
      <c r="AK285" s="6"/>
      <c r="AL285" s="6"/>
      <c r="AT285" s="6"/>
      <c r="AV285" s="6"/>
      <c r="AW285" s="6"/>
      <c r="BD285" s="6"/>
    </row>
    <row r="286" ht="15.0" customHeight="1">
      <c r="A286" s="6"/>
      <c r="B286" s="6"/>
      <c r="C286" s="6"/>
      <c r="D286" s="6"/>
      <c r="E286" s="6"/>
      <c r="I286" s="6"/>
      <c r="K286" s="6"/>
      <c r="W286" s="6"/>
      <c r="Z286" s="32"/>
      <c r="AB286" s="6"/>
      <c r="AC286" s="6"/>
      <c r="AD286" s="6"/>
      <c r="AF286" s="6"/>
      <c r="AK286" s="6"/>
      <c r="AL286" s="6"/>
      <c r="AT286" s="6"/>
      <c r="AV286" s="6"/>
      <c r="AW286" s="6"/>
      <c r="BD286" s="6"/>
    </row>
    <row r="287" ht="57.0" customHeight="1">
      <c r="A287" s="6"/>
      <c r="B287" s="6"/>
      <c r="C287" s="6"/>
      <c r="D287" s="6"/>
      <c r="E287" s="6"/>
      <c r="I287" s="6"/>
      <c r="K287" s="6"/>
      <c r="W287" s="6"/>
      <c r="Z287" s="32"/>
      <c r="AB287" s="6"/>
      <c r="AC287" s="6"/>
      <c r="AD287" s="6"/>
      <c r="AF287" s="6"/>
      <c r="AK287" s="6"/>
      <c r="AL287" s="6"/>
      <c r="AT287" s="6"/>
      <c r="AV287" s="6"/>
      <c r="AW287" s="6"/>
      <c r="BD287" s="6"/>
    </row>
    <row r="288" ht="15.0" customHeight="1">
      <c r="A288" s="6"/>
      <c r="B288" s="6"/>
      <c r="C288" s="6"/>
      <c r="D288" s="6"/>
      <c r="E288" s="6"/>
      <c r="I288" s="6"/>
      <c r="K288" s="6"/>
      <c r="W288" s="6"/>
      <c r="Z288" s="32"/>
      <c r="AB288" s="6"/>
      <c r="AC288" s="6"/>
      <c r="AD288" s="6"/>
      <c r="AF288" s="6"/>
      <c r="AK288" s="6"/>
      <c r="AL288" s="6"/>
      <c r="AT288" s="6"/>
      <c r="AV288" s="6"/>
      <c r="AW288" s="6"/>
      <c r="BD288" s="6"/>
    </row>
    <row r="289" ht="15.0" customHeight="1">
      <c r="A289" s="6"/>
      <c r="B289" s="6"/>
      <c r="C289" s="6"/>
      <c r="D289" s="6"/>
      <c r="E289" s="6"/>
      <c r="I289" s="6"/>
      <c r="K289" s="6"/>
      <c r="W289" s="6"/>
      <c r="Z289" s="32"/>
      <c r="AB289" s="6"/>
      <c r="AC289" s="6"/>
      <c r="AD289" s="6"/>
      <c r="AF289" s="6"/>
      <c r="AK289" s="6"/>
      <c r="AL289" s="6"/>
      <c r="AT289" s="6"/>
      <c r="AV289" s="6"/>
      <c r="AW289" s="6"/>
      <c r="BD289" s="6"/>
    </row>
    <row r="290" ht="15.0" customHeight="1">
      <c r="A290" s="6"/>
      <c r="B290" s="6"/>
      <c r="C290" s="6"/>
      <c r="D290" s="6"/>
      <c r="E290" s="6"/>
      <c r="I290" s="6"/>
      <c r="K290" s="6"/>
      <c r="W290" s="6"/>
      <c r="Z290" s="32"/>
      <c r="AB290" s="6"/>
      <c r="AC290" s="6"/>
      <c r="AD290" s="6"/>
      <c r="AF290" s="6"/>
      <c r="AK290" s="6"/>
      <c r="AL290" s="6"/>
      <c r="AT290" s="6"/>
      <c r="AV290" s="6"/>
      <c r="AW290" s="6"/>
      <c r="BD290" s="6"/>
    </row>
    <row r="291" ht="102.0" customHeight="1">
      <c r="A291" s="6"/>
      <c r="B291" s="6"/>
      <c r="C291" s="6"/>
      <c r="D291" s="6"/>
      <c r="E291" s="6"/>
      <c r="I291" s="6"/>
      <c r="K291" s="6"/>
      <c r="W291" s="6"/>
      <c r="Z291" s="32"/>
      <c r="AB291" s="6"/>
      <c r="AC291" s="6"/>
      <c r="AD291" s="6"/>
      <c r="AF291" s="6"/>
      <c r="AK291" s="6"/>
      <c r="AL291" s="6"/>
      <c r="AT291" s="6"/>
      <c r="AV291" s="6"/>
      <c r="AW291" s="6"/>
      <c r="BD291" s="6"/>
    </row>
    <row r="292" ht="157.5" customHeight="1">
      <c r="A292" s="6"/>
      <c r="B292" s="6"/>
      <c r="C292" s="6"/>
      <c r="D292" s="6"/>
      <c r="E292" s="6"/>
      <c r="I292" s="6"/>
      <c r="K292" s="6"/>
      <c r="W292" s="6"/>
      <c r="Z292" s="32"/>
      <c r="AB292" s="6"/>
      <c r="AC292" s="6"/>
      <c r="AD292" s="6"/>
      <c r="AF292" s="6"/>
      <c r="AK292" s="6"/>
      <c r="AL292" s="6"/>
      <c r="AT292" s="6"/>
      <c r="AV292" s="6"/>
      <c r="AW292" s="6"/>
      <c r="BD292" s="6"/>
    </row>
    <row r="293" ht="15.0" customHeight="1">
      <c r="A293" s="6"/>
      <c r="B293" s="6"/>
      <c r="C293" s="6"/>
      <c r="D293" s="6"/>
      <c r="E293" s="6"/>
      <c r="I293" s="6"/>
      <c r="K293" s="6"/>
      <c r="W293" s="6"/>
      <c r="Z293" s="32"/>
      <c r="AB293" s="6"/>
      <c r="AC293" s="6"/>
      <c r="AD293" s="6"/>
      <c r="AF293" s="6"/>
      <c r="AK293" s="6"/>
      <c r="AL293" s="6"/>
      <c r="AT293" s="6"/>
      <c r="AV293" s="6"/>
      <c r="AW293" s="6"/>
      <c r="BD293" s="6"/>
    </row>
    <row r="294" ht="79.5" customHeight="1">
      <c r="A294" s="6"/>
      <c r="B294" s="6"/>
      <c r="C294" s="6"/>
      <c r="D294" s="6"/>
      <c r="E294" s="6"/>
      <c r="I294" s="6"/>
      <c r="K294" s="6"/>
      <c r="W294" s="6"/>
      <c r="Z294" s="32"/>
      <c r="AB294" s="6"/>
      <c r="AC294" s="6"/>
      <c r="AD294" s="6"/>
      <c r="AF294" s="6"/>
      <c r="AK294" s="6"/>
      <c r="AL294" s="6"/>
      <c r="AT294" s="6"/>
      <c r="AV294" s="6"/>
      <c r="AW294" s="6"/>
      <c r="BD294" s="6"/>
    </row>
    <row r="295" ht="15.0" customHeight="1">
      <c r="A295" s="6"/>
      <c r="B295" s="6"/>
      <c r="C295" s="6"/>
      <c r="D295" s="6"/>
      <c r="E295" s="6"/>
      <c r="I295" s="6"/>
      <c r="K295" s="6"/>
      <c r="W295" s="6"/>
      <c r="Z295" s="32"/>
      <c r="AB295" s="6"/>
      <c r="AC295" s="6"/>
      <c r="AD295" s="6"/>
      <c r="AF295" s="6"/>
      <c r="AK295" s="6"/>
      <c r="AL295" s="6"/>
      <c r="AT295" s="6"/>
      <c r="AV295" s="6"/>
      <c r="AW295" s="6"/>
      <c r="BD295" s="6"/>
    </row>
    <row r="296" ht="90.75" customHeight="1">
      <c r="A296" s="6"/>
      <c r="B296" s="6"/>
      <c r="C296" s="6"/>
      <c r="D296" s="6"/>
      <c r="E296" s="6"/>
      <c r="I296" s="6"/>
      <c r="K296" s="6"/>
      <c r="W296" s="6"/>
      <c r="Z296" s="32"/>
      <c r="AB296" s="6"/>
      <c r="AC296" s="6"/>
      <c r="AD296" s="6"/>
      <c r="AF296" s="6"/>
      <c r="AK296" s="6"/>
      <c r="AL296" s="6"/>
      <c r="AT296" s="6"/>
      <c r="AV296" s="6"/>
      <c r="AW296" s="6"/>
      <c r="BD296" s="6"/>
    </row>
    <row r="297" ht="23.25" customHeight="1">
      <c r="A297" s="6"/>
      <c r="B297" s="6"/>
      <c r="C297" s="6"/>
      <c r="D297" s="6"/>
      <c r="E297" s="6"/>
      <c r="I297" s="6"/>
      <c r="K297" s="6"/>
      <c r="W297" s="6"/>
      <c r="Z297" s="32"/>
      <c r="AB297" s="6"/>
      <c r="AC297" s="6"/>
      <c r="AD297" s="6"/>
      <c r="AF297" s="6"/>
      <c r="AK297" s="6"/>
      <c r="AL297" s="6"/>
      <c r="AT297" s="6"/>
      <c r="AV297" s="6"/>
      <c r="AW297" s="6"/>
      <c r="BD297" s="6"/>
    </row>
    <row r="298" ht="15.0" customHeight="1">
      <c r="A298" s="6"/>
      <c r="B298" s="6"/>
      <c r="C298" s="6"/>
      <c r="D298" s="6"/>
      <c r="E298" s="6"/>
      <c r="I298" s="6"/>
      <c r="K298" s="6"/>
      <c r="W298" s="6"/>
      <c r="Z298" s="32"/>
      <c r="AB298" s="6"/>
      <c r="AC298" s="6"/>
      <c r="AD298" s="6"/>
      <c r="AF298" s="6"/>
      <c r="AK298" s="6"/>
      <c r="AL298" s="6"/>
      <c r="AT298" s="6"/>
      <c r="AV298" s="6"/>
      <c r="AW298" s="6"/>
      <c r="BD298" s="6"/>
    </row>
    <row r="299" ht="102.0" customHeight="1">
      <c r="A299" s="6"/>
      <c r="B299" s="6"/>
      <c r="C299" s="6"/>
      <c r="D299" s="6"/>
      <c r="E299" s="6"/>
      <c r="I299" s="6"/>
      <c r="K299" s="6"/>
      <c r="W299" s="6"/>
      <c r="Z299" s="32"/>
      <c r="AB299" s="6"/>
      <c r="AC299" s="6"/>
      <c r="AD299" s="6"/>
      <c r="AF299" s="6"/>
      <c r="AK299" s="6"/>
      <c r="AL299" s="6"/>
      <c r="AT299" s="6"/>
      <c r="AV299" s="6"/>
      <c r="AW299" s="6"/>
      <c r="BD299" s="6"/>
    </row>
    <row r="300" ht="113.25" customHeight="1">
      <c r="A300" s="6"/>
      <c r="B300" s="6"/>
      <c r="C300" s="6"/>
      <c r="D300" s="6"/>
      <c r="E300" s="6"/>
      <c r="I300" s="6"/>
      <c r="K300" s="6"/>
      <c r="W300" s="6"/>
      <c r="Z300" s="32"/>
      <c r="AB300" s="6"/>
      <c r="AC300" s="6"/>
      <c r="AD300" s="6"/>
      <c r="AF300" s="6"/>
      <c r="AK300" s="6"/>
      <c r="AL300" s="6"/>
      <c r="AT300" s="6"/>
      <c r="AV300" s="6"/>
      <c r="AW300" s="6"/>
      <c r="BD300" s="6"/>
    </row>
    <row r="301" ht="15.0" customHeight="1">
      <c r="A301" s="6"/>
      <c r="B301" s="6"/>
      <c r="C301" s="6"/>
      <c r="D301" s="6"/>
      <c r="E301" s="6"/>
      <c r="I301" s="6"/>
      <c r="K301" s="6"/>
      <c r="W301" s="6"/>
      <c r="Z301" s="32"/>
      <c r="AB301" s="6"/>
      <c r="AC301" s="6"/>
      <c r="AD301" s="6"/>
      <c r="AF301" s="6"/>
      <c r="AK301" s="6"/>
      <c r="AL301" s="6"/>
      <c r="AT301" s="6"/>
      <c r="AV301" s="6"/>
      <c r="AW301" s="6"/>
      <c r="BD301" s="6"/>
    </row>
    <row r="302" ht="113.25" customHeight="1">
      <c r="A302" s="6"/>
      <c r="B302" s="6"/>
      <c r="C302" s="6"/>
      <c r="D302" s="6"/>
      <c r="E302" s="6"/>
      <c r="I302" s="6"/>
      <c r="K302" s="6"/>
      <c r="W302" s="6"/>
      <c r="Z302" s="32"/>
      <c r="AB302" s="6"/>
      <c r="AC302" s="6"/>
      <c r="AD302" s="6"/>
      <c r="AF302" s="6"/>
      <c r="AK302" s="6"/>
      <c r="AL302" s="6"/>
      <c r="AT302" s="6"/>
      <c r="AV302" s="6"/>
      <c r="AW302" s="6"/>
      <c r="BD302" s="6"/>
    </row>
    <row r="303" ht="15.0" customHeight="1">
      <c r="A303" s="6"/>
      <c r="B303" s="6"/>
      <c r="C303" s="6"/>
      <c r="D303" s="6"/>
      <c r="E303" s="6"/>
      <c r="I303" s="6"/>
      <c r="K303" s="6"/>
      <c r="W303" s="6"/>
      <c r="Z303" s="32"/>
      <c r="AB303" s="6"/>
      <c r="AC303" s="6"/>
      <c r="AD303" s="6"/>
      <c r="AF303" s="6"/>
      <c r="AK303" s="6"/>
      <c r="AL303" s="6"/>
      <c r="AT303" s="6"/>
      <c r="AV303" s="6"/>
      <c r="AW303" s="6"/>
      <c r="BD303" s="6"/>
    </row>
    <row r="304" ht="15.0" customHeight="1">
      <c r="A304" s="6"/>
      <c r="B304" s="6"/>
      <c r="C304" s="6"/>
      <c r="D304" s="6"/>
      <c r="E304" s="6"/>
      <c r="I304" s="6"/>
      <c r="K304" s="6"/>
      <c r="W304" s="6"/>
      <c r="Z304" s="32"/>
      <c r="AB304" s="6"/>
      <c r="AC304" s="6"/>
      <c r="AD304" s="6"/>
      <c r="AF304" s="6"/>
      <c r="AK304" s="6"/>
      <c r="AL304" s="6"/>
      <c r="AT304" s="6"/>
      <c r="AV304" s="6"/>
      <c r="AW304" s="6"/>
      <c r="BD304" s="6"/>
    </row>
    <row r="305" ht="15.0" customHeight="1">
      <c r="A305" s="6"/>
      <c r="B305" s="6"/>
      <c r="C305" s="6"/>
      <c r="D305" s="6"/>
      <c r="E305" s="6"/>
      <c r="I305" s="6"/>
      <c r="K305" s="6"/>
      <c r="W305" s="6"/>
      <c r="Z305" s="32"/>
      <c r="AB305" s="6"/>
      <c r="AC305" s="6"/>
      <c r="AD305" s="6"/>
      <c r="AF305" s="6"/>
      <c r="AK305" s="6"/>
      <c r="AL305" s="6"/>
      <c r="AT305" s="6"/>
      <c r="AV305" s="6"/>
      <c r="AW305" s="6"/>
      <c r="BD305" s="6"/>
    </row>
    <row r="306" ht="15.0" customHeight="1">
      <c r="A306" s="6"/>
      <c r="B306" s="6"/>
      <c r="C306" s="6"/>
      <c r="D306" s="6"/>
      <c r="E306" s="6"/>
      <c r="I306" s="6"/>
      <c r="K306" s="6"/>
      <c r="W306" s="6"/>
      <c r="Z306" s="32"/>
      <c r="AB306" s="6"/>
      <c r="AC306" s="6"/>
      <c r="AD306" s="6"/>
      <c r="AF306" s="6"/>
      <c r="AK306" s="6"/>
      <c r="AL306" s="6"/>
      <c r="AT306" s="6"/>
      <c r="AV306" s="6"/>
      <c r="AW306" s="6"/>
      <c r="BD306" s="6"/>
    </row>
    <row r="307" ht="15.0" customHeight="1">
      <c r="A307" s="6"/>
      <c r="B307" s="6"/>
      <c r="C307" s="6"/>
      <c r="D307" s="6"/>
      <c r="E307" s="6"/>
      <c r="I307" s="6"/>
      <c r="K307" s="6"/>
      <c r="W307" s="6"/>
      <c r="Z307" s="32"/>
      <c r="AB307" s="6"/>
      <c r="AC307" s="6"/>
      <c r="AD307" s="6"/>
      <c r="AF307" s="6"/>
      <c r="AK307" s="6"/>
      <c r="AL307" s="6"/>
      <c r="AT307" s="6"/>
      <c r="AV307" s="6"/>
      <c r="AW307" s="6"/>
      <c r="BD307" s="6"/>
    </row>
    <row r="308" ht="15.0" customHeight="1">
      <c r="A308" s="6"/>
      <c r="B308" s="6"/>
      <c r="C308" s="6"/>
      <c r="D308" s="6"/>
      <c r="E308" s="6"/>
      <c r="I308" s="6"/>
      <c r="K308" s="6"/>
      <c r="W308" s="6"/>
      <c r="Z308" s="32"/>
      <c r="AB308" s="6"/>
      <c r="AC308" s="6"/>
      <c r="AD308" s="6"/>
      <c r="AF308" s="6"/>
      <c r="AK308" s="6"/>
      <c r="AL308" s="6"/>
      <c r="AT308" s="6"/>
      <c r="AV308" s="6"/>
      <c r="AW308" s="6"/>
      <c r="BD308" s="6"/>
    </row>
    <row r="309" ht="15.0" customHeight="1">
      <c r="A309" s="6"/>
      <c r="B309" s="6"/>
      <c r="C309" s="6"/>
      <c r="D309" s="6"/>
      <c r="E309" s="6"/>
      <c r="I309" s="6"/>
      <c r="K309" s="6"/>
      <c r="W309" s="6"/>
      <c r="Z309" s="32"/>
      <c r="AB309" s="6"/>
      <c r="AC309" s="6"/>
      <c r="AD309" s="6"/>
      <c r="AF309" s="6"/>
      <c r="AK309" s="6"/>
      <c r="AL309" s="6"/>
      <c r="AT309" s="6"/>
      <c r="AV309" s="6"/>
      <c r="AW309" s="6"/>
      <c r="BD309" s="6"/>
    </row>
    <row r="310" ht="314.25" customHeight="1">
      <c r="A310" s="6"/>
      <c r="B310" s="6"/>
      <c r="C310" s="6"/>
      <c r="D310" s="6"/>
      <c r="E310" s="6"/>
      <c r="I310" s="6"/>
      <c r="K310" s="6"/>
      <c r="W310" s="6"/>
      <c r="Z310" s="32"/>
      <c r="AB310" s="6"/>
      <c r="AC310" s="6"/>
      <c r="AD310" s="6"/>
      <c r="AF310" s="6"/>
      <c r="AK310" s="6"/>
      <c r="AL310" s="6"/>
      <c r="AT310" s="6"/>
      <c r="AV310" s="6"/>
      <c r="AW310" s="6"/>
      <c r="BD310" s="6"/>
    </row>
    <row r="311" ht="15.0" customHeight="1">
      <c r="A311" s="6"/>
      <c r="B311" s="6"/>
      <c r="C311" s="6"/>
      <c r="D311" s="6"/>
      <c r="E311" s="6"/>
      <c r="I311" s="6"/>
      <c r="K311" s="6"/>
      <c r="W311" s="6"/>
      <c r="Z311" s="32"/>
      <c r="AB311" s="6"/>
      <c r="AC311" s="6"/>
      <c r="AD311" s="6"/>
      <c r="AF311" s="6"/>
      <c r="AK311" s="6"/>
      <c r="AL311" s="6"/>
      <c r="AT311" s="6"/>
      <c r="AV311" s="6"/>
      <c r="AW311" s="6"/>
      <c r="BD311" s="6"/>
    </row>
    <row r="312" ht="15.0" customHeight="1">
      <c r="A312" s="6"/>
      <c r="B312" s="6"/>
      <c r="C312" s="6"/>
      <c r="D312" s="6"/>
      <c r="E312" s="6"/>
      <c r="I312" s="6"/>
      <c r="K312" s="6"/>
      <c r="W312" s="6"/>
      <c r="Z312" s="32"/>
      <c r="AB312" s="6"/>
      <c r="AC312" s="6"/>
      <c r="AD312" s="6"/>
      <c r="AF312" s="6"/>
      <c r="AK312" s="6"/>
      <c r="AL312" s="6"/>
      <c r="AT312" s="6"/>
      <c r="AV312" s="6"/>
      <c r="AW312" s="6"/>
      <c r="BD312" s="6"/>
    </row>
    <row r="313" ht="90.75" customHeight="1">
      <c r="A313" s="6"/>
      <c r="B313" s="6"/>
      <c r="C313" s="6"/>
      <c r="D313" s="6"/>
      <c r="E313" s="6"/>
      <c r="I313" s="6"/>
      <c r="K313" s="6"/>
      <c r="W313" s="6"/>
      <c r="Z313" s="32"/>
      <c r="AB313" s="6"/>
      <c r="AC313" s="6"/>
      <c r="AD313" s="6"/>
      <c r="AF313" s="6"/>
      <c r="AK313" s="6"/>
      <c r="AL313" s="6"/>
      <c r="AT313" s="6"/>
      <c r="AV313" s="6"/>
      <c r="AW313" s="6"/>
      <c r="BD313" s="6"/>
    </row>
    <row r="314" ht="15.0" customHeight="1">
      <c r="A314" s="6"/>
      <c r="B314" s="6"/>
      <c r="C314" s="6"/>
      <c r="D314" s="6"/>
      <c r="E314" s="6"/>
      <c r="I314" s="6"/>
      <c r="K314" s="6"/>
      <c r="W314" s="6"/>
      <c r="Z314" s="32"/>
      <c r="AB314" s="6"/>
      <c r="AC314" s="6"/>
      <c r="AD314" s="6"/>
      <c r="AF314" s="6"/>
      <c r="AK314" s="6"/>
      <c r="AL314" s="6"/>
      <c r="AT314" s="6"/>
      <c r="AV314" s="6"/>
      <c r="AW314" s="6"/>
      <c r="BD314" s="6"/>
    </row>
    <row r="315" ht="15.0" customHeight="1">
      <c r="A315" s="6"/>
      <c r="B315" s="6"/>
      <c r="C315" s="6"/>
      <c r="D315" s="6"/>
      <c r="E315" s="6"/>
      <c r="I315" s="6"/>
      <c r="K315" s="6"/>
      <c r="W315" s="6"/>
      <c r="Z315" s="32"/>
      <c r="AB315" s="6"/>
      <c r="AC315" s="6"/>
      <c r="AD315" s="6"/>
      <c r="AF315" s="6"/>
      <c r="AK315" s="6"/>
      <c r="AL315" s="6"/>
      <c r="AT315" s="6"/>
      <c r="AV315" s="6"/>
      <c r="AW315" s="6"/>
      <c r="BD315" s="6"/>
    </row>
    <row r="316" ht="102.0" customHeight="1">
      <c r="A316" s="6"/>
      <c r="B316" s="6"/>
      <c r="C316" s="6"/>
      <c r="D316" s="6"/>
      <c r="E316" s="6"/>
      <c r="I316" s="6"/>
      <c r="K316" s="6"/>
      <c r="W316" s="6"/>
      <c r="Z316" s="32"/>
      <c r="AB316" s="6"/>
      <c r="AC316" s="6"/>
      <c r="AD316" s="6"/>
      <c r="AF316" s="6"/>
      <c r="AK316" s="6"/>
      <c r="AL316" s="6"/>
      <c r="AT316" s="6"/>
      <c r="AV316" s="6"/>
      <c r="AW316" s="6"/>
      <c r="BD316" s="6"/>
    </row>
    <row r="317" ht="102.0" customHeight="1">
      <c r="A317" s="6"/>
      <c r="B317" s="6"/>
      <c r="C317" s="6"/>
      <c r="D317" s="6"/>
      <c r="E317" s="6"/>
      <c r="I317" s="6"/>
      <c r="K317" s="6"/>
      <c r="W317" s="6"/>
      <c r="Z317" s="32"/>
      <c r="AB317" s="6"/>
      <c r="AC317" s="6"/>
      <c r="AD317" s="6"/>
      <c r="AF317" s="6"/>
      <c r="AK317" s="6"/>
      <c r="AL317" s="6"/>
      <c r="AT317" s="6"/>
      <c r="AV317" s="6"/>
      <c r="AW317" s="6"/>
      <c r="BD317" s="6"/>
    </row>
    <row r="318" ht="90.75" customHeight="1">
      <c r="A318" s="6"/>
      <c r="B318" s="6"/>
      <c r="C318" s="6"/>
      <c r="D318" s="6"/>
      <c r="E318" s="6"/>
      <c r="I318" s="6"/>
      <c r="K318" s="6"/>
      <c r="W318" s="6"/>
      <c r="Z318" s="32"/>
      <c r="AB318" s="6"/>
      <c r="AC318" s="6"/>
      <c r="AD318" s="6"/>
      <c r="AF318" s="6"/>
      <c r="AK318" s="6"/>
      <c r="AL318" s="6"/>
      <c r="AT318" s="6"/>
      <c r="AV318" s="6"/>
      <c r="AW318" s="6"/>
      <c r="BD318" s="6"/>
    </row>
    <row r="319" ht="15.0" customHeight="1">
      <c r="A319" s="6"/>
      <c r="B319" s="6"/>
      <c r="C319" s="6"/>
      <c r="D319" s="6"/>
      <c r="E319" s="6"/>
      <c r="I319" s="6"/>
      <c r="K319" s="6"/>
      <c r="W319" s="6"/>
      <c r="Z319" s="32"/>
      <c r="AB319" s="6"/>
      <c r="AC319" s="6"/>
      <c r="AD319" s="6"/>
      <c r="AF319" s="6"/>
      <c r="AK319" s="6"/>
      <c r="AL319" s="6"/>
      <c r="AT319" s="6"/>
      <c r="AV319" s="6"/>
      <c r="AW319" s="6"/>
      <c r="BD319" s="6"/>
    </row>
    <row r="320" ht="102.0" customHeight="1">
      <c r="A320" s="6"/>
      <c r="B320" s="6"/>
      <c r="C320" s="6"/>
      <c r="D320" s="6"/>
      <c r="E320" s="6"/>
      <c r="I320" s="6"/>
      <c r="K320" s="6"/>
      <c r="W320" s="6"/>
      <c r="Z320" s="32"/>
      <c r="AB320" s="6"/>
      <c r="AC320" s="6"/>
      <c r="AD320" s="6"/>
      <c r="AF320" s="6"/>
      <c r="AK320" s="6"/>
      <c r="AL320" s="6"/>
      <c r="AT320" s="6"/>
      <c r="AV320" s="6"/>
      <c r="AW320" s="6"/>
      <c r="BD320" s="6"/>
    </row>
    <row r="321" ht="102.0" customHeight="1">
      <c r="A321" s="6"/>
      <c r="B321" s="6"/>
      <c r="C321" s="6"/>
      <c r="D321" s="6"/>
      <c r="E321" s="6"/>
      <c r="I321" s="6"/>
      <c r="K321" s="6"/>
      <c r="W321" s="6"/>
      <c r="Z321" s="32"/>
      <c r="AB321" s="6"/>
      <c r="AC321" s="6"/>
      <c r="AD321" s="6"/>
      <c r="AF321" s="6"/>
      <c r="AK321" s="6"/>
      <c r="AL321" s="6"/>
      <c r="AT321" s="6"/>
      <c r="AV321" s="6"/>
      <c r="AW321" s="6"/>
      <c r="BD321" s="6"/>
    </row>
    <row r="322" ht="113.25" customHeight="1">
      <c r="A322" s="6"/>
      <c r="B322" s="6"/>
      <c r="C322" s="6"/>
      <c r="D322" s="6"/>
      <c r="E322" s="6"/>
      <c r="I322" s="6"/>
      <c r="K322" s="6"/>
      <c r="W322" s="6"/>
      <c r="Z322" s="32"/>
      <c r="AB322" s="6"/>
      <c r="AC322" s="6"/>
      <c r="AD322" s="6"/>
      <c r="AF322" s="6"/>
      <c r="AK322" s="6"/>
      <c r="AL322" s="6"/>
      <c r="AT322" s="6"/>
      <c r="AV322" s="6"/>
      <c r="AW322" s="6"/>
      <c r="BD322" s="6"/>
    </row>
    <row r="323" ht="15.0" customHeight="1">
      <c r="A323" s="6"/>
      <c r="B323" s="6"/>
      <c r="C323" s="6"/>
      <c r="D323" s="6"/>
      <c r="E323" s="6"/>
      <c r="I323" s="6"/>
      <c r="K323" s="6"/>
      <c r="W323" s="6"/>
      <c r="Z323" s="32"/>
      <c r="AB323" s="6"/>
      <c r="AC323" s="6"/>
      <c r="AD323" s="6"/>
      <c r="AF323" s="6"/>
      <c r="AK323" s="6"/>
      <c r="AL323" s="6"/>
      <c r="AT323" s="6"/>
      <c r="AV323" s="6"/>
      <c r="AW323" s="6"/>
      <c r="BD323" s="6"/>
    </row>
    <row r="324" ht="68.25" customHeight="1">
      <c r="A324" s="6"/>
      <c r="B324" s="6"/>
      <c r="C324" s="6"/>
      <c r="D324" s="6"/>
      <c r="E324" s="6"/>
      <c r="I324" s="6"/>
      <c r="K324" s="6"/>
      <c r="W324" s="6"/>
      <c r="Z324" s="32"/>
      <c r="AB324" s="6"/>
      <c r="AC324" s="6"/>
      <c r="AD324" s="6"/>
      <c r="AF324" s="6"/>
      <c r="AK324" s="6"/>
      <c r="AL324" s="6"/>
      <c r="AT324" s="6"/>
      <c r="AV324" s="6"/>
      <c r="AW324" s="6"/>
      <c r="BD324" s="6"/>
    </row>
    <row r="325" ht="102.0" customHeight="1">
      <c r="A325" s="6"/>
      <c r="B325" s="6"/>
      <c r="C325" s="6"/>
      <c r="D325" s="6"/>
      <c r="E325" s="6"/>
      <c r="I325" s="6"/>
      <c r="K325" s="6"/>
      <c r="W325" s="6"/>
      <c r="Z325" s="32"/>
      <c r="AB325" s="6"/>
      <c r="AC325" s="6"/>
      <c r="AD325" s="6"/>
      <c r="AF325" s="6"/>
      <c r="AK325" s="6"/>
      <c r="AL325" s="6"/>
      <c r="AT325" s="6"/>
      <c r="AV325" s="6"/>
      <c r="AW325" s="6"/>
      <c r="BD325" s="6"/>
    </row>
    <row r="326" ht="102.0" customHeight="1">
      <c r="A326" s="6"/>
      <c r="B326" s="6"/>
      <c r="C326" s="6"/>
      <c r="D326" s="6"/>
      <c r="E326" s="6"/>
      <c r="I326" s="6"/>
      <c r="K326" s="6"/>
      <c r="W326" s="6"/>
      <c r="Z326" s="32"/>
      <c r="AB326" s="6"/>
      <c r="AC326" s="6"/>
      <c r="AD326" s="6"/>
      <c r="AF326" s="6"/>
      <c r="AK326" s="6"/>
      <c r="AL326" s="6"/>
      <c r="AT326" s="6"/>
      <c r="AV326" s="6"/>
      <c r="AW326" s="6"/>
      <c r="BD326" s="6"/>
    </row>
    <row r="327" ht="15.0" customHeight="1">
      <c r="A327" s="6"/>
      <c r="B327" s="6"/>
      <c r="C327" s="6"/>
      <c r="D327" s="6"/>
      <c r="E327" s="6"/>
      <c r="I327" s="6"/>
      <c r="K327" s="6"/>
      <c r="W327" s="6"/>
      <c r="Z327" s="32"/>
      <c r="AB327" s="6"/>
      <c r="AC327" s="6"/>
      <c r="AD327" s="6"/>
      <c r="AF327" s="6"/>
      <c r="AK327" s="6"/>
      <c r="AL327" s="6"/>
      <c r="AT327" s="6"/>
      <c r="AV327" s="6"/>
      <c r="AW327" s="6"/>
      <c r="BD327" s="6"/>
    </row>
    <row r="328" ht="79.5" customHeight="1">
      <c r="A328" s="6"/>
      <c r="B328" s="6"/>
      <c r="C328" s="6"/>
      <c r="D328" s="6"/>
      <c r="E328" s="6"/>
      <c r="I328" s="6"/>
      <c r="K328" s="6"/>
      <c r="W328" s="6"/>
      <c r="Z328" s="32"/>
      <c r="AB328" s="6"/>
      <c r="AC328" s="6"/>
      <c r="AD328" s="6"/>
      <c r="AF328" s="6"/>
      <c r="AK328" s="6"/>
      <c r="AL328" s="6"/>
      <c r="AT328" s="6"/>
      <c r="AV328" s="6"/>
      <c r="AW328" s="6"/>
      <c r="BD328" s="6"/>
    </row>
    <row r="329" ht="15.0" customHeight="1">
      <c r="A329" s="6"/>
      <c r="B329" s="6"/>
      <c r="C329" s="6"/>
      <c r="D329" s="6"/>
      <c r="E329" s="6"/>
      <c r="I329" s="6"/>
      <c r="K329" s="6"/>
      <c r="W329" s="6"/>
      <c r="Z329" s="32"/>
      <c r="AB329" s="6"/>
      <c r="AC329" s="6"/>
      <c r="AD329" s="6"/>
      <c r="AF329" s="6"/>
      <c r="AK329" s="6"/>
      <c r="AL329" s="6"/>
      <c r="AT329" s="6"/>
      <c r="AV329" s="6"/>
      <c r="AW329" s="6"/>
      <c r="BD329" s="6"/>
    </row>
    <row r="330" ht="15.0" customHeight="1">
      <c r="A330" s="6"/>
      <c r="B330" s="6"/>
      <c r="C330" s="6"/>
      <c r="D330" s="6"/>
      <c r="E330" s="6"/>
      <c r="I330" s="6"/>
      <c r="K330" s="6"/>
      <c r="W330" s="6"/>
      <c r="Z330" s="32"/>
      <c r="AB330" s="6"/>
      <c r="AC330" s="6"/>
      <c r="AD330" s="6"/>
      <c r="AF330" s="6"/>
      <c r="AK330" s="6"/>
      <c r="AL330" s="6"/>
      <c r="AT330" s="6"/>
      <c r="AV330" s="6"/>
      <c r="AW330" s="6"/>
      <c r="BD330" s="6"/>
    </row>
    <row r="331" ht="15.0" customHeight="1">
      <c r="A331" s="6"/>
      <c r="B331" s="6"/>
      <c r="C331" s="6"/>
      <c r="D331" s="6"/>
      <c r="E331" s="6"/>
      <c r="I331" s="6"/>
      <c r="K331" s="6"/>
      <c r="W331" s="6"/>
      <c r="Z331" s="32"/>
      <c r="AB331" s="6"/>
      <c r="AC331" s="6"/>
      <c r="AD331" s="6"/>
      <c r="AF331" s="6"/>
      <c r="AK331" s="6"/>
      <c r="AL331" s="6"/>
      <c r="AT331" s="6"/>
      <c r="AV331" s="6"/>
      <c r="AW331" s="6"/>
      <c r="BD331" s="6"/>
    </row>
    <row r="332" ht="23.25" customHeight="1">
      <c r="A332" s="6"/>
      <c r="B332" s="6"/>
      <c r="C332" s="6"/>
      <c r="D332" s="6"/>
      <c r="E332" s="6"/>
      <c r="I332" s="6"/>
      <c r="K332" s="6"/>
      <c r="W332" s="6"/>
      <c r="Z332" s="32"/>
      <c r="AB332" s="6"/>
      <c r="AC332" s="6"/>
      <c r="AD332" s="6"/>
      <c r="AF332" s="6"/>
      <c r="AK332" s="6"/>
      <c r="AL332" s="6"/>
      <c r="AT332" s="6"/>
      <c r="AV332" s="6"/>
      <c r="AW332" s="6"/>
      <c r="BD332" s="6"/>
    </row>
    <row r="333" ht="15.0" customHeight="1">
      <c r="A333" s="6"/>
      <c r="B333" s="6"/>
      <c r="C333" s="6"/>
      <c r="D333" s="6"/>
      <c r="E333" s="6"/>
      <c r="I333" s="6"/>
      <c r="K333" s="6"/>
      <c r="W333" s="6"/>
      <c r="Z333" s="32"/>
      <c r="AB333" s="6"/>
      <c r="AC333" s="6"/>
      <c r="AD333" s="6"/>
      <c r="AF333" s="6"/>
      <c r="AK333" s="6"/>
      <c r="AL333" s="6"/>
      <c r="AT333" s="6"/>
      <c r="AV333" s="6"/>
      <c r="AW333" s="6"/>
      <c r="BD333" s="6"/>
    </row>
    <row r="334" ht="90.75" customHeight="1">
      <c r="A334" s="6"/>
      <c r="B334" s="6"/>
      <c r="C334" s="6"/>
      <c r="D334" s="6"/>
      <c r="E334" s="6"/>
      <c r="I334" s="6"/>
      <c r="K334" s="6"/>
      <c r="W334" s="6"/>
      <c r="Z334" s="32"/>
      <c r="AB334" s="6"/>
      <c r="AC334" s="6"/>
      <c r="AD334" s="6"/>
      <c r="AF334" s="6"/>
      <c r="AK334" s="6"/>
      <c r="AL334" s="6"/>
      <c r="AT334" s="6"/>
      <c r="AV334" s="6"/>
      <c r="AW334" s="6"/>
      <c r="BD334" s="6"/>
    </row>
    <row r="335" ht="15.0" customHeight="1">
      <c r="A335" s="6"/>
      <c r="B335" s="6"/>
      <c r="C335" s="6"/>
      <c r="D335" s="6"/>
      <c r="E335" s="6"/>
      <c r="I335" s="6"/>
      <c r="K335" s="6"/>
      <c r="W335" s="6"/>
      <c r="Z335" s="32"/>
      <c r="AB335" s="6"/>
      <c r="AC335" s="6"/>
      <c r="AD335" s="6"/>
      <c r="AF335" s="6"/>
      <c r="AK335" s="6"/>
      <c r="AL335" s="6"/>
      <c r="AT335" s="6"/>
      <c r="AV335" s="6"/>
      <c r="AW335" s="6"/>
      <c r="BD335" s="6"/>
    </row>
    <row r="336" ht="15.0" customHeight="1">
      <c r="A336" s="6"/>
      <c r="B336" s="6"/>
      <c r="C336" s="6"/>
      <c r="D336" s="6"/>
      <c r="E336" s="6"/>
      <c r="I336" s="6"/>
      <c r="K336" s="6"/>
      <c r="W336" s="6"/>
      <c r="Z336" s="32"/>
      <c r="AB336" s="6"/>
      <c r="AC336" s="6"/>
      <c r="AD336" s="6"/>
      <c r="AF336" s="6"/>
      <c r="AK336" s="6"/>
      <c r="AL336" s="6"/>
      <c r="AT336" s="6"/>
      <c r="AV336" s="6"/>
      <c r="AW336" s="6"/>
      <c r="BD336" s="6"/>
    </row>
    <row r="337" ht="15.0" customHeight="1">
      <c r="A337" s="6"/>
      <c r="B337" s="6"/>
      <c r="C337" s="6"/>
      <c r="D337" s="6"/>
      <c r="E337" s="6"/>
      <c r="I337" s="6"/>
      <c r="K337" s="6"/>
      <c r="W337" s="6"/>
      <c r="Z337" s="32"/>
      <c r="AB337" s="6"/>
      <c r="AC337" s="6"/>
      <c r="AD337" s="6"/>
      <c r="AF337" s="6"/>
      <c r="AK337" s="6"/>
      <c r="AL337" s="6"/>
      <c r="AT337" s="6"/>
      <c r="AV337" s="6"/>
      <c r="AW337" s="6"/>
      <c r="BD337" s="6"/>
    </row>
    <row r="338" ht="15.0" customHeight="1">
      <c r="A338" s="6"/>
      <c r="B338" s="6"/>
      <c r="C338" s="6"/>
      <c r="D338" s="6"/>
      <c r="E338" s="6"/>
      <c r="I338" s="6"/>
      <c r="K338" s="6"/>
      <c r="W338" s="6"/>
      <c r="Z338" s="32"/>
      <c r="AB338" s="6"/>
      <c r="AC338" s="6"/>
      <c r="AD338" s="6"/>
      <c r="AF338" s="6"/>
      <c r="AK338" s="6"/>
      <c r="AL338" s="6"/>
      <c r="AT338" s="6"/>
      <c r="AV338" s="6"/>
      <c r="AW338" s="6"/>
      <c r="BD338" s="6"/>
    </row>
    <row r="339" ht="15.0" customHeight="1">
      <c r="A339" s="6"/>
      <c r="B339" s="6"/>
      <c r="C339" s="6"/>
      <c r="D339" s="6"/>
      <c r="E339" s="6"/>
      <c r="I339" s="6"/>
      <c r="K339" s="6"/>
      <c r="W339" s="6"/>
      <c r="Z339" s="32"/>
      <c r="AB339" s="6"/>
      <c r="AC339" s="6"/>
      <c r="AD339" s="6"/>
      <c r="AF339" s="6"/>
      <c r="AK339" s="6"/>
      <c r="AL339" s="6"/>
      <c r="AT339" s="6"/>
      <c r="AV339" s="6"/>
      <c r="AW339" s="6"/>
      <c r="BD339" s="6"/>
    </row>
    <row r="340" ht="15.0" customHeight="1">
      <c r="A340" s="6"/>
      <c r="B340" s="6"/>
      <c r="C340" s="6"/>
      <c r="D340" s="6"/>
      <c r="E340" s="6"/>
      <c r="I340" s="6"/>
      <c r="K340" s="6"/>
      <c r="W340" s="6"/>
      <c r="Z340" s="32"/>
      <c r="AB340" s="6"/>
      <c r="AC340" s="6"/>
      <c r="AD340" s="6"/>
      <c r="AF340" s="6"/>
      <c r="AK340" s="6"/>
      <c r="AL340" s="6"/>
      <c r="AT340" s="6"/>
      <c r="AV340" s="6"/>
      <c r="AW340" s="6"/>
      <c r="BD340" s="6"/>
    </row>
    <row r="341" ht="15.0" customHeight="1">
      <c r="A341" s="6"/>
      <c r="B341" s="6"/>
      <c r="C341" s="6"/>
      <c r="D341" s="6"/>
      <c r="E341" s="6"/>
      <c r="I341" s="6"/>
      <c r="K341" s="6"/>
      <c r="W341" s="6"/>
      <c r="Z341" s="32"/>
      <c r="AB341" s="6"/>
      <c r="AC341" s="6"/>
      <c r="AD341" s="6"/>
      <c r="AF341" s="6"/>
      <c r="AK341" s="6"/>
      <c r="AL341" s="6"/>
      <c r="AT341" s="6"/>
      <c r="AV341" s="6"/>
      <c r="AW341" s="6"/>
      <c r="BD341" s="6"/>
    </row>
    <row r="342" ht="90.75" customHeight="1">
      <c r="A342" s="6"/>
      <c r="B342" s="6"/>
      <c r="C342" s="6"/>
      <c r="D342" s="6"/>
      <c r="E342" s="6"/>
      <c r="I342" s="6"/>
      <c r="K342" s="6"/>
      <c r="W342" s="6"/>
      <c r="Z342" s="32"/>
      <c r="AB342" s="6"/>
      <c r="AC342" s="6"/>
      <c r="AD342" s="6"/>
      <c r="AF342" s="6"/>
      <c r="AK342" s="6"/>
      <c r="AL342" s="6"/>
      <c r="AT342" s="6"/>
      <c r="AV342" s="6"/>
      <c r="AW342" s="6"/>
      <c r="BD342" s="6"/>
    </row>
    <row r="343" ht="102.0" customHeight="1">
      <c r="A343" s="6"/>
      <c r="B343" s="6"/>
      <c r="C343" s="6"/>
      <c r="D343" s="6"/>
      <c r="E343" s="6"/>
      <c r="I343" s="6"/>
      <c r="K343" s="6"/>
      <c r="W343" s="6"/>
      <c r="Z343" s="32"/>
      <c r="AB343" s="6"/>
      <c r="AC343" s="6"/>
      <c r="AD343" s="6"/>
      <c r="AF343" s="6"/>
      <c r="AK343" s="6"/>
      <c r="AL343" s="6"/>
      <c r="AT343" s="6"/>
      <c r="AV343" s="6"/>
      <c r="AW343" s="6"/>
      <c r="BD343" s="6"/>
    </row>
    <row r="344" ht="57.0" customHeight="1">
      <c r="A344" s="6"/>
      <c r="B344" s="6"/>
      <c r="C344" s="6"/>
      <c r="D344" s="6"/>
      <c r="E344" s="6"/>
      <c r="I344" s="6"/>
      <c r="K344" s="6"/>
      <c r="W344" s="6"/>
      <c r="Z344" s="32"/>
      <c r="AB344" s="6"/>
      <c r="AC344" s="6"/>
      <c r="AD344" s="6"/>
      <c r="AF344" s="6"/>
      <c r="AK344" s="6"/>
      <c r="AL344" s="6"/>
      <c r="AT344" s="6"/>
      <c r="AV344" s="6"/>
      <c r="AW344" s="6"/>
      <c r="BD344" s="6"/>
    </row>
    <row r="345" ht="113.25" customHeight="1">
      <c r="A345" s="6"/>
      <c r="B345" s="6"/>
      <c r="C345" s="6"/>
      <c r="D345" s="6"/>
      <c r="E345" s="6"/>
      <c r="I345" s="6"/>
      <c r="K345" s="6"/>
      <c r="W345" s="6"/>
      <c r="Z345" s="32"/>
      <c r="AB345" s="6"/>
      <c r="AC345" s="6"/>
      <c r="AD345" s="6"/>
      <c r="AF345" s="6"/>
      <c r="AK345" s="6"/>
      <c r="AL345" s="6"/>
      <c r="AT345" s="6"/>
      <c r="AV345" s="6"/>
      <c r="AW345" s="6"/>
      <c r="BD345" s="6"/>
    </row>
    <row r="346" ht="15.0" customHeight="1">
      <c r="A346" s="6"/>
      <c r="B346" s="6"/>
      <c r="C346" s="6"/>
      <c r="D346" s="6"/>
      <c r="E346" s="6"/>
      <c r="I346" s="6"/>
      <c r="K346" s="6"/>
      <c r="W346" s="6"/>
      <c r="Z346" s="32"/>
      <c r="AB346" s="6"/>
      <c r="AC346" s="6"/>
      <c r="AD346" s="6"/>
      <c r="AF346" s="6"/>
      <c r="AK346" s="6"/>
      <c r="AL346" s="6"/>
      <c r="AT346" s="6"/>
      <c r="AV346" s="6"/>
      <c r="AW346" s="6"/>
      <c r="BD346" s="6"/>
    </row>
    <row r="347" ht="90.75" customHeight="1">
      <c r="A347" s="6"/>
      <c r="B347" s="6"/>
      <c r="C347" s="6"/>
      <c r="D347" s="6"/>
      <c r="E347" s="6"/>
      <c r="I347" s="6"/>
      <c r="K347" s="6"/>
      <c r="W347" s="6"/>
      <c r="Z347" s="32"/>
      <c r="AB347" s="6"/>
      <c r="AC347" s="6"/>
      <c r="AD347" s="6"/>
      <c r="AF347" s="6"/>
      <c r="AK347" s="6"/>
      <c r="AL347" s="6"/>
      <c r="AT347" s="6"/>
      <c r="AV347" s="6"/>
      <c r="AW347" s="6"/>
      <c r="BD347" s="6"/>
    </row>
    <row r="348" ht="15.0" customHeight="1">
      <c r="A348" s="6"/>
      <c r="B348" s="6"/>
      <c r="C348" s="6"/>
      <c r="D348" s="6"/>
      <c r="E348" s="6"/>
      <c r="I348" s="6"/>
      <c r="K348" s="6"/>
      <c r="W348" s="6"/>
      <c r="Z348" s="32"/>
      <c r="AB348" s="6"/>
      <c r="AC348" s="6"/>
      <c r="AD348" s="6"/>
      <c r="AF348" s="6"/>
      <c r="AK348" s="6"/>
      <c r="AL348" s="6"/>
      <c r="AT348" s="6"/>
      <c r="AV348" s="6"/>
      <c r="AW348" s="6"/>
      <c r="BD348" s="6"/>
    </row>
    <row r="349" ht="90.75" customHeight="1">
      <c r="A349" s="6"/>
      <c r="B349" s="6"/>
      <c r="C349" s="6"/>
      <c r="D349" s="6"/>
      <c r="E349" s="6"/>
      <c r="I349" s="6"/>
      <c r="K349" s="6"/>
      <c r="W349" s="6"/>
      <c r="Z349" s="32"/>
      <c r="AB349" s="6"/>
      <c r="AC349" s="6"/>
      <c r="AD349" s="6"/>
      <c r="AF349" s="6"/>
      <c r="AK349" s="6"/>
      <c r="AL349" s="6"/>
      <c r="AT349" s="6"/>
      <c r="AV349" s="6"/>
      <c r="AW349" s="6"/>
      <c r="BD349" s="6"/>
    </row>
    <row r="350" ht="15.0" customHeight="1">
      <c r="A350" s="6"/>
      <c r="B350" s="6"/>
      <c r="C350" s="6"/>
      <c r="D350" s="6"/>
      <c r="E350" s="6"/>
      <c r="I350" s="6"/>
      <c r="K350" s="6"/>
      <c r="W350" s="6"/>
      <c r="Z350" s="32"/>
      <c r="AB350" s="6"/>
      <c r="AC350" s="6"/>
      <c r="AD350" s="6"/>
      <c r="AF350" s="6"/>
      <c r="AK350" s="6"/>
      <c r="AL350" s="6"/>
      <c r="AT350" s="6"/>
      <c r="AV350" s="6"/>
      <c r="AW350" s="6"/>
      <c r="BD350" s="6"/>
    </row>
    <row r="351" ht="15.0" customHeight="1">
      <c r="A351" s="6"/>
      <c r="B351" s="6"/>
      <c r="C351" s="6"/>
      <c r="D351" s="6"/>
      <c r="E351" s="6"/>
      <c r="I351" s="6"/>
      <c r="K351" s="6"/>
      <c r="W351" s="6"/>
      <c r="Z351" s="32"/>
      <c r="AB351" s="6"/>
      <c r="AC351" s="6"/>
      <c r="AD351" s="6"/>
      <c r="AF351" s="6"/>
      <c r="AK351" s="6"/>
      <c r="AL351" s="6"/>
      <c r="AT351" s="6"/>
      <c r="AV351" s="6"/>
      <c r="AW351" s="6"/>
      <c r="BD351" s="6"/>
    </row>
    <row r="352" ht="90.75" customHeight="1">
      <c r="A352" s="6"/>
      <c r="B352" s="6"/>
      <c r="C352" s="6"/>
      <c r="D352" s="6"/>
      <c r="E352" s="6"/>
      <c r="I352" s="6"/>
      <c r="K352" s="6"/>
      <c r="W352" s="6"/>
      <c r="Z352" s="32"/>
      <c r="AB352" s="6"/>
      <c r="AC352" s="6"/>
      <c r="AD352" s="6"/>
      <c r="AF352" s="6"/>
      <c r="AK352" s="6"/>
      <c r="AL352" s="6"/>
      <c r="AT352" s="6"/>
      <c r="AV352" s="6"/>
      <c r="AW352" s="6"/>
      <c r="BD352" s="6"/>
    </row>
    <row r="353" ht="15.0" customHeight="1">
      <c r="A353" s="6"/>
      <c r="B353" s="6"/>
      <c r="C353" s="6"/>
      <c r="D353" s="6"/>
      <c r="E353" s="6"/>
      <c r="I353" s="6"/>
      <c r="K353" s="6"/>
      <c r="W353" s="6"/>
      <c r="Z353" s="32"/>
      <c r="AB353" s="6"/>
      <c r="AC353" s="6"/>
      <c r="AD353" s="6"/>
      <c r="AF353" s="6"/>
      <c r="AK353" s="6"/>
      <c r="AL353" s="6"/>
      <c r="AT353" s="6"/>
      <c r="AV353" s="6"/>
      <c r="AW353" s="6"/>
      <c r="BD353" s="6"/>
    </row>
    <row r="354" ht="113.25" customHeight="1">
      <c r="A354" s="6"/>
      <c r="B354" s="6"/>
      <c r="C354" s="6"/>
      <c r="D354" s="6"/>
      <c r="E354" s="6"/>
      <c r="I354" s="6"/>
      <c r="K354" s="6"/>
      <c r="W354" s="6"/>
      <c r="Z354" s="32"/>
      <c r="AB354" s="6"/>
      <c r="AC354" s="6"/>
      <c r="AD354" s="6"/>
      <c r="AF354" s="6"/>
      <c r="AK354" s="6"/>
      <c r="AL354" s="6"/>
      <c r="AT354" s="6"/>
      <c r="AV354" s="6"/>
      <c r="AW354" s="6"/>
      <c r="BD354" s="6"/>
    </row>
    <row r="355" ht="15.0" customHeight="1">
      <c r="A355" s="6"/>
      <c r="B355" s="6"/>
      <c r="C355" s="6"/>
      <c r="D355" s="6"/>
      <c r="E355" s="6"/>
      <c r="I355" s="6"/>
      <c r="K355" s="6"/>
      <c r="W355" s="6"/>
      <c r="Z355" s="32"/>
      <c r="AB355" s="6"/>
      <c r="AC355" s="6"/>
      <c r="AD355" s="6"/>
      <c r="AF355" s="6"/>
      <c r="AK355" s="6"/>
      <c r="AL355" s="6"/>
      <c r="AT355" s="6"/>
      <c r="AV355" s="6"/>
      <c r="AW355" s="6"/>
      <c r="BD355" s="6"/>
    </row>
    <row r="356" ht="15.0" customHeight="1">
      <c r="A356" s="6"/>
      <c r="B356" s="6"/>
      <c r="C356" s="6"/>
      <c r="D356" s="6"/>
      <c r="E356" s="6"/>
      <c r="I356" s="6"/>
      <c r="K356" s="6"/>
      <c r="W356" s="6"/>
      <c r="Z356" s="32"/>
      <c r="AB356" s="6"/>
      <c r="AC356" s="6"/>
      <c r="AD356" s="6"/>
      <c r="AF356" s="6"/>
      <c r="AK356" s="6"/>
      <c r="AL356" s="6"/>
      <c r="AT356" s="6"/>
      <c r="AV356" s="6"/>
      <c r="AW356" s="6"/>
      <c r="BD356" s="6"/>
    </row>
    <row r="357" ht="15.0" customHeight="1">
      <c r="A357" s="6"/>
      <c r="B357" s="6"/>
      <c r="C357" s="6"/>
      <c r="D357" s="6"/>
      <c r="E357" s="6"/>
      <c r="I357" s="6"/>
      <c r="K357" s="6"/>
      <c r="W357" s="6"/>
      <c r="Z357" s="32"/>
      <c r="AB357" s="6"/>
      <c r="AC357" s="6"/>
      <c r="AD357" s="6"/>
      <c r="AF357" s="6"/>
      <c r="AK357" s="6"/>
      <c r="AL357" s="6"/>
      <c r="AT357" s="6"/>
      <c r="AV357" s="6"/>
      <c r="AW357" s="6"/>
      <c r="BD357" s="6"/>
    </row>
    <row r="358" ht="15.0" customHeight="1">
      <c r="A358" s="6"/>
      <c r="B358" s="6"/>
      <c r="C358" s="6"/>
      <c r="D358" s="6"/>
      <c r="E358" s="6"/>
      <c r="I358" s="6"/>
      <c r="K358" s="6"/>
      <c r="W358" s="6"/>
      <c r="Z358" s="32"/>
      <c r="AB358" s="6"/>
      <c r="AC358" s="6"/>
      <c r="AD358" s="6"/>
      <c r="AF358" s="6"/>
      <c r="AK358" s="6"/>
      <c r="AL358" s="6"/>
      <c r="AT358" s="6"/>
      <c r="AV358" s="6"/>
      <c r="AW358" s="6"/>
      <c r="BD358" s="6"/>
    </row>
    <row r="359" ht="15.0" customHeight="1">
      <c r="A359" s="6"/>
      <c r="B359" s="6"/>
      <c r="C359" s="6"/>
      <c r="D359" s="6"/>
      <c r="E359" s="6"/>
      <c r="I359" s="6"/>
      <c r="K359" s="6"/>
      <c r="W359" s="6"/>
      <c r="Z359" s="32"/>
      <c r="AB359" s="6"/>
      <c r="AC359" s="6"/>
      <c r="AD359" s="6"/>
      <c r="AF359" s="6"/>
      <c r="AK359" s="6"/>
      <c r="AL359" s="6"/>
      <c r="AT359" s="6"/>
      <c r="AV359" s="6"/>
      <c r="AW359" s="6"/>
      <c r="BD359" s="6"/>
    </row>
    <row r="360" ht="68.25" customHeight="1">
      <c r="A360" s="6"/>
      <c r="B360" s="6"/>
      <c r="C360" s="6"/>
      <c r="D360" s="6"/>
      <c r="E360" s="6"/>
      <c r="I360" s="6"/>
      <c r="K360" s="6"/>
      <c r="W360" s="6"/>
      <c r="Z360" s="32"/>
      <c r="AB360" s="6"/>
      <c r="AC360" s="6"/>
      <c r="AD360" s="6"/>
      <c r="AF360" s="6"/>
      <c r="AK360" s="6"/>
      <c r="AL360" s="6"/>
      <c r="AT360" s="6"/>
      <c r="AV360" s="6"/>
      <c r="AW360" s="6"/>
      <c r="BD360" s="6"/>
    </row>
    <row r="361" ht="90.75" customHeight="1">
      <c r="A361" s="6"/>
      <c r="B361" s="6"/>
      <c r="C361" s="6"/>
      <c r="D361" s="6"/>
      <c r="E361" s="6"/>
      <c r="I361" s="6"/>
      <c r="K361" s="6"/>
      <c r="W361" s="6"/>
      <c r="Z361" s="32"/>
      <c r="AB361" s="6"/>
      <c r="AC361" s="6"/>
      <c r="AD361" s="6"/>
      <c r="AF361" s="6"/>
      <c r="AK361" s="6"/>
      <c r="AL361" s="6"/>
      <c r="AT361" s="6"/>
      <c r="AV361" s="6"/>
      <c r="AW361" s="6"/>
      <c r="BD361" s="6"/>
    </row>
    <row r="362" ht="15.0" customHeight="1">
      <c r="A362" s="6"/>
      <c r="B362" s="6"/>
      <c r="C362" s="6"/>
      <c r="D362" s="6"/>
      <c r="E362" s="6"/>
      <c r="I362" s="6"/>
      <c r="K362" s="6"/>
      <c r="W362" s="6"/>
      <c r="Z362" s="32"/>
      <c r="AB362" s="6"/>
      <c r="AC362" s="6"/>
      <c r="AD362" s="6"/>
      <c r="AF362" s="6"/>
      <c r="AK362" s="6"/>
      <c r="AL362" s="6"/>
      <c r="AT362" s="6"/>
      <c r="AV362" s="6"/>
      <c r="AW362" s="6"/>
      <c r="BD362" s="6"/>
    </row>
    <row r="363" ht="15.0" customHeight="1">
      <c r="A363" s="6"/>
      <c r="B363" s="6"/>
      <c r="C363" s="6"/>
      <c r="D363" s="6"/>
      <c r="E363" s="6"/>
      <c r="I363" s="6"/>
      <c r="K363" s="6"/>
      <c r="W363" s="6"/>
      <c r="Z363" s="32"/>
      <c r="AB363" s="6"/>
      <c r="AC363" s="6"/>
      <c r="AD363" s="6"/>
      <c r="AF363" s="6"/>
      <c r="AK363" s="6"/>
      <c r="AL363" s="6"/>
      <c r="AT363" s="6"/>
      <c r="AV363" s="6"/>
      <c r="AW363" s="6"/>
      <c r="BD363" s="6"/>
    </row>
    <row r="364" ht="15.0" customHeight="1">
      <c r="A364" s="6"/>
      <c r="B364" s="6"/>
      <c r="C364" s="6"/>
      <c r="D364" s="6"/>
      <c r="E364" s="6"/>
      <c r="I364" s="6"/>
      <c r="K364" s="6"/>
      <c r="W364" s="6"/>
      <c r="Z364" s="32"/>
      <c r="AB364" s="6"/>
      <c r="AC364" s="6"/>
      <c r="AD364" s="6"/>
      <c r="AF364" s="6"/>
      <c r="AK364" s="6"/>
      <c r="AL364" s="6"/>
      <c r="AT364" s="6"/>
      <c r="AV364" s="6"/>
      <c r="AW364" s="6"/>
      <c r="BD364" s="6"/>
    </row>
    <row r="365" ht="90.75" customHeight="1">
      <c r="A365" s="6"/>
      <c r="B365" s="6"/>
      <c r="C365" s="6"/>
      <c r="D365" s="6"/>
      <c r="E365" s="6"/>
      <c r="I365" s="6"/>
      <c r="K365" s="6"/>
      <c r="W365" s="6"/>
      <c r="Z365" s="32"/>
      <c r="AB365" s="6"/>
      <c r="AC365" s="6"/>
      <c r="AD365" s="6"/>
      <c r="AF365" s="6"/>
      <c r="AK365" s="6"/>
      <c r="AL365" s="6"/>
      <c r="AT365" s="6"/>
      <c r="AV365" s="6"/>
      <c r="AW365" s="6"/>
      <c r="BD365" s="6"/>
    </row>
    <row r="366" ht="15.0" customHeight="1">
      <c r="A366" s="6"/>
      <c r="B366" s="6"/>
      <c r="C366" s="6"/>
      <c r="D366" s="6"/>
      <c r="E366" s="6"/>
      <c r="I366" s="6"/>
      <c r="K366" s="6"/>
      <c r="W366" s="6"/>
      <c r="Z366" s="32"/>
      <c r="AB366" s="6"/>
      <c r="AC366" s="6"/>
      <c r="AD366" s="6"/>
      <c r="AF366" s="6"/>
      <c r="AK366" s="6"/>
      <c r="AL366" s="6"/>
      <c r="AT366" s="6"/>
      <c r="AV366" s="6"/>
      <c r="AW366" s="6"/>
      <c r="BD366" s="6"/>
    </row>
    <row r="367" ht="15.0" customHeight="1">
      <c r="A367" s="6"/>
      <c r="B367" s="6"/>
      <c r="C367" s="6"/>
      <c r="D367" s="6"/>
      <c r="E367" s="6"/>
      <c r="I367" s="6"/>
      <c r="K367" s="6"/>
      <c r="W367" s="6"/>
      <c r="Z367" s="32"/>
      <c r="AB367" s="6"/>
      <c r="AC367" s="6"/>
      <c r="AD367" s="6"/>
      <c r="AF367" s="6"/>
      <c r="AK367" s="6"/>
      <c r="AL367" s="6"/>
      <c r="AT367" s="6"/>
      <c r="AV367" s="6"/>
      <c r="AW367" s="6"/>
      <c r="BD367" s="6"/>
    </row>
    <row r="368" ht="113.25" customHeight="1">
      <c r="A368" s="6"/>
      <c r="B368" s="6"/>
      <c r="C368" s="6"/>
      <c r="D368" s="6"/>
      <c r="E368" s="6"/>
      <c r="I368" s="6"/>
      <c r="K368" s="6"/>
      <c r="W368" s="6"/>
      <c r="Z368" s="32"/>
      <c r="AB368" s="6"/>
      <c r="AC368" s="6"/>
      <c r="AD368" s="6"/>
      <c r="AF368" s="6"/>
      <c r="AK368" s="6"/>
      <c r="AL368" s="6"/>
      <c r="AT368" s="6"/>
      <c r="AV368" s="6"/>
      <c r="AW368" s="6"/>
      <c r="BD368" s="6"/>
    </row>
    <row r="369" ht="23.25" customHeight="1">
      <c r="A369" s="6"/>
      <c r="B369" s="6"/>
      <c r="C369" s="6"/>
      <c r="D369" s="6"/>
      <c r="E369" s="6"/>
      <c r="I369" s="6"/>
      <c r="K369" s="6"/>
      <c r="W369" s="6"/>
      <c r="Z369" s="32"/>
      <c r="AB369" s="6"/>
      <c r="AC369" s="6"/>
      <c r="AD369" s="6"/>
      <c r="AF369" s="6"/>
      <c r="AK369" s="6"/>
      <c r="AL369" s="6"/>
      <c r="AT369" s="6"/>
      <c r="AV369" s="6"/>
      <c r="AW369" s="6"/>
      <c r="BD369" s="6"/>
    </row>
    <row r="370" ht="15.0" customHeight="1">
      <c r="A370" s="6"/>
      <c r="B370" s="6"/>
      <c r="C370" s="6"/>
      <c r="D370" s="6"/>
      <c r="E370" s="6"/>
      <c r="I370" s="6"/>
      <c r="K370" s="6"/>
      <c r="W370" s="6"/>
      <c r="Z370" s="32"/>
      <c r="AB370" s="6"/>
      <c r="AC370" s="6"/>
      <c r="AD370" s="6"/>
      <c r="AF370" s="6"/>
      <c r="AK370" s="6"/>
      <c r="AL370" s="6"/>
      <c r="AT370" s="6"/>
      <c r="AV370" s="6"/>
      <c r="AW370" s="6"/>
      <c r="BD370" s="6"/>
    </row>
    <row r="371" ht="15.0" customHeight="1">
      <c r="A371" s="6"/>
      <c r="B371" s="6"/>
      <c r="C371" s="6"/>
      <c r="D371" s="6"/>
      <c r="E371" s="6"/>
      <c r="I371" s="6"/>
      <c r="K371" s="6"/>
      <c r="W371" s="6"/>
      <c r="Z371" s="32"/>
      <c r="AB371" s="6"/>
      <c r="AC371" s="6"/>
      <c r="AD371" s="6"/>
      <c r="AF371" s="6"/>
      <c r="AK371" s="6"/>
      <c r="AL371" s="6"/>
      <c r="AT371" s="6"/>
      <c r="AV371" s="6"/>
      <c r="AW371" s="6"/>
      <c r="BD371" s="6"/>
    </row>
    <row r="372" ht="15.0" customHeight="1">
      <c r="A372" s="6"/>
      <c r="B372" s="6"/>
      <c r="C372" s="6"/>
      <c r="D372" s="6"/>
      <c r="E372" s="6"/>
      <c r="I372" s="6"/>
      <c r="K372" s="6"/>
      <c r="W372" s="6"/>
      <c r="Z372" s="32"/>
      <c r="AB372" s="6"/>
      <c r="AC372" s="6"/>
      <c r="AD372" s="6"/>
      <c r="AF372" s="6"/>
      <c r="AK372" s="6"/>
      <c r="AL372" s="6"/>
      <c r="AT372" s="6"/>
      <c r="AV372" s="6"/>
      <c r="AW372" s="6"/>
      <c r="BD372" s="6"/>
    </row>
    <row r="373" ht="15.0" customHeight="1">
      <c r="A373" s="6"/>
      <c r="B373" s="6"/>
      <c r="C373" s="6"/>
      <c r="D373" s="6"/>
      <c r="E373" s="6"/>
      <c r="I373" s="6"/>
      <c r="K373" s="6"/>
      <c r="W373" s="6"/>
      <c r="Z373" s="32"/>
      <c r="AB373" s="6"/>
      <c r="AC373" s="6"/>
      <c r="AD373" s="6"/>
      <c r="AF373" s="6"/>
      <c r="AK373" s="6"/>
      <c r="AL373" s="6"/>
      <c r="AT373" s="6"/>
      <c r="AV373" s="6"/>
      <c r="AW373" s="6"/>
      <c r="BD373" s="6"/>
    </row>
    <row r="374" ht="15.0" customHeight="1">
      <c r="A374" s="6"/>
      <c r="B374" s="6"/>
      <c r="C374" s="6"/>
      <c r="D374" s="6"/>
      <c r="E374" s="6"/>
      <c r="I374" s="6"/>
      <c r="K374" s="6"/>
      <c r="W374" s="6"/>
      <c r="Z374" s="32"/>
      <c r="AB374" s="6"/>
      <c r="AC374" s="6"/>
      <c r="AD374" s="6"/>
      <c r="AF374" s="6"/>
      <c r="AK374" s="6"/>
      <c r="AL374" s="6"/>
      <c r="AT374" s="6"/>
      <c r="AV374" s="6"/>
      <c r="AW374" s="6"/>
      <c r="BD374" s="6"/>
    </row>
    <row r="375" ht="15.0" customHeight="1">
      <c r="A375" s="6"/>
      <c r="B375" s="6"/>
      <c r="C375" s="6"/>
      <c r="D375" s="6"/>
      <c r="E375" s="6"/>
      <c r="I375" s="6"/>
      <c r="K375" s="6"/>
      <c r="W375" s="6"/>
      <c r="Z375" s="32"/>
      <c r="AB375" s="6"/>
      <c r="AC375" s="6"/>
      <c r="AD375" s="6"/>
      <c r="AF375" s="6"/>
      <c r="AK375" s="6"/>
      <c r="AL375" s="6"/>
      <c r="AT375" s="6"/>
      <c r="AV375" s="6"/>
      <c r="AW375" s="6"/>
      <c r="BD375" s="6"/>
    </row>
    <row r="376" ht="15.0" customHeight="1">
      <c r="A376" s="6"/>
      <c r="B376" s="6"/>
      <c r="C376" s="6"/>
      <c r="D376" s="6"/>
      <c r="E376" s="6"/>
      <c r="I376" s="6"/>
      <c r="K376" s="6"/>
      <c r="W376" s="6"/>
      <c r="Z376" s="32"/>
      <c r="AB376" s="6"/>
      <c r="AC376" s="6"/>
      <c r="AD376" s="6"/>
      <c r="AF376" s="6"/>
      <c r="AK376" s="6"/>
      <c r="AL376" s="6"/>
      <c r="AT376" s="6"/>
      <c r="AV376" s="6"/>
      <c r="AW376" s="6"/>
      <c r="BD376" s="6"/>
    </row>
    <row r="377" ht="157.5" customHeight="1">
      <c r="A377" s="6"/>
      <c r="B377" s="6"/>
      <c r="C377" s="6"/>
      <c r="D377" s="6"/>
      <c r="E377" s="6"/>
      <c r="I377" s="6"/>
      <c r="K377" s="6"/>
      <c r="W377" s="6"/>
      <c r="Z377" s="32"/>
      <c r="AB377" s="6"/>
      <c r="AC377" s="6"/>
      <c r="AD377" s="6"/>
      <c r="AF377" s="6"/>
      <c r="AK377" s="6"/>
      <c r="AL377" s="6"/>
      <c r="AT377" s="6"/>
      <c r="AV377" s="6"/>
      <c r="AW377" s="6"/>
      <c r="BD377" s="6"/>
    </row>
    <row r="378" ht="15.0" customHeight="1">
      <c r="A378" s="6"/>
      <c r="B378" s="6"/>
      <c r="C378" s="6"/>
      <c r="D378" s="6"/>
      <c r="E378" s="6"/>
      <c r="I378" s="6"/>
      <c r="K378" s="6"/>
      <c r="W378" s="6"/>
      <c r="Z378" s="32"/>
      <c r="AB378" s="6"/>
      <c r="AC378" s="6"/>
      <c r="AD378" s="6"/>
      <c r="AF378" s="6"/>
      <c r="AK378" s="6"/>
      <c r="AL378" s="6"/>
      <c r="AT378" s="6"/>
      <c r="AV378" s="6"/>
      <c r="AW378" s="6"/>
      <c r="BD378" s="6"/>
    </row>
    <row r="379" ht="15.0" customHeight="1">
      <c r="A379" s="6"/>
      <c r="B379" s="6"/>
      <c r="C379" s="6"/>
      <c r="D379" s="6"/>
      <c r="E379" s="6"/>
      <c r="I379" s="6"/>
      <c r="K379" s="6"/>
      <c r="W379" s="6"/>
      <c r="Z379" s="32"/>
      <c r="AB379" s="6"/>
      <c r="AC379" s="6"/>
      <c r="AD379" s="6"/>
      <c r="AF379" s="6"/>
      <c r="AK379" s="6"/>
      <c r="AL379" s="6"/>
      <c r="AT379" s="6"/>
      <c r="AV379" s="6"/>
      <c r="AW379" s="6"/>
      <c r="BD379" s="6"/>
    </row>
    <row r="380" ht="90.75" customHeight="1">
      <c r="A380" s="6"/>
      <c r="B380" s="6"/>
      <c r="C380" s="6"/>
      <c r="D380" s="6"/>
      <c r="E380" s="6"/>
      <c r="I380" s="6"/>
      <c r="K380" s="6"/>
      <c r="W380" s="6"/>
      <c r="Z380" s="32"/>
      <c r="AB380" s="6"/>
      <c r="AC380" s="6"/>
      <c r="AD380" s="6"/>
      <c r="AF380" s="6"/>
      <c r="AK380" s="6"/>
      <c r="AL380" s="6"/>
      <c r="AT380" s="6"/>
      <c r="AV380" s="6"/>
      <c r="AW380" s="6"/>
      <c r="BD380" s="6"/>
    </row>
    <row r="381" ht="15.0" customHeight="1">
      <c r="A381" s="6"/>
      <c r="B381" s="6"/>
      <c r="C381" s="6"/>
      <c r="D381" s="6"/>
      <c r="E381" s="6"/>
      <c r="I381" s="6"/>
      <c r="K381" s="6"/>
      <c r="W381" s="6"/>
      <c r="Z381" s="32"/>
      <c r="AB381" s="6"/>
      <c r="AC381" s="6"/>
      <c r="AD381" s="6"/>
      <c r="AF381" s="6"/>
      <c r="AK381" s="6"/>
      <c r="AL381" s="6"/>
      <c r="AT381" s="6"/>
      <c r="AV381" s="6"/>
      <c r="AW381" s="6"/>
      <c r="BD381" s="6"/>
    </row>
    <row r="382" ht="90.75" customHeight="1">
      <c r="A382" s="6"/>
      <c r="B382" s="6"/>
      <c r="C382" s="6"/>
      <c r="D382" s="6"/>
      <c r="E382" s="6"/>
      <c r="I382" s="6"/>
      <c r="K382" s="6"/>
      <c r="W382" s="6"/>
      <c r="Z382" s="32"/>
      <c r="AB382" s="6"/>
      <c r="AC382" s="6"/>
      <c r="AD382" s="6"/>
      <c r="AF382" s="6"/>
      <c r="AK382" s="6"/>
      <c r="AL382" s="6"/>
      <c r="AT382" s="6"/>
      <c r="AV382" s="6"/>
      <c r="AW382" s="6"/>
      <c r="BD382" s="6"/>
    </row>
    <row r="383" ht="15.0" customHeight="1">
      <c r="A383" s="6"/>
      <c r="B383" s="6"/>
      <c r="C383" s="6"/>
      <c r="D383" s="6"/>
      <c r="E383" s="6"/>
      <c r="I383" s="6"/>
      <c r="K383" s="6"/>
      <c r="W383" s="6"/>
      <c r="Z383" s="32"/>
      <c r="AB383" s="6"/>
      <c r="AC383" s="6"/>
      <c r="AD383" s="6"/>
      <c r="AF383" s="6"/>
      <c r="AK383" s="6"/>
      <c r="AL383" s="6"/>
      <c r="AT383" s="6"/>
      <c r="AV383" s="6"/>
      <c r="AW383" s="6"/>
      <c r="BD383" s="6"/>
    </row>
    <row r="384" ht="15.0" customHeight="1">
      <c r="A384" s="6"/>
      <c r="B384" s="6"/>
      <c r="C384" s="6"/>
      <c r="D384" s="6"/>
      <c r="E384" s="6"/>
      <c r="I384" s="6"/>
      <c r="K384" s="6"/>
      <c r="W384" s="6"/>
      <c r="Z384" s="32"/>
      <c r="AB384" s="6"/>
      <c r="AC384" s="6"/>
      <c r="AD384" s="6"/>
      <c r="AF384" s="6"/>
      <c r="AK384" s="6"/>
      <c r="AL384" s="6"/>
      <c r="AT384" s="6"/>
      <c r="AV384" s="6"/>
      <c r="AW384" s="6"/>
      <c r="BD384" s="6"/>
    </row>
    <row r="385" ht="113.25" customHeight="1">
      <c r="A385" s="6"/>
      <c r="B385" s="6"/>
      <c r="C385" s="6"/>
      <c r="D385" s="6"/>
      <c r="E385" s="6"/>
      <c r="I385" s="6"/>
      <c r="K385" s="6"/>
      <c r="W385" s="6"/>
      <c r="Z385" s="32"/>
      <c r="AB385" s="6"/>
      <c r="AC385" s="6"/>
      <c r="AD385" s="6"/>
      <c r="AF385" s="6"/>
      <c r="AK385" s="6"/>
      <c r="AL385" s="6"/>
      <c r="AT385" s="6"/>
      <c r="AV385" s="6"/>
      <c r="AW385" s="6"/>
      <c r="BD385" s="6"/>
    </row>
    <row r="386" ht="15.0" customHeight="1">
      <c r="A386" s="6"/>
      <c r="B386" s="6"/>
      <c r="C386" s="6"/>
      <c r="D386" s="6"/>
      <c r="E386" s="6"/>
      <c r="I386" s="6"/>
      <c r="K386" s="6"/>
      <c r="W386" s="6"/>
      <c r="Z386" s="32"/>
      <c r="AB386" s="6"/>
      <c r="AC386" s="6"/>
      <c r="AD386" s="6"/>
      <c r="AF386" s="6"/>
      <c r="AK386" s="6"/>
      <c r="AL386" s="6"/>
      <c r="AT386" s="6"/>
      <c r="AV386" s="6"/>
      <c r="AW386" s="6"/>
      <c r="BD386" s="6"/>
    </row>
    <row r="387" ht="15.75" customHeight="1">
      <c r="A387" s="6"/>
      <c r="B387" s="6"/>
      <c r="C387" s="6"/>
      <c r="D387" s="6"/>
      <c r="E387" s="6"/>
      <c r="I387" s="6"/>
      <c r="K387" s="6"/>
      <c r="W387" s="6"/>
      <c r="Z387" s="32"/>
      <c r="AB387" s="6"/>
      <c r="AC387" s="6"/>
      <c r="AD387" s="6"/>
      <c r="AF387" s="6"/>
      <c r="AK387" s="6"/>
      <c r="AL387" s="6"/>
      <c r="AT387" s="6"/>
      <c r="AV387" s="6"/>
      <c r="AW387" s="6"/>
      <c r="BD387" s="6"/>
    </row>
    <row r="388" ht="15.75" customHeight="1">
      <c r="A388" s="6"/>
      <c r="B388" s="6"/>
      <c r="C388" s="6"/>
      <c r="D388" s="6"/>
      <c r="E388" s="6"/>
      <c r="I388" s="6"/>
      <c r="K388" s="6"/>
      <c r="W388" s="6"/>
      <c r="Z388" s="32"/>
      <c r="AB388" s="6"/>
      <c r="AC388" s="6"/>
      <c r="AD388" s="6"/>
      <c r="AF388" s="6"/>
      <c r="AK388" s="6"/>
      <c r="AL388" s="6"/>
      <c r="AT388" s="6"/>
      <c r="AV388" s="6"/>
      <c r="AW388" s="6"/>
      <c r="BD388" s="6"/>
    </row>
    <row r="389" ht="15.75" customHeight="1">
      <c r="A389" s="6"/>
      <c r="B389" s="6"/>
      <c r="C389" s="6"/>
      <c r="D389" s="6"/>
      <c r="E389" s="6"/>
      <c r="I389" s="6"/>
      <c r="K389" s="6"/>
      <c r="W389" s="6"/>
      <c r="Z389" s="32"/>
      <c r="AB389" s="6"/>
      <c r="AC389" s="6"/>
      <c r="AD389" s="6"/>
      <c r="AF389" s="6"/>
      <c r="AK389" s="6"/>
      <c r="AL389" s="6"/>
      <c r="AT389" s="6"/>
      <c r="AV389" s="6"/>
      <c r="AW389" s="6"/>
      <c r="BD389" s="6"/>
    </row>
    <row r="390" ht="15.75" customHeight="1">
      <c r="A390" s="6"/>
      <c r="B390" s="6"/>
      <c r="C390" s="6"/>
      <c r="D390" s="6"/>
      <c r="E390" s="6"/>
      <c r="I390" s="6"/>
      <c r="K390" s="6"/>
      <c r="W390" s="6"/>
      <c r="Z390" s="32"/>
      <c r="AB390" s="6"/>
      <c r="AC390" s="6"/>
      <c r="AD390" s="6"/>
      <c r="AF390" s="6"/>
      <c r="AK390" s="6"/>
      <c r="AL390" s="6"/>
      <c r="AT390" s="6"/>
      <c r="AV390" s="6"/>
      <c r="AW390" s="6"/>
      <c r="BD390" s="6"/>
    </row>
    <row r="391" ht="15.75" customHeight="1">
      <c r="A391" s="6"/>
      <c r="B391" s="6"/>
      <c r="C391" s="6"/>
      <c r="D391" s="6"/>
      <c r="E391" s="6"/>
      <c r="I391" s="6"/>
      <c r="K391" s="6"/>
      <c r="W391" s="6"/>
      <c r="Z391" s="32"/>
      <c r="AB391" s="6"/>
      <c r="AC391" s="6"/>
      <c r="AD391" s="6"/>
      <c r="AF391" s="6"/>
      <c r="AK391" s="6"/>
      <c r="AL391" s="6"/>
      <c r="AT391" s="6"/>
      <c r="AV391" s="6"/>
      <c r="AW391" s="6"/>
      <c r="BD391" s="6"/>
    </row>
    <row r="392" ht="15.75" customHeight="1">
      <c r="A392" s="6"/>
      <c r="B392" s="6"/>
      <c r="C392" s="6"/>
      <c r="D392" s="6"/>
      <c r="E392" s="6"/>
      <c r="I392" s="6"/>
      <c r="K392" s="6"/>
      <c r="W392" s="6"/>
      <c r="Z392" s="32"/>
      <c r="AB392" s="6"/>
      <c r="AC392" s="6"/>
      <c r="AD392" s="6"/>
      <c r="AF392" s="6"/>
      <c r="AK392" s="6"/>
      <c r="AL392" s="6"/>
      <c r="AT392" s="6"/>
      <c r="AV392" s="6"/>
      <c r="AW392" s="6"/>
      <c r="BD392" s="6"/>
    </row>
    <row r="393" ht="15.75" customHeight="1">
      <c r="A393" s="6"/>
      <c r="B393" s="6"/>
      <c r="C393" s="6"/>
      <c r="D393" s="6"/>
      <c r="E393" s="6"/>
      <c r="I393" s="6"/>
      <c r="K393" s="6"/>
      <c r="W393" s="6"/>
      <c r="Z393" s="32"/>
      <c r="AB393" s="6"/>
      <c r="AC393" s="6"/>
      <c r="AD393" s="6"/>
      <c r="AF393" s="6"/>
      <c r="AK393" s="6"/>
      <c r="AL393" s="6"/>
      <c r="AT393" s="6"/>
      <c r="AV393" s="6"/>
      <c r="AW393" s="6"/>
      <c r="BD393" s="6"/>
    </row>
    <row r="394" ht="15.75" customHeight="1">
      <c r="A394" s="6"/>
      <c r="B394" s="6"/>
      <c r="C394" s="6"/>
      <c r="D394" s="6"/>
      <c r="E394" s="6"/>
      <c r="I394" s="6"/>
      <c r="K394" s="6"/>
      <c r="W394" s="6"/>
      <c r="Z394" s="32"/>
      <c r="AB394" s="6"/>
      <c r="AC394" s="6"/>
      <c r="AD394" s="6"/>
      <c r="AF394" s="6"/>
      <c r="AK394" s="6"/>
      <c r="AL394" s="6"/>
      <c r="AT394" s="6"/>
      <c r="AV394" s="6"/>
      <c r="AW394" s="6"/>
      <c r="BD394" s="6"/>
    </row>
    <row r="395" ht="15.75" customHeight="1">
      <c r="A395" s="6"/>
      <c r="B395" s="6"/>
      <c r="C395" s="6"/>
      <c r="D395" s="6"/>
      <c r="E395" s="6"/>
      <c r="I395" s="6"/>
      <c r="K395" s="6"/>
      <c r="W395" s="6"/>
      <c r="Z395" s="32"/>
      <c r="AB395" s="6"/>
      <c r="AC395" s="6"/>
      <c r="AD395" s="6"/>
      <c r="AF395" s="6"/>
      <c r="AK395" s="6"/>
      <c r="AL395" s="6"/>
      <c r="AT395" s="6"/>
      <c r="AV395" s="6"/>
      <c r="AW395" s="6"/>
      <c r="BD395" s="6"/>
    </row>
    <row r="396" ht="15.75" customHeight="1">
      <c r="A396" s="6"/>
      <c r="B396" s="6"/>
      <c r="C396" s="6"/>
      <c r="D396" s="6"/>
      <c r="E396" s="6"/>
      <c r="I396" s="6"/>
      <c r="K396" s="6"/>
      <c r="W396" s="6"/>
      <c r="Z396" s="32"/>
      <c r="AB396" s="6"/>
      <c r="AC396" s="6"/>
      <c r="AD396" s="6"/>
      <c r="AF396" s="6"/>
      <c r="AK396" s="6"/>
      <c r="AL396" s="6"/>
      <c r="AT396" s="6"/>
      <c r="AV396" s="6"/>
      <c r="AW396" s="6"/>
      <c r="BD396" s="6"/>
    </row>
    <row r="397" ht="15.75" customHeight="1">
      <c r="A397" s="6"/>
      <c r="B397" s="6"/>
      <c r="C397" s="6"/>
      <c r="D397" s="6"/>
      <c r="E397" s="6"/>
      <c r="I397" s="6"/>
      <c r="K397" s="6"/>
      <c r="W397" s="6"/>
      <c r="Z397" s="32"/>
      <c r="AB397" s="6"/>
      <c r="AC397" s="6"/>
      <c r="AD397" s="6"/>
      <c r="AF397" s="6"/>
      <c r="AK397" s="6"/>
      <c r="AL397" s="6"/>
      <c r="AT397" s="6"/>
      <c r="AV397" s="6"/>
      <c r="AW397" s="6"/>
      <c r="BD397" s="6"/>
    </row>
    <row r="398" ht="15.75" customHeight="1">
      <c r="A398" s="6"/>
      <c r="B398" s="6"/>
      <c r="C398" s="6"/>
      <c r="D398" s="6"/>
      <c r="E398" s="6"/>
      <c r="I398" s="6"/>
      <c r="K398" s="6"/>
      <c r="W398" s="6"/>
      <c r="Z398" s="32"/>
      <c r="AB398" s="6"/>
      <c r="AC398" s="6"/>
      <c r="AD398" s="6"/>
      <c r="AF398" s="6"/>
      <c r="AK398" s="6"/>
      <c r="AL398" s="6"/>
      <c r="AT398" s="6"/>
      <c r="AV398" s="6"/>
      <c r="AW398" s="6"/>
      <c r="BD398" s="6"/>
    </row>
    <row r="399" ht="15.75" customHeight="1">
      <c r="A399" s="6"/>
      <c r="B399" s="6"/>
      <c r="C399" s="6"/>
      <c r="D399" s="6"/>
      <c r="E399" s="6"/>
      <c r="I399" s="6"/>
      <c r="K399" s="6"/>
      <c r="W399" s="6"/>
      <c r="Z399" s="32"/>
      <c r="AB399" s="6"/>
      <c r="AC399" s="6"/>
      <c r="AD399" s="6"/>
      <c r="AF399" s="6"/>
      <c r="AK399" s="6"/>
      <c r="AL399" s="6"/>
      <c r="AT399" s="6"/>
      <c r="AV399" s="6"/>
      <c r="AW399" s="6"/>
      <c r="BD399" s="6"/>
    </row>
    <row r="400" ht="15.75" customHeight="1">
      <c r="A400" s="6"/>
      <c r="B400" s="6"/>
      <c r="C400" s="6"/>
      <c r="D400" s="6"/>
      <c r="E400" s="6"/>
      <c r="I400" s="6"/>
      <c r="K400" s="6"/>
      <c r="W400" s="6"/>
      <c r="Z400" s="32"/>
      <c r="AB400" s="6"/>
      <c r="AC400" s="6"/>
      <c r="AD400" s="6"/>
      <c r="AF400" s="6"/>
      <c r="AK400" s="6"/>
      <c r="AL400" s="6"/>
      <c r="AT400" s="6"/>
      <c r="AV400" s="6"/>
      <c r="AW400" s="6"/>
      <c r="BD400" s="6"/>
    </row>
    <row r="401" ht="15.75" customHeight="1">
      <c r="A401" s="6"/>
      <c r="B401" s="6"/>
      <c r="C401" s="6"/>
      <c r="D401" s="6"/>
      <c r="E401" s="6"/>
      <c r="I401" s="6"/>
      <c r="K401" s="6"/>
      <c r="W401" s="6"/>
      <c r="Z401" s="32"/>
      <c r="AB401" s="6"/>
      <c r="AC401" s="6"/>
      <c r="AD401" s="6"/>
      <c r="AF401" s="6"/>
      <c r="AK401" s="6"/>
      <c r="AL401" s="6"/>
      <c r="AT401" s="6"/>
      <c r="AV401" s="6"/>
      <c r="AW401" s="6"/>
      <c r="BD401" s="6"/>
    </row>
    <row r="402" ht="15.75" customHeight="1">
      <c r="A402" s="6"/>
      <c r="B402" s="6"/>
      <c r="C402" s="6"/>
      <c r="D402" s="6"/>
      <c r="E402" s="6"/>
      <c r="I402" s="6"/>
      <c r="K402" s="6"/>
      <c r="W402" s="6"/>
      <c r="Z402" s="32"/>
      <c r="AB402" s="6"/>
      <c r="AC402" s="6"/>
      <c r="AD402" s="6"/>
      <c r="AF402" s="6"/>
      <c r="AK402" s="6"/>
      <c r="AL402" s="6"/>
      <c r="AT402" s="6"/>
      <c r="AV402" s="6"/>
      <c r="AW402" s="6"/>
      <c r="BD402" s="6"/>
    </row>
    <row r="403" ht="15.75" customHeight="1">
      <c r="A403" s="6"/>
      <c r="B403" s="6"/>
      <c r="C403" s="6"/>
      <c r="D403" s="6"/>
      <c r="E403" s="6"/>
      <c r="I403" s="6"/>
      <c r="K403" s="6"/>
      <c r="W403" s="6"/>
      <c r="Z403" s="32"/>
      <c r="AB403" s="6"/>
      <c r="AC403" s="6"/>
      <c r="AD403" s="6"/>
      <c r="AF403" s="6"/>
      <c r="AK403" s="6"/>
      <c r="AL403" s="6"/>
      <c r="AT403" s="6"/>
      <c r="AV403" s="6"/>
      <c r="AW403" s="6"/>
      <c r="BD403" s="6"/>
    </row>
    <row r="404" ht="15.75" customHeight="1">
      <c r="A404" s="6"/>
      <c r="B404" s="6"/>
      <c r="C404" s="6"/>
      <c r="D404" s="6"/>
      <c r="E404" s="6"/>
      <c r="I404" s="6"/>
      <c r="K404" s="6"/>
      <c r="W404" s="6"/>
      <c r="Z404" s="32"/>
      <c r="AB404" s="6"/>
      <c r="AC404" s="6"/>
      <c r="AD404" s="6"/>
      <c r="AF404" s="6"/>
      <c r="AK404" s="6"/>
      <c r="AL404" s="6"/>
      <c r="AT404" s="6"/>
      <c r="AV404" s="6"/>
      <c r="AW404" s="6"/>
      <c r="BD404" s="6"/>
    </row>
    <row r="405" ht="15.75" customHeight="1">
      <c r="A405" s="6"/>
      <c r="B405" s="6"/>
      <c r="C405" s="6"/>
      <c r="D405" s="6"/>
      <c r="E405" s="6"/>
      <c r="I405" s="6"/>
      <c r="K405" s="6"/>
      <c r="W405" s="6"/>
      <c r="Z405" s="32"/>
      <c r="AB405" s="6"/>
      <c r="AC405" s="6"/>
      <c r="AD405" s="6"/>
      <c r="AF405" s="6"/>
      <c r="AK405" s="6"/>
      <c r="AL405" s="6"/>
      <c r="AT405" s="6"/>
      <c r="AV405" s="6"/>
      <c r="AW405" s="6"/>
      <c r="BD405" s="6"/>
    </row>
    <row r="406" ht="15.75" customHeight="1">
      <c r="A406" s="6"/>
      <c r="B406" s="6"/>
      <c r="C406" s="6"/>
      <c r="D406" s="6"/>
      <c r="E406" s="6"/>
      <c r="I406" s="6"/>
      <c r="K406" s="6"/>
      <c r="W406" s="6"/>
      <c r="Z406" s="32"/>
      <c r="AB406" s="6"/>
      <c r="AC406" s="6"/>
      <c r="AD406" s="6"/>
      <c r="AF406" s="6"/>
      <c r="AK406" s="6"/>
      <c r="AL406" s="6"/>
      <c r="AT406" s="6"/>
      <c r="AV406" s="6"/>
      <c r="AW406" s="6"/>
      <c r="BD406" s="6"/>
    </row>
    <row r="407" ht="15.75" customHeight="1">
      <c r="A407" s="6"/>
      <c r="B407" s="6"/>
      <c r="C407" s="6"/>
      <c r="D407" s="6"/>
      <c r="E407" s="6"/>
      <c r="I407" s="6"/>
      <c r="K407" s="6"/>
      <c r="W407" s="6"/>
      <c r="Z407" s="32"/>
      <c r="AB407" s="6"/>
      <c r="AC407" s="6"/>
      <c r="AD407" s="6"/>
      <c r="AF407" s="6"/>
      <c r="AK407" s="6"/>
      <c r="AL407" s="6"/>
      <c r="AT407" s="6"/>
      <c r="AV407" s="6"/>
      <c r="AW407" s="6"/>
      <c r="BD407" s="6"/>
    </row>
    <row r="408" ht="15.75" customHeight="1">
      <c r="A408" s="6"/>
      <c r="B408" s="6"/>
      <c r="C408" s="6"/>
      <c r="D408" s="6"/>
      <c r="E408" s="6"/>
      <c r="I408" s="6"/>
      <c r="K408" s="6"/>
      <c r="W408" s="6"/>
      <c r="Z408" s="32"/>
      <c r="AB408" s="6"/>
      <c r="AC408" s="6"/>
      <c r="AD408" s="6"/>
      <c r="AF408" s="6"/>
      <c r="AK408" s="6"/>
      <c r="AL408" s="6"/>
      <c r="AT408" s="6"/>
      <c r="AV408" s="6"/>
      <c r="AW408" s="6"/>
      <c r="BD408" s="6"/>
    </row>
    <row r="409" ht="15.75" customHeight="1">
      <c r="A409" s="6"/>
      <c r="B409" s="6"/>
      <c r="C409" s="6"/>
      <c r="D409" s="6"/>
      <c r="E409" s="6"/>
      <c r="I409" s="6"/>
      <c r="K409" s="6"/>
      <c r="W409" s="6"/>
      <c r="Z409" s="32"/>
      <c r="AB409" s="6"/>
      <c r="AC409" s="6"/>
      <c r="AD409" s="6"/>
      <c r="AF409" s="6"/>
      <c r="AK409" s="6"/>
      <c r="AL409" s="6"/>
      <c r="AT409" s="6"/>
      <c r="AV409" s="6"/>
      <c r="AW409" s="6"/>
      <c r="BD409" s="6"/>
    </row>
    <row r="410" ht="15.75" customHeight="1">
      <c r="A410" s="6"/>
      <c r="B410" s="6"/>
      <c r="C410" s="6"/>
      <c r="D410" s="6"/>
      <c r="E410" s="6"/>
      <c r="I410" s="6"/>
      <c r="K410" s="6"/>
      <c r="W410" s="6"/>
      <c r="Z410" s="32"/>
      <c r="AB410" s="6"/>
      <c r="AC410" s="6"/>
      <c r="AD410" s="6"/>
      <c r="AF410" s="6"/>
      <c r="AK410" s="6"/>
      <c r="AL410" s="6"/>
      <c r="AT410" s="6"/>
      <c r="AV410" s="6"/>
      <c r="AW410" s="6"/>
      <c r="BD410" s="6"/>
    </row>
    <row r="411" ht="15.75" customHeight="1">
      <c r="A411" s="6"/>
      <c r="B411" s="6"/>
      <c r="C411" s="6"/>
      <c r="D411" s="6"/>
      <c r="E411" s="6"/>
      <c r="I411" s="6"/>
      <c r="K411" s="6"/>
      <c r="W411" s="6"/>
      <c r="Z411" s="32"/>
      <c r="AB411" s="6"/>
      <c r="AC411" s="6"/>
      <c r="AD411" s="6"/>
      <c r="AF411" s="6"/>
      <c r="AK411" s="6"/>
      <c r="AL411" s="6"/>
      <c r="AT411" s="6"/>
      <c r="AV411" s="6"/>
      <c r="AW411" s="6"/>
      <c r="BD411" s="6"/>
    </row>
    <row r="412" ht="15.75" customHeight="1">
      <c r="A412" s="6"/>
      <c r="B412" s="6"/>
      <c r="C412" s="6"/>
      <c r="D412" s="6"/>
      <c r="E412" s="6"/>
      <c r="I412" s="6"/>
      <c r="K412" s="6"/>
      <c r="W412" s="6"/>
      <c r="Z412" s="32"/>
      <c r="AB412" s="6"/>
      <c r="AC412" s="6"/>
      <c r="AD412" s="6"/>
      <c r="AF412" s="6"/>
      <c r="AK412" s="6"/>
      <c r="AL412" s="6"/>
      <c r="AT412" s="6"/>
      <c r="AV412" s="6"/>
      <c r="AW412" s="6"/>
      <c r="BD412" s="6"/>
    </row>
    <row r="413" ht="15.75" customHeight="1">
      <c r="A413" s="6"/>
      <c r="B413" s="6"/>
      <c r="C413" s="6"/>
      <c r="D413" s="6"/>
      <c r="E413" s="6"/>
      <c r="I413" s="6"/>
      <c r="K413" s="6"/>
      <c r="W413" s="6"/>
      <c r="Z413" s="32"/>
      <c r="AB413" s="6"/>
      <c r="AC413" s="6"/>
      <c r="AD413" s="6"/>
      <c r="AF413" s="6"/>
      <c r="AK413" s="6"/>
      <c r="AL413" s="6"/>
      <c r="AT413" s="6"/>
      <c r="AV413" s="6"/>
      <c r="AW413" s="6"/>
      <c r="BD413" s="6"/>
    </row>
    <row r="414" ht="15.75" customHeight="1">
      <c r="A414" s="6"/>
      <c r="B414" s="6"/>
      <c r="C414" s="6"/>
      <c r="D414" s="6"/>
      <c r="E414" s="6"/>
      <c r="I414" s="6"/>
      <c r="K414" s="6"/>
      <c r="W414" s="6"/>
      <c r="Z414" s="32"/>
      <c r="AB414" s="6"/>
      <c r="AC414" s="6"/>
      <c r="AD414" s="6"/>
      <c r="AF414" s="6"/>
      <c r="AK414" s="6"/>
      <c r="AL414" s="6"/>
      <c r="AT414" s="6"/>
      <c r="AV414" s="6"/>
      <c r="AW414" s="6"/>
      <c r="BD414" s="6"/>
    </row>
    <row r="415" ht="15.75" customHeight="1">
      <c r="A415" s="6"/>
      <c r="B415" s="6"/>
      <c r="C415" s="6"/>
      <c r="D415" s="6"/>
      <c r="E415" s="6"/>
      <c r="I415" s="6"/>
      <c r="K415" s="6"/>
      <c r="W415" s="6"/>
      <c r="Z415" s="32"/>
      <c r="AB415" s="6"/>
      <c r="AC415" s="6"/>
      <c r="AD415" s="6"/>
      <c r="AF415" s="6"/>
      <c r="AK415" s="6"/>
      <c r="AL415" s="6"/>
      <c r="AT415" s="6"/>
      <c r="AV415" s="6"/>
      <c r="AW415" s="6"/>
      <c r="BD415" s="6"/>
    </row>
    <row r="416" ht="15.75" customHeight="1">
      <c r="A416" s="6"/>
      <c r="B416" s="6"/>
      <c r="C416" s="6"/>
      <c r="D416" s="6"/>
      <c r="E416" s="6"/>
      <c r="I416" s="6"/>
      <c r="K416" s="6"/>
      <c r="W416" s="6"/>
      <c r="Z416" s="32"/>
      <c r="AB416" s="6"/>
      <c r="AC416" s="6"/>
      <c r="AD416" s="6"/>
      <c r="AF416" s="6"/>
      <c r="AK416" s="6"/>
      <c r="AL416" s="6"/>
      <c r="AT416" s="6"/>
      <c r="AV416" s="6"/>
      <c r="AW416" s="6"/>
      <c r="BD416" s="6"/>
    </row>
    <row r="417" ht="15.75" customHeight="1">
      <c r="A417" s="6"/>
      <c r="B417" s="6"/>
      <c r="C417" s="6"/>
      <c r="D417" s="6"/>
      <c r="E417" s="6"/>
      <c r="I417" s="6"/>
      <c r="K417" s="6"/>
      <c r="W417" s="6"/>
      <c r="Z417" s="32"/>
      <c r="AB417" s="6"/>
      <c r="AC417" s="6"/>
      <c r="AD417" s="6"/>
      <c r="AF417" s="6"/>
      <c r="AK417" s="6"/>
      <c r="AL417" s="6"/>
      <c r="AT417" s="6"/>
      <c r="AV417" s="6"/>
      <c r="AW417" s="6"/>
      <c r="BD417" s="6"/>
    </row>
    <row r="418" ht="15.75" customHeight="1">
      <c r="A418" s="6"/>
      <c r="B418" s="6"/>
      <c r="C418" s="6"/>
      <c r="D418" s="6"/>
      <c r="E418" s="6"/>
      <c r="I418" s="6"/>
      <c r="K418" s="6"/>
      <c r="W418" s="6"/>
      <c r="Z418" s="32"/>
      <c r="AB418" s="6"/>
      <c r="AC418" s="6"/>
      <c r="AD418" s="6"/>
      <c r="AF418" s="6"/>
      <c r="AK418" s="6"/>
      <c r="AL418" s="6"/>
      <c r="AT418" s="6"/>
      <c r="AV418" s="6"/>
      <c r="AW418" s="6"/>
      <c r="BD418" s="6"/>
    </row>
    <row r="419" ht="15.75" customHeight="1">
      <c r="A419" s="6"/>
      <c r="B419" s="6"/>
      <c r="C419" s="6"/>
      <c r="D419" s="6"/>
      <c r="E419" s="6"/>
      <c r="I419" s="6"/>
      <c r="K419" s="6"/>
      <c r="W419" s="6"/>
      <c r="Z419" s="32"/>
      <c r="AB419" s="6"/>
      <c r="AC419" s="6"/>
      <c r="AD419" s="6"/>
      <c r="AF419" s="6"/>
      <c r="AK419" s="6"/>
      <c r="AL419" s="6"/>
      <c r="AT419" s="6"/>
      <c r="AV419" s="6"/>
      <c r="AW419" s="6"/>
      <c r="BD419" s="6"/>
    </row>
    <row r="420" ht="15.75" customHeight="1">
      <c r="A420" s="6"/>
      <c r="B420" s="6"/>
      <c r="C420" s="6"/>
      <c r="D420" s="6"/>
      <c r="E420" s="6"/>
      <c r="I420" s="6"/>
      <c r="K420" s="6"/>
      <c r="W420" s="6"/>
      <c r="Z420" s="32"/>
      <c r="AB420" s="6"/>
      <c r="AC420" s="6"/>
      <c r="AD420" s="6"/>
      <c r="AF420" s="6"/>
      <c r="AK420" s="6"/>
      <c r="AL420" s="6"/>
      <c r="AT420" s="6"/>
      <c r="AV420" s="6"/>
      <c r="AW420" s="6"/>
      <c r="BD420" s="6"/>
    </row>
    <row r="421" ht="15.75" customHeight="1">
      <c r="A421" s="6"/>
      <c r="B421" s="6"/>
      <c r="C421" s="6"/>
      <c r="D421" s="6"/>
      <c r="E421" s="6"/>
      <c r="I421" s="6"/>
      <c r="K421" s="6"/>
      <c r="W421" s="6"/>
      <c r="Z421" s="32"/>
      <c r="AB421" s="6"/>
      <c r="AC421" s="6"/>
      <c r="AD421" s="6"/>
      <c r="AF421" s="6"/>
      <c r="AK421" s="6"/>
      <c r="AL421" s="6"/>
      <c r="AT421" s="6"/>
      <c r="AV421" s="6"/>
      <c r="AW421" s="6"/>
      <c r="BD421" s="6"/>
    </row>
    <row r="422" ht="15.75" customHeight="1">
      <c r="A422" s="6"/>
      <c r="B422" s="6"/>
      <c r="C422" s="6"/>
      <c r="D422" s="6"/>
      <c r="E422" s="6"/>
      <c r="I422" s="6"/>
      <c r="K422" s="6"/>
      <c r="W422" s="6"/>
      <c r="Z422" s="32"/>
      <c r="AB422" s="6"/>
      <c r="AC422" s="6"/>
      <c r="AD422" s="6"/>
      <c r="AF422" s="6"/>
      <c r="AK422" s="6"/>
      <c r="AL422" s="6"/>
      <c r="AT422" s="6"/>
      <c r="AV422" s="6"/>
      <c r="AW422" s="6"/>
      <c r="BD422" s="6"/>
    </row>
    <row r="423" ht="15.75" customHeight="1">
      <c r="A423" s="6"/>
      <c r="B423" s="6"/>
      <c r="C423" s="6"/>
      <c r="D423" s="6"/>
      <c r="E423" s="6"/>
      <c r="I423" s="6"/>
      <c r="K423" s="6"/>
      <c r="W423" s="6"/>
      <c r="Z423" s="32"/>
      <c r="AB423" s="6"/>
      <c r="AC423" s="6"/>
      <c r="AD423" s="6"/>
      <c r="AF423" s="6"/>
      <c r="AK423" s="6"/>
      <c r="AL423" s="6"/>
      <c r="AT423" s="6"/>
      <c r="AV423" s="6"/>
      <c r="AW423" s="6"/>
      <c r="BD423" s="6"/>
    </row>
    <row r="424" ht="15.75" customHeight="1">
      <c r="A424" s="6"/>
      <c r="B424" s="6"/>
      <c r="C424" s="6"/>
      <c r="D424" s="6"/>
      <c r="E424" s="6"/>
      <c r="I424" s="6"/>
      <c r="K424" s="6"/>
      <c r="W424" s="6"/>
      <c r="Z424" s="32"/>
      <c r="AB424" s="6"/>
      <c r="AC424" s="6"/>
      <c r="AD424" s="6"/>
      <c r="AF424" s="6"/>
      <c r="AK424" s="6"/>
      <c r="AL424" s="6"/>
      <c r="AT424" s="6"/>
      <c r="AV424" s="6"/>
      <c r="AW424" s="6"/>
      <c r="BD424" s="6"/>
    </row>
    <row r="425" ht="15.75" customHeight="1">
      <c r="A425" s="6"/>
      <c r="B425" s="6"/>
      <c r="C425" s="6"/>
      <c r="D425" s="6"/>
      <c r="E425" s="6"/>
      <c r="I425" s="6"/>
      <c r="K425" s="6"/>
      <c r="W425" s="6"/>
      <c r="Z425" s="32"/>
      <c r="AB425" s="6"/>
      <c r="AC425" s="6"/>
      <c r="AD425" s="6"/>
      <c r="AF425" s="6"/>
      <c r="AK425" s="6"/>
      <c r="AL425" s="6"/>
      <c r="AT425" s="6"/>
      <c r="AV425" s="6"/>
      <c r="AW425" s="6"/>
      <c r="BD425" s="6"/>
    </row>
    <row r="426" ht="15.75" customHeight="1">
      <c r="A426" s="6"/>
      <c r="B426" s="6"/>
      <c r="C426" s="6"/>
      <c r="D426" s="6"/>
      <c r="E426" s="6"/>
      <c r="I426" s="6"/>
      <c r="K426" s="6"/>
      <c r="W426" s="6"/>
      <c r="Z426" s="32"/>
      <c r="AB426" s="6"/>
      <c r="AC426" s="6"/>
      <c r="AD426" s="6"/>
      <c r="AF426" s="6"/>
      <c r="AK426" s="6"/>
      <c r="AL426" s="6"/>
      <c r="AT426" s="6"/>
      <c r="AV426" s="6"/>
      <c r="AW426" s="6"/>
      <c r="BD426" s="6"/>
    </row>
    <row r="427" ht="15.75" customHeight="1">
      <c r="A427" s="6"/>
      <c r="B427" s="6"/>
      <c r="C427" s="6"/>
      <c r="D427" s="6"/>
      <c r="E427" s="6"/>
      <c r="I427" s="6"/>
      <c r="K427" s="6"/>
      <c r="W427" s="6"/>
      <c r="Z427" s="32"/>
      <c r="AB427" s="6"/>
      <c r="AC427" s="6"/>
      <c r="AD427" s="6"/>
      <c r="AF427" s="6"/>
      <c r="AK427" s="6"/>
      <c r="AL427" s="6"/>
      <c r="AT427" s="6"/>
      <c r="AV427" s="6"/>
      <c r="AW427" s="6"/>
      <c r="BD427" s="6"/>
    </row>
    <row r="428" ht="15.75" customHeight="1">
      <c r="A428" s="6"/>
      <c r="B428" s="6"/>
      <c r="C428" s="6"/>
      <c r="D428" s="6"/>
      <c r="E428" s="6"/>
      <c r="I428" s="6"/>
      <c r="K428" s="6"/>
      <c r="W428" s="6"/>
      <c r="Z428" s="32"/>
      <c r="AB428" s="6"/>
      <c r="AC428" s="6"/>
      <c r="AD428" s="6"/>
      <c r="AF428" s="6"/>
      <c r="AK428" s="6"/>
      <c r="AL428" s="6"/>
      <c r="AT428" s="6"/>
      <c r="AV428" s="6"/>
      <c r="AW428" s="6"/>
      <c r="BD428" s="6"/>
    </row>
    <row r="429" ht="15.75" customHeight="1">
      <c r="A429" s="6"/>
      <c r="B429" s="6"/>
      <c r="C429" s="6"/>
      <c r="D429" s="6"/>
      <c r="E429" s="6"/>
      <c r="I429" s="6"/>
      <c r="K429" s="6"/>
      <c r="W429" s="6"/>
      <c r="Z429" s="32"/>
      <c r="AB429" s="6"/>
      <c r="AC429" s="6"/>
      <c r="AD429" s="6"/>
      <c r="AF429" s="6"/>
      <c r="AK429" s="6"/>
      <c r="AL429" s="6"/>
      <c r="AT429" s="6"/>
      <c r="AV429" s="6"/>
      <c r="AW429" s="6"/>
      <c r="BD429" s="6"/>
    </row>
    <row r="430" ht="15.75" customHeight="1">
      <c r="A430" s="6"/>
      <c r="B430" s="6"/>
      <c r="C430" s="6"/>
      <c r="D430" s="6"/>
      <c r="E430" s="6"/>
      <c r="I430" s="6"/>
      <c r="K430" s="6"/>
      <c r="W430" s="6"/>
      <c r="Z430" s="32"/>
      <c r="AB430" s="6"/>
      <c r="AC430" s="6"/>
      <c r="AD430" s="6"/>
      <c r="AF430" s="6"/>
      <c r="AK430" s="6"/>
      <c r="AL430" s="6"/>
      <c r="AT430" s="6"/>
      <c r="AV430" s="6"/>
      <c r="AW430" s="6"/>
      <c r="BD430" s="6"/>
    </row>
    <row r="431" ht="15.75" customHeight="1">
      <c r="A431" s="6"/>
      <c r="B431" s="6"/>
      <c r="C431" s="6"/>
      <c r="D431" s="6"/>
      <c r="E431" s="6"/>
      <c r="I431" s="6"/>
      <c r="K431" s="6"/>
      <c r="W431" s="6"/>
      <c r="Z431" s="32"/>
      <c r="AB431" s="6"/>
      <c r="AC431" s="6"/>
      <c r="AD431" s="6"/>
      <c r="AF431" s="6"/>
      <c r="AK431" s="6"/>
      <c r="AL431" s="6"/>
      <c r="AT431" s="6"/>
      <c r="AV431" s="6"/>
      <c r="AW431" s="6"/>
      <c r="BD431" s="6"/>
    </row>
    <row r="432" ht="15.75" customHeight="1">
      <c r="A432" s="6"/>
      <c r="B432" s="6"/>
      <c r="C432" s="6"/>
      <c r="D432" s="6"/>
      <c r="E432" s="6"/>
      <c r="I432" s="6"/>
      <c r="K432" s="6"/>
      <c r="W432" s="6"/>
      <c r="Z432" s="32"/>
      <c r="AB432" s="6"/>
      <c r="AC432" s="6"/>
      <c r="AD432" s="6"/>
      <c r="AF432" s="6"/>
      <c r="AK432" s="6"/>
      <c r="AL432" s="6"/>
      <c r="AT432" s="6"/>
      <c r="AV432" s="6"/>
      <c r="AW432" s="6"/>
      <c r="BD432" s="6"/>
    </row>
    <row r="433" ht="15.75" customHeight="1">
      <c r="A433" s="6"/>
      <c r="B433" s="6"/>
      <c r="C433" s="6"/>
      <c r="D433" s="6"/>
      <c r="E433" s="6"/>
      <c r="I433" s="6"/>
      <c r="K433" s="6"/>
      <c r="W433" s="6"/>
      <c r="Z433" s="32"/>
      <c r="AB433" s="6"/>
      <c r="AC433" s="6"/>
      <c r="AD433" s="6"/>
      <c r="AF433" s="6"/>
      <c r="AK433" s="6"/>
      <c r="AL433" s="6"/>
      <c r="AT433" s="6"/>
      <c r="AV433" s="6"/>
      <c r="AW433" s="6"/>
      <c r="BD433" s="6"/>
    </row>
    <row r="434" ht="15.75" customHeight="1">
      <c r="A434" s="6"/>
      <c r="B434" s="6"/>
      <c r="C434" s="6"/>
      <c r="D434" s="6"/>
      <c r="E434" s="6"/>
      <c r="I434" s="6"/>
      <c r="K434" s="6"/>
      <c r="W434" s="6"/>
      <c r="Z434" s="32"/>
      <c r="AB434" s="6"/>
      <c r="AC434" s="6"/>
      <c r="AD434" s="6"/>
      <c r="AF434" s="6"/>
      <c r="AK434" s="6"/>
      <c r="AL434" s="6"/>
      <c r="AT434" s="6"/>
      <c r="AV434" s="6"/>
      <c r="AW434" s="6"/>
      <c r="BD434" s="6"/>
    </row>
    <row r="435" ht="15.75" customHeight="1">
      <c r="A435" s="6"/>
      <c r="B435" s="6"/>
      <c r="C435" s="6"/>
      <c r="D435" s="6"/>
      <c r="E435" s="6"/>
      <c r="I435" s="6"/>
      <c r="K435" s="6"/>
      <c r="W435" s="6"/>
      <c r="Z435" s="32"/>
      <c r="AB435" s="6"/>
      <c r="AC435" s="6"/>
      <c r="AD435" s="6"/>
      <c r="AF435" s="6"/>
      <c r="AK435" s="6"/>
      <c r="AL435" s="6"/>
      <c r="AT435" s="6"/>
      <c r="AV435" s="6"/>
      <c r="AW435" s="6"/>
      <c r="BD435" s="6"/>
    </row>
    <row r="436" ht="15.75" customHeight="1">
      <c r="A436" s="6"/>
      <c r="B436" s="6"/>
      <c r="C436" s="6"/>
      <c r="D436" s="6"/>
      <c r="E436" s="6"/>
      <c r="I436" s="6"/>
      <c r="K436" s="6"/>
      <c r="W436" s="6"/>
      <c r="Z436" s="32"/>
      <c r="AB436" s="6"/>
      <c r="AC436" s="6"/>
      <c r="AD436" s="6"/>
      <c r="AF436" s="6"/>
      <c r="AK436" s="6"/>
      <c r="AL436" s="6"/>
      <c r="AT436" s="6"/>
      <c r="AV436" s="6"/>
      <c r="AW436" s="6"/>
      <c r="BD436" s="6"/>
    </row>
    <row r="437" ht="15.75" customHeight="1">
      <c r="A437" s="6"/>
      <c r="B437" s="6"/>
      <c r="C437" s="6"/>
      <c r="D437" s="6"/>
      <c r="E437" s="6"/>
      <c r="I437" s="6"/>
      <c r="K437" s="6"/>
      <c r="W437" s="6"/>
      <c r="Z437" s="32"/>
      <c r="AB437" s="6"/>
      <c r="AC437" s="6"/>
      <c r="AD437" s="6"/>
      <c r="AF437" s="6"/>
      <c r="AK437" s="6"/>
      <c r="AL437" s="6"/>
      <c r="AT437" s="6"/>
      <c r="AV437" s="6"/>
      <c r="AW437" s="6"/>
      <c r="BD437" s="6"/>
    </row>
    <row r="438" ht="15.75" customHeight="1">
      <c r="A438" s="6"/>
      <c r="B438" s="6"/>
      <c r="C438" s="6"/>
      <c r="D438" s="6"/>
      <c r="E438" s="6"/>
      <c r="I438" s="6"/>
      <c r="K438" s="6"/>
      <c r="W438" s="6"/>
      <c r="Z438" s="32"/>
      <c r="AB438" s="6"/>
      <c r="AC438" s="6"/>
      <c r="AD438" s="6"/>
      <c r="AF438" s="6"/>
      <c r="AK438" s="6"/>
      <c r="AL438" s="6"/>
      <c r="AT438" s="6"/>
      <c r="AV438" s="6"/>
      <c r="AW438" s="6"/>
      <c r="BD438" s="6"/>
    </row>
    <row r="439" ht="15.75" customHeight="1">
      <c r="A439" s="6"/>
      <c r="B439" s="6"/>
      <c r="C439" s="6"/>
      <c r="D439" s="6"/>
      <c r="E439" s="6"/>
      <c r="I439" s="6"/>
      <c r="K439" s="6"/>
      <c r="W439" s="6"/>
      <c r="Z439" s="32"/>
      <c r="AB439" s="6"/>
      <c r="AC439" s="6"/>
      <c r="AD439" s="6"/>
      <c r="AF439" s="6"/>
      <c r="AK439" s="6"/>
      <c r="AL439" s="6"/>
      <c r="AT439" s="6"/>
      <c r="AV439" s="6"/>
      <c r="AW439" s="6"/>
      <c r="BD439" s="6"/>
    </row>
    <row r="440" ht="15.75" customHeight="1">
      <c r="A440" s="6"/>
      <c r="B440" s="6"/>
      <c r="C440" s="6"/>
      <c r="D440" s="6"/>
      <c r="E440" s="6"/>
      <c r="I440" s="6"/>
      <c r="K440" s="6"/>
      <c r="W440" s="6"/>
      <c r="Z440" s="32"/>
      <c r="AB440" s="6"/>
      <c r="AC440" s="6"/>
      <c r="AD440" s="6"/>
      <c r="AF440" s="6"/>
      <c r="AK440" s="6"/>
      <c r="AL440" s="6"/>
      <c r="AT440" s="6"/>
      <c r="AV440" s="6"/>
      <c r="AW440" s="6"/>
      <c r="BD440" s="6"/>
    </row>
    <row r="441" ht="15.75" customHeight="1">
      <c r="A441" s="6"/>
      <c r="B441" s="6"/>
      <c r="C441" s="6"/>
      <c r="D441" s="6"/>
      <c r="E441" s="6"/>
      <c r="I441" s="6"/>
      <c r="K441" s="6"/>
      <c r="W441" s="6"/>
      <c r="Z441" s="32"/>
      <c r="AB441" s="6"/>
      <c r="AC441" s="6"/>
      <c r="AD441" s="6"/>
      <c r="AF441" s="6"/>
      <c r="AK441" s="6"/>
      <c r="AL441" s="6"/>
      <c r="AT441" s="6"/>
      <c r="AV441" s="6"/>
      <c r="AW441" s="6"/>
      <c r="BD441" s="6"/>
    </row>
    <row r="442" ht="15.75" customHeight="1">
      <c r="A442" s="6"/>
      <c r="B442" s="6"/>
      <c r="C442" s="6"/>
      <c r="D442" s="6"/>
      <c r="E442" s="6"/>
      <c r="I442" s="6"/>
      <c r="K442" s="6"/>
      <c r="W442" s="6"/>
      <c r="Z442" s="32"/>
      <c r="AB442" s="6"/>
      <c r="AC442" s="6"/>
      <c r="AD442" s="6"/>
      <c r="AF442" s="6"/>
      <c r="AK442" s="6"/>
      <c r="AL442" s="6"/>
      <c r="AT442" s="6"/>
      <c r="AV442" s="6"/>
      <c r="AW442" s="6"/>
      <c r="BD442" s="6"/>
    </row>
    <row r="443" ht="15.75" customHeight="1">
      <c r="A443" s="6"/>
      <c r="B443" s="6"/>
      <c r="C443" s="6"/>
      <c r="D443" s="6"/>
      <c r="E443" s="6"/>
      <c r="I443" s="6"/>
      <c r="K443" s="6"/>
      <c r="W443" s="6"/>
      <c r="Z443" s="32"/>
      <c r="AB443" s="6"/>
      <c r="AC443" s="6"/>
      <c r="AD443" s="6"/>
      <c r="AF443" s="6"/>
      <c r="AK443" s="6"/>
      <c r="AL443" s="6"/>
      <c r="AT443" s="6"/>
      <c r="AV443" s="6"/>
      <c r="AW443" s="6"/>
      <c r="BD443" s="6"/>
    </row>
    <row r="444" ht="15.75" customHeight="1">
      <c r="A444" s="6"/>
      <c r="B444" s="6"/>
      <c r="C444" s="6"/>
      <c r="D444" s="6"/>
      <c r="E444" s="6"/>
      <c r="I444" s="6"/>
      <c r="K444" s="6"/>
      <c r="W444" s="6"/>
      <c r="Z444" s="32"/>
      <c r="AB444" s="6"/>
      <c r="AC444" s="6"/>
      <c r="AD444" s="6"/>
      <c r="AF444" s="6"/>
      <c r="AK444" s="6"/>
      <c r="AL444" s="6"/>
      <c r="AT444" s="6"/>
      <c r="AV444" s="6"/>
      <c r="AW444" s="6"/>
      <c r="BD444" s="6"/>
    </row>
    <row r="445" ht="15.75" customHeight="1">
      <c r="A445" s="6"/>
      <c r="B445" s="6"/>
      <c r="C445" s="6"/>
      <c r="D445" s="6"/>
      <c r="E445" s="6"/>
      <c r="I445" s="6"/>
      <c r="K445" s="6"/>
      <c r="W445" s="6"/>
      <c r="Z445" s="32"/>
      <c r="AB445" s="6"/>
      <c r="AC445" s="6"/>
      <c r="AD445" s="6"/>
      <c r="AF445" s="6"/>
      <c r="AK445" s="6"/>
      <c r="AL445" s="6"/>
      <c r="AT445" s="6"/>
      <c r="AV445" s="6"/>
      <c r="AW445" s="6"/>
      <c r="BD445" s="6"/>
    </row>
    <row r="446" ht="15.75" customHeight="1">
      <c r="A446" s="6"/>
      <c r="B446" s="6"/>
      <c r="C446" s="6"/>
      <c r="D446" s="6"/>
      <c r="E446" s="6"/>
      <c r="I446" s="6"/>
      <c r="K446" s="6"/>
      <c r="W446" s="6"/>
      <c r="Z446" s="32"/>
      <c r="AB446" s="6"/>
      <c r="AC446" s="6"/>
      <c r="AD446" s="6"/>
      <c r="AF446" s="6"/>
      <c r="AK446" s="6"/>
      <c r="AL446" s="6"/>
      <c r="AT446" s="6"/>
      <c r="AV446" s="6"/>
      <c r="AW446" s="6"/>
      <c r="BD446" s="6"/>
    </row>
    <row r="447" ht="15.75" customHeight="1">
      <c r="A447" s="6"/>
      <c r="B447" s="6"/>
      <c r="C447" s="6"/>
      <c r="D447" s="6"/>
      <c r="E447" s="6"/>
      <c r="I447" s="6"/>
      <c r="K447" s="6"/>
      <c r="W447" s="6"/>
      <c r="Z447" s="32"/>
      <c r="AB447" s="6"/>
      <c r="AC447" s="6"/>
      <c r="AD447" s="6"/>
      <c r="AF447" s="6"/>
      <c r="AK447" s="6"/>
      <c r="AL447" s="6"/>
      <c r="AT447" s="6"/>
      <c r="AV447" s="6"/>
      <c r="AW447" s="6"/>
      <c r="BD447" s="6"/>
    </row>
    <row r="448" ht="15.75" customHeight="1">
      <c r="A448" s="6"/>
      <c r="B448" s="6"/>
      <c r="C448" s="6"/>
      <c r="D448" s="6"/>
      <c r="E448" s="6"/>
      <c r="I448" s="6"/>
      <c r="K448" s="6"/>
      <c r="W448" s="6"/>
      <c r="Z448" s="32"/>
      <c r="AB448" s="6"/>
      <c r="AC448" s="6"/>
      <c r="AD448" s="6"/>
      <c r="AF448" s="6"/>
      <c r="AK448" s="6"/>
      <c r="AL448" s="6"/>
      <c r="AT448" s="6"/>
      <c r="AV448" s="6"/>
      <c r="AW448" s="6"/>
      <c r="BD448" s="6"/>
    </row>
    <row r="449" ht="15.75" customHeight="1">
      <c r="A449" s="6"/>
      <c r="B449" s="6"/>
      <c r="C449" s="6"/>
      <c r="D449" s="6"/>
      <c r="E449" s="6"/>
      <c r="I449" s="6"/>
      <c r="K449" s="6"/>
      <c r="W449" s="6"/>
      <c r="Z449" s="32"/>
      <c r="AB449" s="6"/>
      <c r="AC449" s="6"/>
      <c r="AD449" s="6"/>
      <c r="AF449" s="6"/>
      <c r="AK449" s="6"/>
      <c r="AL449" s="6"/>
      <c r="AT449" s="6"/>
      <c r="AV449" s="6"/>
      <c r="AW449" s="6"/>
      <c r="BD449" s="6"/>
    </row>
    <row r="450" ht="15.75" customHeight="1">
      <c r="A450" s="6"/>
      <c r="B450" s="6"/>
      <c r="C450" s="6"/>
      <c r="D450" s="6"/>
      <c r="E450" s="6"/>
      <c r="I450" s="6"/>
      <c r="K450" s="6"/>
      <c r="W450" s="6"/>
      <c r="Z450" s="32"/>
      <c r="AB450" s="6"/>
      <c r="AC450" s="6"/>
      <c r="AD450" s="6"/>
      <c r="AF450" s="6"/>
      <c r="AK450" s="6"/>
      <c r="AL450" s="6"/>
      <c r="AT450" s="6"/>
      <c r="AV450" s="6"/>
      <c r="AW450" s="6"/>
      <c r="BD450" s="6"/>
    </row>
    <row r="451" ht="15.75" customHeight="1">
      <c r="A451" s="6"/>
      <c r="B451" s="6"/>
      <c r="C451" s="6"/>
      <c r="D451" s="6"/>
      <c r="E451" s="6"/>
      <c r="I451" s="6"/>
      <c r="K451" s="6"/>
      <c r="W451" s="6"/>
      <c r="Z451" s="32"/>
      <c r="AB451" s="6"/>
      <c r="AC451" s="6"/>
      <c r="AD451" s="6"/>
      <c r="AF451" s="6"/>
      <c r="AK451" s="6"/>
      <c r="AL451" s="6"/>
      <c r="AT451" s="6"/>
      <c r="AV451" s="6"/>
      <c r="AW451" s="6"/>
      <c r="BD451" s="6"/>
    </row>
    <row r="452" ht="15.75" customHeight="1">
      <c r="A452" s="6"/>
      <c r="B452" s="6"/>
      <c r="C452" s="6"/>
      <c r="D452" s="6"/>
      <c r="E452" s="6"/>
      <c r="I452" s="6"/>
      <c r="K452" s="6"/>
      <c r="W452" s="6"/>
      <c r="Z452" s="32"/>
      <c r="AB452" s="6"/>
      <c r="AC452" s="6"/>
      <c r="AD452" s="6"/>
      <c r="AF452" s="6"/>
      <c r="AK452" s="6"/>
      <c r="AL452" s="6"/>
      <c r="AT452" s="6"/>
      <c r="AV452" s="6"/>
      <c r="AW452" s="6"/>
      <c r="BD452" s="6"/>
    </row>
    <row r="453" ht="15.75" customHeight="1">
      <c r="A453" s="6"/>
      <c r="B453" s="6"/>
      <c r="C453" s="6"/>
      <c r="D453" s="6"/>
      <c r="E453" s="6"/>
      <c r="I453" s="6"/>
      <c r="K453" s="6"/>
      <c r="W453" s="6"/>
      <c r="Z453" s="32"/>
      <c r="AB453" s="6"/>
      <c r="AC453" s="6"/>
      <c r="AD453" s="6"/>
      <c r="AF453" s="6"/>
      <c r="AK453" s="6"/>
      <c r="AL453" s="6"/>
      <c r="AT453" s="6"/>
      <c r="AV453" s="6"/>
      <c r="AW453" s="6"/>
      <c r="BD453" s="6"/>
    </row>
    <row r="454" ht="15.75" customHeight="1">
      <c r="A454" s="6"/>
      <c r="B454" s="6"/>
      <c r="C454" s="6"/>
      <c r="D454" s="6"/>
      <c r="E454" s="6"/>
      <c r="I454" s="6"/>
      <c r="K454" s="6"/>
      <c r="W454" s="6"/>
      <c r="Z454" s="32"/>
      <c r="AB454" s="6"/>
      <c r="AC454" s="6"/>
      <c r="AD454" s="6"/>
      <c r="AF454" s="6"/>
      <c r="AK454" s="6"/>
      <c r="AL454" s="6"/>
      <c r="AT454" s="6"/>
      <c r="AV454" s="6"/>
      <c r="AW454" s="6"/>
      <c r="BD454" s="6"/>
    </row>
    <row r="455" ht="15.75" customHeight="1">
      <c r="A455" s="6"/>
      <c r="B455" s="6"/>
      <c r="C455" s="6"/>
      <c r="D455" s="6"/>
      <c r="E455" s="6"/>
      <c r="I455" s="6"/>
      <c r="K455" s="6"/>
      <c r="W455" s="6"/>
      <c r="Z455" s="32"/>
      <c r="AB455" s="6"/>
      <c r="AC455" s="6"/>
      <c r="AD455" s="6"/>
      <c r="AF455" s="6"/>
      <c r="AK455" s="6"/>
      <c r="AL455" s="6"/>
      <c r="AT455" s="6"/>
      <c r="AV455" s="6"/>
      <c r="AW455" s="6"/>
      <c r="BD455" s="6"/>
    </row>
    <row r="456" ht="15.75" customHeight="1">
      <c r="A456" s="6"/>
      <c r="B456" s="6"/>
      <c r="C456" s="6"/>
      <c r="D456" s="6"/>
      <c r="E456" s="6"/>
      <c r="I456" s="6"/>
      <c r="K456" s="6"/>
      <c r="W456" s="6"/>
      <c r="Z456" s="32"/>
      <c r="AB456" s="6"/>
      <c r="AC456" s="6"/>
      <c r="AD456" s="6"/>
      <c r="AF456" s="6"/>
      <c r="AK456" s="6"/>
      <c r="AL456" s="6"/>
      <c r="AT456" s="6"/>
      <c r="AV456" s="6"/>
      <c r="AW456" s="6"/>
      <c r="BD456" s="6"/>
    </row>
    <row r="457" ht="15.75" customHeight="1">
      <c r="A457" s="6"/>
      <c r="B457" s="6"/>
      <c r="C457" s="6"/>
      <c r="D457" s="6"/>
      <c r="E457" s="6"/>
      <c r="I457" s="6"/>
      <c r="K457" s="6"/>
      <c r="W457" s="6"/>
      <c r="Z457" s="32"/>
      <c r="AB457" s="6"/>
      <c r="AC457" s="6"/>
      <c r="AD457" s="6"/>
      <c r="AF457" s="6"/>
      <c r="AK457" s="6"/>
      <c r="AL457" s="6"/>
      <c r="AT457" s="6"/>
      <c r="AV457" s="6"/>
      <c r="AW457" s="6"/>
      <c r="BD457" s="6"/>
    </row>
    <row r="458" ht="15.75" customHeight="1">
      <c r="A458" s="6"/>
      <c r="B458" s="6"/>
      <c r="C458" s="6"/>
      <c r="D458" s="6"/>
      <c r="E458" s="6"/>
      <c r="I458" s="6"/>
      <c r="K458" s="6"/>
      <c r="W458" s="6"/>
      <c r="Z458" s="32"/>
      <c r="AB458" s="6"/>
      <c r="AC458" s="6"/>
      <c r="AD458" s="6"/>
      <c r="AF458" s="6"/>
      <c r="AK458" s="6"/>
      <c r="AL458" s="6"/>
      <c r="AT458" s="6"/>
      <c r="AV458" s="6"/>
      <c r="AW458" s="6"/>
      <c r="BD458" s="6"/>
    </row>
    <row r="459" ht="15.75" customHeight="1">
      <c r="A459" s="6"/>
      <c r="B459" s="6"/>
      <c r="C459" s="6"/>
      <c r="D459" s="6"/>
      <c r="E459" s="6"/>
      <c r="I459" s="6"/>
      <c r="K459" s="6"/>
      <c r="W459" s="6"/>
      <c r="Z459" s="32"/>
      <c r="AB459" s="6"/>
      <c r="AC459" s="6"/>
      <c r="AD459" s="6"/>
      <c r="AF459" s="6"/>
      <c r="AK459" s="6"/>
      <c r="AL459" s="6"/>
      <c r="AT459" s="6"/>
      <c r="AV459" s="6"/>
      <c r="AW459" s="6"/>
      <c r="BD459" s="6"/>
    </row>
    <row r="460" ht="15.75" customHeight="1">
      <c r="A460" s="6"/>
      <c r="B460" s="6"/>
      <c r="C460" s="6"/>
      <c r="D460" s="6"/>
      <c r="E460" s="6"/>
      <c r="I460" s="6"/>
      <c r="K460" s="6"/>
      <c r="W460" s="6"/>
      <c r="Z460" s="32"/>
      <c r="AB460" s="6"/>
      <c r="AC460" s="6"/>
      <c r="AD460" s="6"/>
      <c r="AF460" s="6"/>
      <c r="AK460" s="6"/>
      <c r="AL460" s="6"/>
      <c r="AT460" s="6"/>
      <c r="AV460" s="6"/>
      <c r="AW460" s="6"/>
      <c r="BD460" s="6"/>
    </row>
    <row r="461" ht="15.75" customHeight="1">
      <c r="A461" s="6"/>
      <c r="B461" s="6"/>
      <c r="C461" s="6"/>
      <c r="D461" s="6"/>
      <c r="E461" s="6"/>
      <c r="I461" s="6"/>
      <c r="K461" s="6"/>
      <c r="W461" s="6"/>
      <c r="Z461" s="32"/>
      <c r="AB461" s="6"/>
      <c r="AC461" s="6"/>
      <c r="AD461" s="6"/>
      <c r="AF461" s="6"/>
      <c r="AK461" s="6"/>
      <c r="AL461" s="6"/>
      <c r="AT461" s="6"/>
      <c r="AV461" s="6"/>
      <c r="AW461" s="6"/>
      <c r="BD461" s="6"/>
    </row>
    <row r="462" ht="15.75" customHeight="1">
      <c r="A462" s="6"/>
      <c r="B462" s="6"/>
      <c r="C462" s="6"/>
      <c r="D462" s="6"/>
      <c r="E462" s="6"/>
      <c r="I462" s="6"/>
      <c r="K462" s="6"/>
      <c r="W462" s="6"/>
      <c r="Z462" s="32"/>
      <c r="AB462" s="6"/>
      <c r="AC462" s="6"/>
      <c r="AD462" s="6"/>
      <c r="AF462" s="6"/>
      <c r="AK462" s="6"/>
      <c r="AL462" s="6"/>
      <c r="AT462" s="6"/>
      <c r="AV462" s="6"/>
      <c r="AW462" s="6"/>
      <c r="BD462" s="6"/>
    </row>
    <row r="463" ht="15.75" customHeight="1">
      <c r="A463" s="6"/>
      <c r="B463" s="6"/>
      <c r="C463" s="6"/>
      <c r="D463" s="6"/>
      <c r="E463" s="6"/>
      <c r="I463" s="6"/>
      <c r="K463" s="6"/>
      <c r="W463" s="6"/>
      <c r="Z463" s="32"/>
      <c r="AB463" s="6"/>
      <c r="AC463" s="6"/>
      <c r="AD463" s="6"/>
      <c r="AF463" s="6"/>
      <c r="AK463" s="6"/>
      <c r="AL463" s="6"/>
      <c r="AT463" s="6"/>
      <c r="AV463" s="6"/>
      <c r="AW463" s="6"/>
      <c r="BD463" s="6"/>
    </row>
    <row r="464" ht="15.75" customHeight="1">
      <c r="A464" s="6"/>
      <c r="B464" s="6"/>
      <c r="C464" s="6"/>
      <c r="D464" s="6"/>
      <c r="E464" s="6"/>
      <c r="I464" s="6"/>
      <c r="K464" s="6"/>
      <c r="W464" s="6"/>
      <c r="Z464" s="32"/>
      <c r="AB464" s="6"/>
      <c r="AC464" s="6"/>
      <c r="AD464" s="6"/>
      <c r="AF464" s="6"/>
      <c r="AK464" s="6"/>
      <c r="AL464" s="6"/>
      <c r="AT464" s="6"/>
      <c r="AV464" s="6"/>
      <c r="AW464" s="6"/>
      <c r="BD464" s="6"/>
    </row>
    <row r="465" ht="15.75" customHeight="1">
      <c r="A465" s="6"/>
      <c r="B465" s="6"/>
      <c r="C465" s="6"/>
      <c r="D465" s="6"/>
      <c r="E465" s="6"/>
      <c r="I465" s="6"/>
      <c r="K465" s="6"/>
      <c r="W465" s="6"/>
      <c r="Z465" s="32"/>
      <c r="AB465" s="6"/>
      <c r="AC465" s="6"/>
      <c r="AD465" s="6"/>
      <c r="AF465" s="6"/>
      <c r="AK465" s="6"/>
      <c r="AL465" s="6"/>
      <c r="AT465" s="6"/>
      <c r="AV465" s="6"/>
      <c r="AW465" s="6"/>
      <c r="BD465" s="6"/>
    </row>
    <row r="466" ht="15.75" customHeight="1">
      <c r="A466" s="6"/>
      <c r="B466" s="6"/>
      <c r="C466" s="6"/>
      <c r="D466" s="6"/>
      <c r="E466" s="6"/>
      <c r="I466" s="6"/>
      <c r="K466" s="6"/>
      <c r="W466" s="6"/>
      <c r="Z466" s="32"/>
      <c r="AB466" s="6"/>
      <c r="AC466" s="6"/>
      <c r="AD466" s="6"/>
      <c r="AF466" s="6"/>
      <c r="AK466" s="6"/>
      <c r="AL466" s="6"/>
      <c r="AT466" s="6"/>
      <c r="AV466" s="6"/>
      <c r="AW466" s="6"/>
      <c r="BD466" s="6"/>
    </row>
    <row r="467" ht="15.75" customHeight="1">
      <c r="A467" s="6"/>
      <c r="B467" s="6"/>
      <c r="C467" s="6"/>
      <c r="D467" s="6"/>
      <c r="E467" s="6"/>
      <c r="I467" s="6"/>
      <c r="K467" s="6"/>
      <c r="W467" s="6"/>
      <c r="Z467" s="32"/>
      <c r="AB467" s="6"/>
      <c r="AC467" s="6"/>
      <c r="AD467" s="6"/>
      <c r="AF467" s="6"/>
      <c r="AK467" s="6"/>
      <c r="AL467" s="6"/>
      <c r="AT467" s="6"/>
      <c r="AV467" s="6"/>
      <c r="AW467" s="6"/>
      <c r="BD467" s="6"/>
    </row>
    <row r="468" ht="15.75" customHeight="1">
      <c r="A468" s="6"/>
      <c r="B468" s="6"/>
      <c r="C468" s="6"/>
      <c r="D468" s="6"/>
      <c r="E468" s="6"/>
      <c r="I468" s="6"/>
      <c r="K468" s="6"/>
      <c r="W468" s="6"/>
      <c r="Z468" s="32"/>
      <c r="AB468" s="6"/>
      <c r="AC468" s="6"/>
      <c r="AD468" s="6"/>
      <c r="AF468" s="6"/>
      <c r="AK468" s="6"/>
      <c r="AL468" s="6"/>
      <c r="AT468" s="6"/>
      <c r="AV468" s="6"/>
      <c r="AW468" s="6"/>
      <c r="BD468" s="6"/>
    </row>
    <row r="469" ht="15.75" customHeight="1">
      <c r="A469" s="6"/>
      <c r="B469" s="6"/>
      <c r="C469" s="6"/>
      <c r="D469" s="6"/>
      <c r="E469" s="6"/>
      <c r="I469" s="6"/>
      <c r="K469" s="6"/>
      <c r="W469" s="6"/>
      <c r="Z469" s="32"/>
      <c r="AB469" s="6"/>
      <c r="AC469" s="6"/>
      <c r="AD469" s="6"/>
      <c r="AF469" s="6"/>
      <c r="AK469" s="6"/>
      <c r="AL469" s="6"/>
      <c r="AT469" s="6"/>
      <c r="AV469" s="6"/>
      <c r="AW469" s="6"/>
      <c r="BD469" s="6"/>
    </row>
    <row r="470" ht="15.75" customHeight="1">
      <c r="A470" s="6"/>
      <c r="B470" s="6"/>
      <c r="C470" s="6"/>
      <c r="D470" s="6"/>
      <c r="E470" s="6"/>
      <c r="I470" s="6"/>
      <c r="K470" s="6"/>
      <c r="W470" s="6"/>
      <c r="Z470" s="32"/>
      <c r="AB470" s="6"/>
      <c r="AC470" s="6"/>
      <c r="AD470" s="6"/>
      <c r="AF470" s="6"/>
      <c r="AK470" s="6"/>
      <c r="AL470" s="6"/>
      <c r="AT470" s="6"/>
      <c r="AV470" s="6"/>
      <c r="AW470" s="6"/>
      <c r="BD470" s="6"/>
    </row>
    <row r="471" ht="15.75" customHeight="1">
      <c r="A471" s="6"/>
      <c r="B471" s="6"/>
      <c r="C471" s="6"/>
      <c r="D471" s="6"/>
      <c r="E471" s="6"/>
      <c r="I471" s="6"/>
      <c r="K471" s="6"/>
      <c r="W471" s="6"/>
      <c r="Z471" s="32"/>
      <c r="AB471" s="6"/>
      <c r="AC471" s="6"/>
      <c r="AD471" s="6"/>
      <c r="AF471" s="6"/>
      <c r="AK471" s="6"/>
      <c r="AL471" s="6"/>
      <c r="AT471" s="6"/>
      <c r="AV471" s="6"/>
      <c r="AW471" s="6"/>
      <c r="BD471" s="6"/>
    </row>
    <row r="472" ht="15.75" customHeight="1">
      <c r="A472" s="6"/>
      <c r="B472" s="6"/>
      <c r="C472" s="6"/>
      <c r="D472" s="6"/>
      <c r="E472" s="6"/>
      <c r="I472" s="6"/>
      <c r="K472" s="6"/>
      <c r="W472" s="6"/>
      <c r="Z472" s="32"/>
      <c r="AB472" s="6"/>
      <c r="AC472" s="6"/>
      <c r="AD472" s="6"/>
      <c r="AF472" s="6"/>
      <c r="AK472" s="6"/>
      <c r="AL472" s="6"/>
      <c r="AT472" s="6"/>
      <c r="AV472" s="6"/>
      <c r="AW472" s="6"/>
      <c r="BD472" s="6"/>
    </row>
    <row r="473" ht="15.75" customHeight="1">
      <c r="A473" s="6"/>
      <c r="B473" s="6"/>
      <c r="C473" s="6"/>
      <c r="D473" s="6"/>
      <c r="E473" s="6"/>
      <c r="I473" s="6"/>
      <c r="K473" s="6"/>
      <c r="W473" s="6"/>
      <c r="Z473" s="32"/>
      <c r="AB473" s="6"/>
      <c r="AC473" s="6"/>
      <c r="AD473" s="6"/>
      <c r="AF473" s="6"/>
      <c r="AK473" s="6"/>
      <c r="AL473" s="6"/>
      <c r="AT473" s="6"/>
      <c r="AV473" s="6"/>
      <c r="AW473" s="6"/>
      <c r="BD473" s="6"/>
    </row>
    <row r="474" ht="15.75" customHeight="1">
      <c r="A474" s="6"/>
      <c r="B474" s="6"/>
      <c r="C474" s="6"/>
      <c r="D474" s="6"/>
      <c r="E474" s="6"/>
      <c r="I474" s="6"/>
      <c r="K474" s="6"/>
      <c r="W474" s="6"/>
      <c r="Z474" s="32"/>
      <c r="AB474" s="6"/>
      <c r="AC474" s="6"/>
      <c r="AD474" s="6"/>
      <c r="AF474" s="6"/>
      <c r="AK474" s="6"/>
      <c r="AL474" s="6"/>
      <c r="AT474" s="6"/>
      <c r="AV474" s="6"/>
      <c r="AW474" s="6"/>
      <c r="BD474" s="6"/>
    </row>
    <row r="475" ht="15.75" customHeight="1">
      <c r="A475" s="6"/>
      <c r="B475" s="6"/>
      <c r="C475" s="6"/>
      <c r="D475" s="6"/>
      <c r="E475" s="6"/>
      <c r="I475" s="6"/>
      <c r="K475" s="6"/>
      <c r="W475" s="6"/>
      <c r="Z475" s="32"/>
      <c r="AB475" s="6"/>
      <c r="AC475" s="6"/>
      <c r="AD475" s="6"/>
      <c r="AF475" s="6"/>
      <c r="AK475" s="6"/>
      <c r="AL475" s="6"/>
      <c r="AT475" s="6"/>
      <c r="AV475" s="6"/>
      <c r="AW475" s="6"/>
      <c r="BD475" s="6"/>
    </row>
    <row r="476" ht="15.75" customHeight="1">
      <c r="A476" s="6"/>
      <c r="B476" s="6"/>
      <c r="C476" s="6"/>
      <c r="D476" s="6"/>
      <c r="E476" s="6"/>
      <c r="I476" s="6"/>
      <c r="K476" s="6"/>
      <c r="W476" s="6"/>
      <c r="Z476" s="32"/>
      <c r="AB476" s="6"/>
      <c r="AC476" s="6"/>
      <c r="AD476" s="6"/>
      <c r="AF476" s="6"/>
      <c r="AK476" s="6"/>
      <c r="AL476" s="6"/>
      <c r="AT476" s="6"/>
      <c r="AV476" s="6"/>
      <c r="AW476" s="6"/>
      <c r="BD476" s="6"/>
    </row>
    <row r="477" ht="15.75" customHeight="1">
      <c r="A477" s="6"/>
      <c r="B477" s="6"/>
      <c r="C477" s="6"/>
      <c r="D477" s="6"/>
      <c r="E477" s="6"/>
      <c r="I477" s="6"/>
      <c r="K477" s="6"/>
      <c r="W477" s="6"/>
      <c r="Z477" s="32"/>
      <c r="AB477" s="6"/>
      <c r="AC477" s="6"/>
      <c r="AD477" s="6"/>
      <c r="AF477" s="6"/>
      <c r="AK477" s="6"/>
      <c r="AL477" s="6"/>
      <c r="AT477" s="6"/>
      <c r="AV477" s="6"/>
      <c r="AW477" s="6"/>
      <c r="BD477" s="6"/>
    </row>
    <row r="478" ht="15.75" customHeight="1">
      <c r="A478" s="6"/>
      <c r="B478" s="6"/>
      <c r="C478" s="6"/>
      <c r="D478" s="6"/>
      <c r="E478" s="6"/>
      <c r="I478" s="6"/>
      <c r="K478" s="6"/>
      <c r="W478" s="6"/>
      <c r="Z478" s="32"/>
      <c r="AB478" s="6"/>
      <c r="AC478" s="6"/>
      <c r="AD478" s="6"/>
      <c r="AF478" s="6"/>
      <c r="AK478" s="6"/>
      <c r="AL478" s="6"/>
      <c r="AT478" s="6"/>
      <c r="AV478" s="6"/>
      <c r="AW478" s="6"/>
      <c r="BD478" s="6"/>
    </row>
    <row r="479" ht="15.75" customHeight="1">
      <c r="A479" s="6"/>
      <c r="B479" s="6"/>
      <c r="C479" s="6"/>
      <c r="D479" s="6"/>
      <c r="E479" s="6"/>
      <c r="I479" s="6"/>
      <c r="K479" s="6"/>
      <c r="W479" s="6"/>
      <c r="Z479" s="32"/>
      <c r="AB479" s="6"/>
      <c r="AC479" s="6"/>
      <c r="AD479" s="6"/>
      <c r="AF479" s="6"/>
      <c r="AK479" s="6"/>
      <c r="AL479" s="6"/>
      <c r="AT479" s="6"/>
      <c r="AV479" s="6"/>
      <c r="AW479" s="6"/>
      <c r="BD479" s="6"/>
    </row>
    <row r="480" ht="15.75" customHeight="1">
      <c r="A480" s="6"/>
      <c r="B480" s="6"/>
      <c r="C480" s="6"/>
      <c r="D480" s="6"/>
      <c r="E480" s="6"/>
      <c r="I480" s="6"/>
      <c r="K480" s="6"/>
      <c r="W480" s="6"/>
      <c r="Z480" s="32"/>
      <c r="AB480" s="6"/>
      <c r="AC480" s="6"/>
      <c r="AD480" s="6"/>
      <c r="AF480" s="6"/>
      <c r="AK480" s="6"/>
      <c r="AL480" s="6"/>
      <c r="AT480" s="6"/>
      <c r="AV480" s="6"/>
      <c r="AW480" s="6"/>
      <c r="BD480" s="6"/>
    </row>
    <row r="481" ht="15.75" customHeight="1">
      <c r="A481" s="6"/>
      <c r="B481" s="6"/>
      <c r="C481" s="6"/>
      <c r="D481" s="6"/>
      <c r="E481" s="6"/>
      <c r="I481" s="6"/>
      <c r="K481" s="6"/>
      <c r="W481" s="6"/>
      <c r="Z481" s="32"/>
      <c r="AB481" s="6"/>
      <c r="AC481" s="6"/>
      <c r="AD481" s="6"/>
      <c r="AF481" s="6"/>
      <c r="AK481" s="6"/>
      <c r="AL481" s="6"/>
      <c r="AT481" s="6"/>
      <c r="AV481" s="6"/>
      <c r="AW481" s="6"/>
      <c r="BD481" s="6"/>
    </row>
    <row r="482" ht="15.75" customHeight="1">
      <c r="A482" s="6"/>
      <c r="B482" s="6"/>
      <c r="C482" s="6"/>
      <c r="D482" s="6"/>
      <c r="E482" s="6"/>
      <c r="I482" s="6"/>
      <c r="K482" s="6"/>
      <c r="W482" s="6"/>
      <c r="Z482" s="32"/>
      <c r="AB482" s="6"/>
      <c r="AC482" s="6"/>
      <c r="AD482" s="6"/>
      <c r="AF482" s="6"/>
      <c r="AK482" s="6"/>
      <c r="AL482" s="6"/>
      <c r="AT482" s="6"/>
      <c r="AV482" s="6"/>
      <c r="AW482" s="6"/>
      <c r="BD482" s="6"/>
    </row>
    <row r="483" ht="15.75" customHeight="1">
      <c r="A483" s="6"/>
      <c r="B483" s="6"/>
      <c r="C483" s="6"/>
      <c r="D483" s="6"/>
      <c r="E483" s="6"/>
      <c r="I483" s="6"/>
      <c r="K483" s="6"/>
      <c r="W483" s="6"/>
      <c r="Z483" s="32"/>
      <c r="AB483" s="6"/>
      <c r="AC483" s="6"/>
      <c r="AD483" s="6"/>
      <c r="AF483" s="6"/>
      <c r="AK483" s="6"/>
      <c r="AL483" s="6"/>
      <c r="AT483" s="6"/>
      <c r="AV483" s="6"/>
      <c r="AW483" s="6"/>
      <c r="BD483" s="6"/>
    </row>
    <row r="484" ht="15.75" customHeight="1">
      <c r="A484" s="6"/>
      <c r="B484" s="6"/>
      <c r="C484" s="6"/>
      <c r="D484" s="6"/>
      <c r="E484" s="6"/>
      <c r="I484" s="6"/>
      <c r="K484" s="6"/>
      <c r="W484" s="6"/>
      <c r="Z484" s="32"/>
      <c r="AB484" s="6"/>
      <c r="AC484" s="6"/>
      <c r="AD484" s="6"/>
      <c r="AF484" s="6"/>
      <c r="AK484" s="6"/>
      <c r="AL484" s="6"/>
      <c r="AT484" s="6"/>
      <c r="AV484" s="6"/>
      <c r="AW484" s="6"/>
      <c r="BD484" s="6"/>
    </row>
    <row r="485" ht="15.75" customHeight="1">
      <c r="A485" s="6"/>
      <c r="B485" s="6"/>
      <c r="C485" s="6"/>
      <c r="D485" s="6"/>
      <c r="E485" s="6"/>
      <c r="I485" s="6"/>
      <c r="K485" s="6"/>
      <c r="W485" s="6"/>
      <c r="Z485" s="32"/>
      <c r="AB485" s="6"/>
      <c r="AC485" s="6"/>
      <c r="AD485" s="6"/>
      <c r="AF485" s="6"/>
      <c r="AK485" s="6"/>
      <c r="AL485" s="6"/>
      <c r="AT485" s="6"/>
      <c r="AV485" s="6"/>
      <c r="AW485" s="6"/>
      <c r="BD485" s="6"/>
    </row>
    <row r="486" ht="15.75" customHeight="1">
      <c r="A486" s="6"/>
      <c r="B486" s="6"/>
      <c r="C486" s="6"/>
      <c r="D486" s="6"/>
      <c r="E486" s="6"/>
      <c r="I486" s="6"/>
      <c r="K486" s="6"/>
      <c r="W486" s="6"/>
      <c r="Z486" s="32"/>
      <c r="AB486" s="6"/>
      <c r="AC486" s="6"/>
      <c r="AD486" s="6"/>
      <c r="AF486" s="6"/>
      <c r="AK486" s="6"/>
      <c r="AL486" s="6"/>
      <c r="AT486" s="6"/>
      <c r="AV486" s="6"/>
      <c r="AW486" s="6"/>
      <c r="BD486" s="6"/>
    </row>
    <row r="487" ht="15.75" customHeight="1">
      <c r="A487" s="6"/>
      <c r="B487" s="6"/>
      <c r="C487" s="6"/>
      <c r="D487" s="6"/>
      <c r="E487" s="6"/>
      <c r="I487" s="6"/>
      <c r="K487" s="6"/>
      <c r="W487" s="6"/>
      <c r="Z487" s="32"/>
      <c r="AB487" s="6"/>
      <c r="AC487" s="6"/>
      <c r="AD487" s="6"/>
      <c r="AF487" s="6"/>
      <c r="AK487" s="6"/>
      <c r="AL487" s="6"/>
      <c r="AT487" s="6"/>
      <c r="AV487" s="6"/>
      <c r="AW487" s="6"/>
      <c r="BD487" s="6"/>
    </row>
    <row r="488" ht="15.75" customHeight="1">
      <c r="A488" s="6"/>
      <c r="B488" s="6"/>
      <c r="C488" s="6"/>
      <c r="D488" s="6"/>
      <c r="E488" s="6"/>
      <c r="I488" s="6"/>
      <c r="K488" s="6"/>
      <c r="W488" s="6"/>
      <c r="Z488" s="32"/>
      <c r="AB488" s="6"/>
      <c r="AC488" s="6"/>
      <c r="AD488" s="6"/>
      <c r="AF488" s="6"/>
      <c r="AK488" s="6"/>
      <c r="AL488" s="6"/>
      <c r="AT488" s="6"/>
      <c r="AV488" s="6"/>
      <c r="AW488" s="6"/>
      <c r="BD488" s="6"/>
    </row>
    <row r="489" ht="15.75" customHeight="1">
      <c r="A489" s="6"/>
      <c r="B489" s="6"/>
      <c r="C489" s="6"/>
      <c r="D489" s="6"/>
      <c r="E489" s="6"/>
      <c r="I489" s="6"/>
      <c r="K489" s="6"/>
      <c r="W489" s="6"/>
      <c r="Z489" s="32"/>
      <c r="AB489" s="6"/>
      <c r="AC489" s="6"/>
      <c r="AD489" s="6"/>
      <c r="AF489" s="6"/>
      <c r="AK489" s="6"/>
      <c r="AL489" s="6"/>
      <c r="AT489" s="6"/>
      <c r="AV489" s="6"/>
      <c r="AW489" s="6"/>
      <c r="BD489" s="6"/>
    </row>
    <row r="490" ht="15.75" customHeight="1">
      <c r="A490" s="6"/>
      <c r="B490" s="6"/>
      <c r="C490" s="6"/>
      <c r="D490" s="6"/>
      <c r="E490" s="6"/>
      <c r="I490" s="6"/>
      <c r="K490" s="6"/>
      <c r="W490" s="6"/>
      <c r="Z490" s="32"/>
      <c r="AB490" s="6"/>
      <c r="AC490" s="6"/>
      <c r="AD490" s="6"/>
      <c r="AF490" s="6"/>
      <c r="AK490" s="6"/>
      <c r="AL490" s="6"/>
      <c r="AT490" s="6"/>
      <c r="AV490" s="6"/>
      <c r="AW490" s="6"/>
      <c r="BD490" s="6"/>
    </row>
    <row r="491" ht="15.75" customHeight="1">
      <c r="A491" s="6"/>
      <c r="B491" s="6"/>
      <c r="C491" s="6"/>
      <c r="D491" s="6"/>
      <c r="E491" s="6"/>
      <c r="I491" s="6"/>
      <c r="K491" s="6"/>
      <c r="W491" s="6"/>
      <c r="Z491" s="32"/>
      <c r="AB491" s="6"/>
      <c r="AC491" s="6"/>
      <c r="AD491" s="6"/>
      <c r="AF491" s="6"/>
      <c r="AK491" s="6"/>
      <c r="AL491" s="6"/>
      <c r="AT491" s="6"/>
      <c r="AV491" s="6"/>
      <c r="AW491" s="6"/>
      <c r="BD491" s="6"/>
    </row>
    <row r="492" ht="15.75" customHeight="1">
      <c r="A492" s="6"/>
      <c r="B492" s="6"/>
      <c r="C492" s="6"/>
      <c r="D492" s="6"/>
      <c r="E492" s="6"/>
      <c r="I492" s="6"/>
      <c r="K492" s="6"/>
      <c r="W492" s="6"/>
      <c r="Z492" s="32"/>
      <c r="AB492" s="6"/>
      <c r="AC492" s="6"/>
      <c r="AD492" s="6"/>
      <c r="AF492" s="6"/>
      <c r="AK492" s="6"/>
      <c r="AL492" s="6"/>
      <c r="AT492" s="6"/>
      <c r="AV492" s="6"/>
      <c r="AW492" s="6"/>
      <c r="BD492" s="6"/>
    </row>
    <row r="493" ht="15.75" customHeight="1">
      <c r="A493" s="6"/>
      <c r="B493" s="6"/>
      <c r="C493" s="6"/>
      <c r="D493" s="6"/>
      <c r="E493" s="6"/>
      <c r="I493" s="6"/>
      <c r="K493" s="6"/>
      <c r="W493" s="6"/>
      <c r="Z493" s="32"/>
      <c r="AB493" s="6"/>
      <c r="AC493" s="6"/>
      <c r="AD493" s="6"/>
      <c r="AF493" s="6"/>
      <c r="AK493" s="6"/>
      <c r="AL493" s="6"/>
      <c r="AT493" s="6"/>
      <c r="AV493" s="6"/>
      <c r="AW493" s="6"/>
      <c r="BD493" s="6"/>
    </row>
    <row r="494" ht="15.75" customHeight="1">
      <c r="A494" s="6"/>
      <c r="B494" s="6"/>
      <c r="C494" s="6"/>
      <c r="D494" s="6"/>
      <c r="E494" s="6"/>
      <c r="I494" s="6"/>
      <c r="K494" s="6"/>
      <c r="W494" s="6"/>
      <c r="Z494" s="32"/>
      <c r="AB494" s="6"/>
      <c r="AC494" s="6"/>
      <c r="AD494" s="6"/>
      <c r="AF494" s="6"/>
      <c r="AK494" s="6"/>
      <c r="AL494" s="6"/>
      <c r="AT494" s="6"/>
      <c r="AV494" s="6"/>
      <c r="AW494" s="6"/>
      <c r="BD494" s="6"/>
    </row>
    <row r="495" ht="15.75" customHeight="1">
      <c r="A495" s="6"/>
      <c r="B495" s="6"/>
      <c r="C495" s="6"/>
      <c r="D495" s="6"/>
      <c r="E495" s="6"/>
      <c r="I495" s="6"/>
      <c r="K495" s="6"/>
      <c r="W495" s="6"/>
      <c r="Z495" s="32"/>
      <c r="AB495" s="6"/>
      <c r="AC495" s="6"/>
      <c r="AD495" s="6"/>
      <c r="AF495" s="6"/>
      <c r="AK495" s="6"/>
      <c r="AL495" s="6"/>
      <c r="AT495" s="6"/>
      <c r="AV495" s="6"/>
      <c r="AW495" s="6"/>
      <c r="BD495" s="6"/>
    </row>
    <row r="496" ht="15.75" customHeight="1">
      <c r="A496" s="6"/>
      <c r="B496" s="6"/>
      <c r="C496" s="6"/>
      <c r="D496" s="6"/>
      <c r="E496" s="6"/>
      <c r="I496" s="6"/>
      <c r="K496" s="6"/>
      <c r="W496" s="6"/>
      <c r="Z496" s="32"/>
      <c r="AB496" s="6"/>
      <c r="AC496" s="6"/>
      <c r="AD496" s="6"/>
      <c r="AF496" s="6"/>
      <c r="AK496" s="6"/>
      <c r="AL496" s="6"/>
      <c r="AT496" s="6"/>
      <c r="AV496" s="6"/>
      <c r="AW496" s="6"/>
      <c r="BD496" s="6"/>
    </row>
    <row r="497" ht="15.75" customHeight="1">
      <c r="A497" s="6"/>
      <c r="B497" s="6"/>
      <c r="C497" s="6"/>
      <c r="D497" s="6"/>
      <c r="E497" s="6"/>
      <c r="I497" s="6"/>
      <c r="K497" s="6"/>
      <c r="W497" s="6"/>
      <c r="Z497" s="32"/>
      <c r="AB497" s="6"/>
      <c r="AC497" s="6"/>
      <c r="AD497" s="6"/>
      <c r="AF497" s="6"/>
      <c r="AK497" s="6"/>
      <c r="AL497" s="6"/>
      <c r="AT497" s="6"/>
      <c r="AV497" s="6"/>
      <c r="AW497" s="6"/>
      <c r="BD497" s="6"/>
    </row>
  </sheetData>
  <autoFilter ref="$A$1:$BD$497"/>
  <conditionalFormatting sqref="D2:D497">
    <cfRule type="cellIs" dxfId="1" priority="1" operator="equal">
      <formula>1</formula>
    </cfRule>
  </conditionalFormatting>
  <conditionalFormatting sqref="N2:N497">
    <cfRule type="cellIs" dxfId="2" priority="2" operator="equal">
      <formula>1</formula>
    </cfRule>
  </conditionalFormatting>
  <conditionalFormatting sqref="R2:R497">
    <cfRule type="cellIs" dxfId="2" priority="3" operator="equal">
      <formula>1</formula>
    </cfRule>
  </conditionalFormatting>
  <conditionalFormatting sqref="P2:P497">
    <cfRule type="cellIs" dxfId="2" priority="4" operator="equal">
      <formula>1</formula>
    </cfRule>
  </conditionalFormatting>
  <dataValidations>
    <dataValidation type="list" allowBlank="1" sqref="W2:W497">
      <formula1>"Health,Systems,Climate,Scale-Up,AI for Science,Unknown"</formula1>
    </dataValidation>
    <dataValidation type="list" allowBlank="1" sqref="Z2:Z497">
      <formula1>"Preseed,Seed,Series A,Series B,Series C,Unknown"</formula1>
    </dataValidation>
  </dataValidations>
  <hyperlinks>
    <hyperlink r:id="rId1" ref="C21"/>
    <hyperlink r:id="rId2" ref="C37"/>
    <hyperlink r:id="rId3" ref="C40"/>
    <hyperlink r:id="rId4" ref="C44"/>
    <hyperlink r:id="rId5" ref="C48"/>
    <hyperlink r:id="rId6" ref="C55"/>
    <hyperlink r:id="rId7" ref="C57"/>
    <hyperlink r:id="rId8" ref="C67"/>
    <hyperlink r:id="rId9" ref="C69"/>
    <hyperlink r:id="rId10" ref="C70"/>
    <hyperlink r:id="rId11" ref="C77"/>
    <hyperlink r:id="rId12" ref="C92"/>
    <hyperlink r:id="rId13" ref="C96"/>
    <hyperlink r:id="rId14" ref="C107"/>
    <hyperlink r:id="rId15" ref="C134"/>
    <hyperlink r:id="rId16" ref="C176"/>
  </hyperlinks>
  <printOptions/>
  <pageMargins bottom="1.0" footer="0.0" header="0.0" left="0.75" right="0.75" top="1.0"/>
  <pageSetup paperSize="9" orientation="portrait"/>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26.0"/>
    <col customWidth="1" min="3" max="5" width="8.71"/>
    <col customWidth="1" min="6" max="6" width="64.0"/>
    <col customWidth="1" min="7" max="7" width="24.0"/>
    <col customWidth="1" min="8" max="11" width="8.71"/>
    <col customWidth="1" min="12" max="12" width="17.0"/>
    <col customWidth="1" min="13" max="15" width="8.71"/>
    <col customWidth="1" min="16" max="16" width="20.0"/>
    <col customWidth="1" min="17" max="17" width="18.0"/>
    <col customWidth="1" min="18" max="26" width="8.71"/>
  </cols>
  <sheetData>
    <row r="1" ht="33.75" customHeight="1">
      <c r="A1" s="2" t="s">
        <v>1</v>
      </c>
      <c r="B1" s="2" t="s">
        <v>3</v>
      </c>
      <c r="C1" s="2" t="s">
        <v>4</v>
      </c>
      <c r="D1" s="2" t="s">
        <v>5</v>
      </c>
      <c r="E1" s="2" t="s">
        <v>7</v>
      </c>
      <c r="F1" s="2" t="s">
        <v>9</v>
      </c>
      <c r="G1" s="2" t="s">
        <v>10</v>
      </c>
      <c r="H1" s="2" t="s">
        <v>11</v>
      </c>
      <c r="I1" s="2" t="s">
        <v>12</v>
      </c>
      <c r="J1" s="2" t="s">
        <v>14</v>
      </c>
      <c r="K1" s="2" t="s">
        <v>15</v>
      </c>
      <c r="L1" s="2" t="s">
        <v>16</v>
      </c>
      <c r="M1" s="2" t="s">
        <v>18</v>
      </c>
      <c r="N1" s="2" t="s">
        <v>19</v>
      </c>
      <c r="O1" s="2" t="s">
        <v>21</v>
      </c>
      <c r="P1" s="2" t="s">
        <v>23</v>
      </c>
      <c r="Q1" s="2" t="s">
        <v>24</v>
      </c>
    </row>
    <row r="2" ht="45.75" customHeight="1">
      <c r="A2" s="8" t="s">
        <v>28</v>
      </c>
      <c r="B2" s="8" t="s">
        <v>34</v>
      </c>
      <c r="C2" s="8">
        <v>23.0</v>
      </c>
      <c r="D2" s="9">
        <v>45985.0</v>
      </c>
      <c r="E2" s="9">
        <v>46160.0</v>
      </c>
      <c r="F2" s="10" t="s">
        <v>49</v>
      </c>
      <c r="G2" s="8" t="s">
        <v>54</v>
      </c>
      <c r="H2" s="9">
        <v>45985.0</v>
      </c>
      <c r="I2" s="9">
        <v>46006.0</v>
      </c>
      <c r="J2" s="8" t="s">
        <v>56</v>
      </c>
      <c r="K2" s="13">
        <v>1.5E7</v>
      </c>
      <c r="L2" s="8" t="s">
        <v>66</v>
      </c>
      <c r="M2" s="8"/>
      <c r="N2" s="8" t="s">
        <v>70</v>
      </c>
      <c r="O2" s="8" t="s">
        <v>71</v>
      </c>
      <c r="P2" s="8" t="s">
        <v>72</v>
      </c>
      <c r="Q2" s="8" t="s">
        <v>74</v>
      </c>
    </row>
    <row r="3" ht="45.75" customHeight="1">
      <c r="A3" s="8" t="s">
        <v>77</v>
      </c>
      <c r="B3" s="8" t="s">
        <v>78</v>
      </c>
      <c r="C3" s="8">
        <v>21.0</v>
      </c>
      <c r="D3" s="9">
        <v>45944.0</v>
      </c>
      <c r="E3" s="9">
        <v>46230.0</v>
      </c>
      <c r="F3" s="10" t="s">
        <v>81</v>
      </c>
      <c r="G3" s="8" t="s">
        <v>54</v>
      </c>
      <c r="H3" s="9">
        <v>45944.0</v>
      </c>
      <c r="I3" s="9">
        <v>46153.0</v>
      </c>
      <c r="J3" s="8"/>
      <c r="K3" s="13"/>
      <c r="L3" s="8" t="s">
        <v>83</v>
      </c>
      <c r="M3" s="8" t="s">
        <v>85</v>
      </c>
      <c r="N3" s="8" t="s">
        <v>86</v>
      </c>
      <c r="O3" s="8" t="s">
        <v>87</v>
      </c>
      <c r="P3" s="8"/>
      <c r="Q3" s="8"/>
    </row>
    <row r="4" ht="34.5" customHeight="1">
      <c r="A4" s="8" t="s">
        <v>90</v>
      </c>
      <c r="B4" s="8" t="s">
        <v>92</v>
      </c>
      <c r="C4" s="8">
        <v>17.0</v>
      </c>
      <c r="D4" s="9">
        <v>45944.0</v>
      </c>
      <c r="E4" s="9">
        <v>46070.0</v>
      </c>
      <c r="F4" s="10" t="s">
        <v>96</v>
      </c>
      <c r="G4" s="8" t="s">
        <v>54</v>
      </c>
      <c r="H4" s="9">
        <v>45944.0</v>
      </c>
      <c r="I4" s="9">
        <v>45992.0</v>
      </c>
      <c r="J4" s="8" t="s">
        <v>56</v>
      </c>
      <c r="K4" s="13">
        <v>6.0E7</v>
      </c>
      <c r="L4" s="8"/>
      <c r="M4" s="8" t="s">
        <v>101</v>
      </c>
      <c r="N4" s="8" t="s">
        <v>103</v>
      </c>
      <c r="O4" s="8" t="s">
        <v>87</v>
      </c>
      <c r="P4" s="8"/>
      <c r="Q4" s="8"/>
    </row>
    <row r="5" ht="23.25" customHeight="1">
      <c r="A5" s="8" t="s">
        <v>107</v>
      </c>
      <c r="B5" s="8" t="s">
        <v>109</v>
      </c>
      <c r="C5" s="8">
        <v>11.0</v>
      </c>
      <c r="D5" s="9">
        <v>46153.0</v>
      </c>
      <c r="E5" s="9">
        <v>46258.0</v>
      </c>
      <c r="F5" s="10" t="s">
        <v>114</v>
      </c>
      <c r="G5" s="8" t="s">
        <v>116</v>
      </c>
      <c r="H5" s="9">
        <v>46168.0</v>
      </c>
      <c r="I5" s="9"/>
      <c r="J5" s="8" t="s">
        <v>119</v>
      </c>
      <c r="K5" s="13">
        <v>3000000.0</v>
      </c>
      <c r="L5" s="8" t="s">
        <v>121</v>
      </c>
      <c r="M5" s="8" t="s">
        <v>123</v>
      </c>
      <c r="N5" s="8" t="s">
        <v>103</v>
      </c>
      <c r="O5" s="8" t="s">
        <v>87</v>
      </c>
      <c r="P5" s="8" t="s">
        <v>116</v>
      </c>
      <c r="Q5" s="8" t="s">
        <v>127</v>
      </c>
    </row>
    <row r="6" ht="23.25" customHeight="1">
      <c r="A6" s="8" t="s">
        <v>130</v>
      </c>
      <c r="B6" s="8" t="s">
        <v>131</v>
      </c>
      <c r="C6" s="8">
        <v>8.0</v>
      </c>
      <c r="D6" s="9">
        <v>46076.0</v>
      </c>
      <c r="E6" s="9">
        <v>46132.0</v>
      </c>
      <c r="F6" s="10" t="s">
        <v>135</v>
      </c>
      <c r="G6" s="8" t="s">
        <v>54</v>
      </c>
      <c r="H6" s="9">
        <v>46097.0</v>
      </c>
      <c r="I6" s="9">
        <v>46111.0</v>
      </c>
      <c r="J6" s="8" t="s">
        <v>119</v>
      </c>
      <c r="K6" s="13">
        <v>1.0E7</v>
      </c>
      <c r="L6" s="8" t="s">
        <v>140</v>
      </c>
      <c r="M6" s="8" t="s">
        <v>141</v>
      </c>
      <c r="N6" s="8" t="s">
        <v>143</v>
      </c>
      <c r="O6" s="8" t="s">
        <v>87</v>
      </c>
      <c r="P6" s="8" t="s">
        <v>145</v>
      </c>
      <c r="Q6" s="8" t="s">
        <v>74</v>
      </c>
    </row>
    <row r="7" ht="15.0" customHeight="1">
      <c r="A7" s="8" t="s">
        <v>148</v>
      </c>
      <c r="B7" s="8" t="s">
        <v>149</v>
      </c>
      <c r="C7" s="8">
        <v>6.0</v>
      </c>
      <c r="D7" s="9">
        <v>46083.0</v>
      </c>
      <c r="E7" s="9">
        <v>46118.0</v>
      </c>
      <c r="F7" s="10" t="s">
        <v>151</v>
      </c>
      <c r="G7" s="8" t="s">
        <v>54</v>
      </c>
      <c r="H7" s="9">
        <v>46083.0</v>
      </c>
      <c r="I7" s="9">
        <v>46111.0</v>
      </c>
      <c r="J7" s="8" t="s">
        <v>119</v>
      </c>
      <c r="K7" s="13">
        <v>1.5E7</v>
      </c>
      <c r="L7" s="8" t="s">
        <v>121</v>
      </c>
      <c r="M7" s="8"/>
      <c r="N7" s="8"/>
      <c r="O7" s="8"/>
      <c r="P7" s="8" t="s">
        <v>72</v>
      </c>
      <c r="Q7" s="8" t="s">
        <v>154</v>
      </c>
    </row>
    <row r="8" ht="15.0" customHeight="1">
      <c r="A8" s="8" t="s">
        <v>156</v>
      </c>
      <c r="B8" s="8" t="s">
        <v>158</v>
      </c>
      <c r="C8" s="8">
        <v>6.0</v>
      </c>
      <c r="D8" s="9">
        <v>46188.0</v>
      </c>
      <c r="E8" s="9">
        <v>46265.0</v>
      </c>
      <c r="F8" s="10" t="s">
        <v>161</v>
      </c>
      <c r="G8" s="8" t="s">
        <v>116</v>
      </c>
      <c r="H8" s="9">
        <v>46251.0</v>
      </c>
      <c r="I8" s="9"/>
      <c r="J8" s="8" t="s">
        <v>119</v>
      </c>
      <c r="K8" s="13">
        <v>1.0E7</v>
      </c>
      <c r="L8" s="8" t="s">
        <v>121</v>
      </c>
      <c r="M8" s="8" t="s">
        <v>164</v>
      </c>
      <c r="N8" s="8" t="s">
        <v>166</v>
      </c>
      <c r="O8" s="8" t="s">
        <v>87</v>
      </c>
      <c r="P8" s="8" t="s">
        <v>167</v>
      </c>
      <c r="Q8" s="8" t="s">
        <v>127</v>
      </c>
    </row>
    <row r="9" ht="15.0" customHeight="1">
      <c r="A9" s="8" t="s">
        <v>169</v>
      </c>
      <c r="B9" s="8" t="s">
        <v>170</v>
      </c>
      <c r="C9" s="8">
        <v>5.0</v>
      </c>
      <c r="D9" s="9">
        <v>46153.0</v>
      </c>
      <c r="E9" s="9">
        <v>46188.0</v>
      </c>
      <c r="F9" s="10" t="s">
        <v>173</v>
      </c>
      <c r="G9" s="8" t="s">
        <v>167</v>
      </c>
      <c r="H9" s="9"/>
      <c r="I9" s="9"/>
      <c r="J9" s="8" t="s">
        <v>119</v>
      </c>
      <c r="K9" s="13">
        <v>4000000.0</v>
      </c>
      <c r="L9" s="8" t="s">
        <v>83</v>
      </c>
      <c r="M9" s="8" t="s">
        <v>182</v>
      </c>
      <c r="N9" s="8" t="s">
        <v>183</v>
      </c>
      <c r="O9" s="8" t="s">
        <v>87</v>
      </c>
      <c r="P9" s="8" t="s">
        <v>185</v>
      </c>
      <c r="Q9" s="8" t="s">
        <v>74</v>
      </c>
    </row>
    <row r="10" ht="15.0" customHeight="1">
      <c r="A10" s="8" t="s">
        <v>187</v>
      </c>
      <c r="B10" s="8" t="s">
        <v>188</v>
      </c>
      <c r="C10" s="8">
        <v>5.0</v>
      </c>
      <c r="D10" s="9">
        <v>46223.0</v>
      </c>
      <c r="E10" s="9">
        <v>46265.0</v>
      </c>
      <c r="F10" s="10" t="s">
        <v>190</v>
      </c>
      <c r="G10" s="8" t="s">
        <v>116</v>
      </c>
      <c r="H10" s="9">
        <v>46251.0</v>
      </c>
      <c r="I10" s="9"/>
      <c r="J10" s="8" t="s">
        <v>56</v>
      </c>
      <c r="K10" s="13">
        <v>2.0E7</v>
      </c>
      <c r="L10" s="8" t="s">
        <v>66</v>
      </c>
      <c r="M10" s="8" t="s">
        <v>194</v>
      </c>
      <c r="N10" s="8" t="s">
        <v>70</v>
      </c>
      <c r="O10" s="8" t="s">
        <v>71</v>
      </c>
      <c r="P10" s="8" t="s">
        <v>167</v>
      </c>
      <c r="Q10" s="8" t="s">
        <v>127</v>
      </c>
    </row>
    <row r="11" ht="15.0" customHeight="1">
      <c r="A11" s="8" t="s">
        <v>196</v>
      </c>
      <c r="B11" s="8" t="s">
        <v>197</v>
      </c>
      <c r="C11" s="8">
        <v>5.0</v>
      </c>
      <c r="D11" s="9">
        <v>46006.0</v>
      </c>
      <c r="E11" s="9">
        <v>46055.0</v>
      </c>
      <c r="F11" s="10" t="s">
        <v>198</v>
      </c>
      <c r="G11" s="8" t="s">
        <v>116</v>
      </c>
      <c r="H11" s="9">
        <v>46027.0</v>
      </c>
      <c r="I11" s="9"/>
      <c r="J11" s="8" t="s">
        <v>119</v>
      </c>
      <c r="K11" s="13">
        <v>7000000.0</v>
      </c>
      <c r="L11" s="8" t="s">
        <v>83</v>
      </c>
      <c r="M11" s="8" t="s">
        <v>199</v>
      </c>
      <c r="N11" s="8" t="s">
        <v>86</v>
      </c>
      <c r="O11" s="8" t="s">
        <v>87</v>
      </c>
      <c r="P11" s="8" t="s">
        <v>200</v>
      </c>
      <c r="Q11" s="8" t="s">
        <v>127</v>
      </c>
    </row>
    <row r="12" ht="15.0" customHeight="1">
      <c r="A12" s="8" t="s">
        <v>201</v>
      </c>
      <c r="B12" s="8" t="s">
        <v>202</v>
      </c>
      <c r="C12" s="8">
        <v>5.0</v>
      </c>
      <c r="D12" s="9">
        <v>45964.0</v>
      </c>
      <c r="E12" s="9">
        <v>45992.0</v>
      </c>
      <c r="F12" s="10" t="s">
        <v>203</v>
      </c>
      <c r="G12" s="8" t="s">
        <v>116</v>
      </c>
      <c r="H12" s="9">
        <v>45978.0</v>
      </c>
      <c r="I12" s="9"/>
      <c r="J12" s="8"/>
      <c r="K12" s="13"/>
      <c r="L12" s="8" t="s">
        <v>83</v>
      </c>
      <c r="M12" s="8"/>
      <c r="N12" s="8"/>
      <c r="O12" s="8"/>
      <c r="P12" s="8"/>
      <c r="Q12" s="8"/>
    </row>
    <row r="13" ht="15.0" customHeight="1">
      <c r="A13" s="8" t="s">
        <v>206</v>
      </c>
      <c r="B13" s="8" t="s">
        <v>207</v>
      </c>
      <c r="C13" s="8">
        <v>4.0</v>
      </c>
      <c r="D13" s="9">
        <v>45985.0</v>
      </c>
      <c r="E13" s="9">
        <v>46006.0</v>
      </c>
      <c r="F13" s="10" t="s">
        <v>208</v>
      </c>
      <c r="G13" s="8" t="s">
        <v>54</v>
      </c>
      <c r="H13" s="9"/>
      <c r="I13" s="9">
        <v>46006.0</v>
      </c>
      <c r="J13" s="8" t="s">
        <v>119</v>
      </c>
      <c r="K13" s="13">
        <v>1.0E7</v>
      </c>
      <c r="L13" s="8" t="s">
        <v>121</v>
      </c>
      <c r="M13" s="8" t="s">
        <v>141</v>
      </c>
      <c r="N13" s="8" t="s">
        <v>143</v>
      </c>
      <c r="O13" s="8" t="s">
        <v>87</v>
      </c>
      <c r="P13" s="8" t="s">
        <v>72</v>
      </c>
      <c r="Q13" s="8" t="s">
        <v>154</v>
      </c>
    </row>
    <row r="14" ht="15.0" customHeight="1">
      <c r="A14" s="8" t="s">
        <v>211</v>
      </c>
      <c r="B14" s="8" t="s">
        <v>212</v>
      </c>
      <c r="C14" s="8">
        <v>4.0</v>
      </c>
      <c r="D14" s="9">
        <v>45944.0</v>
      </c>
      <c r="E14" s="9">
        <v>45971.0</v>
      </c>
      <c r="F14" s="10" t="s">
        <v>213</v>
      </c>
      <c r="G14" s="8" t="s">
        <v>116</v>
      </c>
      <c r="H14" s="9">
        <v>45957.0</v>
      </c>
      <c r="I14" s="9"/>
      <c r="J14" s="8" t="s">
        <v>119</v>
      </c>
      <c r="K14" s="13">
        <v>5000000.0</v>
      </c>
      <c r="L14" s="8" t="s">
        <v>140</v>
      </c>
      <c r="M14" s="8" t="s">
        <v>194</v>
      </c>
      <c r="N14" s="8" t="s">
        <v>143</v>
      </c>
      <c r="O14" s="8" t="s">
        <v>87</v>
      </c>
      <c r="P14" s="8" t="s">
        <v>185</v>
      </c>
      <c r="Q14" s="8" t="s">
        <v>215</v>
      </c>
    </row>
    <row r="15" ht="15.0" customHeight="1">
      <c r="A15" s="8" t="s">
        <v>217</v>
      </c>
      <c r="B15" s="8" t="s">
        <v>219</v>
      </c>
      <c r="C15" s="8">
        <v>4.0</v>
      </c>
      <c r="D15" s="9">
        <v>45944.0</v>
      </c>
      <c r="E15" s="9">
        <v>45964.0</v>
      </c>
      <c r="F15" s="10" t="s">
        <v>221</v>
      </c>
      <c r="G15" s="8" t="s">
        <v>116</v>
      </c>
      <c r="H15" s="9">
        <v>45944.0</v>
      </c>
      <c r="I15" s="9"/>
      <c r="J15" s="8" t="s">
        <v>119</v>
      </c>
      <c r="K15" s="13">
        <v>1.0E7</v>
      </c>
      <c r="L15" s="8" t="s">
        <v>83</v>
      </c>
      <c r="M15" s="8"/>
      <c r="N15" s="8"/>
      <c r="O15" s="8"/>
      <c r="P15" s="8" t="s">
        <v>145</v>
      </c>
      <c r="Q15" s="8" t="s">
        <v>215</v>
      </c>
    </row>
    <row r="16" ht="15.0" customHeight="1">
      <c r="A16" s="8" t="s">
        <v>224</v>
      </c>
      <c r="B16" s="8" t="s">
        <v>225</v>
      </c>
      <c r="C16" s="8">
        <v>4.0</v>
      </c>
      <c r="D16" s="9">
        <v>46153.0</v>
      </c>
      <c r="E16" s="9">
        <v>46174.0</v>
      </c>
      <c r="F16" s="10" t="s">
        <v>226</v>
      </c>
      <c r="G16" s="8" t="s">
        <v>167</v>
      </c>
      <c r="H16" s="9"/>
      <c r="I16" s="9"/>
      <c r="J16" s="8" t="s">
        <v>56</v>
      </c>
      <c r="K16" s="13">
        <v>2.5E8</v>
      </c>
      <c r="L16" s="8" t="s">
        <v>121</v>
      </c>
      <c r="M16" s="8" t="s">
        <v>194</v>
      </c>
      <c r="N16" s="8" t="s">
        <v>143</v>
      </c>
      <c r="O16" s="8" t="s">
        <v>87</v>
      </c>
      <c r="P16" s="8" t="s">
        <v>185</v>
      </c>
      <c r="Q16" s="8" t="s">
        <v>74</v>
      </c>
    </row>
    <row r="17" ht="15.0" customHeight="1">
      <c r="A17" s="8" t="s">
        <v>230</v>
      </c>
      <c r="B17" s="8" t="s">
        <v>231</v>
      </c>
      <c r="C17" s="8">
        <v>3.0</v>
      </c>
      <c r="D17" s="9">
        <v>46174.0</v>
      </c>
      <c r="E17" s="9">
        <v>46216.0</v>
      </c>
      <c r="F17" s="10" t="s">
        <v>232</v>
      </c>
      <c r="G17" s="8" t="s">
        <v>167</v>
      </c>
      <c r="H17" s="9"/>
      <c r="I17" s="9"/>
      <c r="J17" s="8" t="s">
        <v>119</v>
      </c>
      <c r="K17" s="13">
        <v>1.0E7</v>
      </c>
      <c r="L17" s="8" t="s">
        <v>121</v>
      </c>
      <c r="M17" s="8" t="s">
        <v>234</v>
      </c>
      <c r="N17" s="8" t="s">
        <v>183</v>
      </c>
      <c r="O17" s="8" t="s">
        <v>87</v>
      </c>
      <c r="P17" s="8" t="s">
        <v>167</v>
      </c>
      <c r="Q17" s="8" t="s">
        <v>127</v>
      </c>
    </row>
    <row r="18" ht="15.0" customHeight="1">
      <c r="A18" s="8" t="s">
        <v>235</v>
      </c>
      <c r="B18" s="8" t="s">
        <v>236</v>
      </c>
      <c r="C18" s="8">
        <v>2.0</v>
      </c>
      <c r="D18" s="9">
        <v>46055.0</v>
      </c>
      <c r="E18" s="9">
        <v>46062.0</v>
      </c>
      <c r="F18" s="10" t="s">
        <v>238</v>
      </c>
      <c r="G18" s="8" t="s">
        <v>116</v>
      </c>
      <c r="H18" s="9">
        <v>46062.0</v>
      </c>
      <c r="I18" s="9"/>
      <c r="J18" s="8" t="s">
        <v>56</v>
      </c>
      <c r="K18" s="13">
        <v>2.0E7</v>
      </c>
      <c r="L18" s="8" t="s">
        <v>140</v>
      </c>
      <c r="M18" s="8" t="s">
        <v>240</v>
      </c>
      <c r="N18" s="8" t="s">
        <v>166</v>
      </c>
      <c r="O18" s="8" t="s">
        <v>87</v>
      </c>
      <c r="P18" s="8" t="s">
        <v>185</v>
      </c>
      <c r="Q18" s="8" t="s">
        <v>74</v>
      </c>
    </row>
    <row r="19" ht="15.0" customHeight="1">
      <c r="A19" s="8" t="s">
        <v>243</v>
      </c>
      <c r="B19" s="8" t="s">
        <v>244</v>
      </c>
      <c r="C19" s="8">
        <v>2.0</v>
      </c>
      <c r="D19" s="9">
        <v>46168.0</v>
      </c>
      <c r="E19" s="9">
        <v>46174.0</v>
      </c>
      <c r="F19" s="10" t="s">
        <v>246</v>
      </c>
      <c r="G19" s="8" t="s">
        <v>167</v>
      </c>
      <c r="H19" s="9"/>
      <c r="I19" s="9"/>
      <c r="J19" s="8" t="s">
        <v>119</v>
      </c>
      <c r="K19" s="13">
        <v>7000000.0</v>
      </c>
      <c r="L19" s="8" t="s">
        <v>83</v>
      </c>
      <c r="M19" s="8" t="s">
        <v>247</v>
      </c>
      <c r="N19" s="8" t="s">
        <v>247</v>
      </c>
      <c r="O19" s="8" t="s">
        <v>87</v>
      </c>
      <c r="P19" s="8" t="s">
        <v>167</v>
      </c>
      <c r="Q19" s="8" t="s">
        <v>127</v>
      </c>
    </row>
    <row r="20" ht="15.0" customHeight="1">
      <c r="A20" s="8" t="s">
        <v>249</v>
      </c>
      <c r="B20" s="8" t="s">
        <v>250</v>
      </c>
      <c r="C20" s="8">
        <v>2.0</v>
      </c>
      <c r="D20" s="9">
        <v>45999.0</v>
      </c>
      <c r="E20" s="9">
        <v>46006.0</v>
      </c>
      <c r="F20" s="10" t="s">
        <v>251</v>
      </c>
      <c r="G20" s="8" t="s">
        <v>116</v>
      </c>
      <c r="H20" s="9">
        <v>46006.0</v>
      </c>
      <c r="I20" s="9"/>
      <c r="J20" s="8" t="s">
        <v>119</v>
      </c>
      <c r="K20" s="13">
        <v>1.2E7</v>
      </c>
      <c r="L20" s="8" t="s">
        <v>140</v>
      </c>
      <c r="M20" s="8" t="s">
        <v>252</v>
      </c>
      <c r="N20" s="8" t="s">
        <v>253</v>
      </c>
      <c r="O20" s="8" t="s">
        <v>87</v>
      </c>
      <c r="P20" s="8" t="s">
        <v>185</v>
      </c>
      <c r="Q20" s="8" t="s">
        <v>254</v>
      </c>
    </row>
    <row r="21" ht="15.0" customHeight="1">
      <c r="A21" s="8" t="s">
        <v>255</v>
      </c>
      <c r="B21" s="8" t="s">
        <v>256</v>
      </c>
      <c r="C21" s="8">
        <v>1.0</v>
      </c>
      <c r="D21" s="9">
        <v>46118.0</v>
      </c>
      <c r="E21" s="9">
        <v>46118.0</v>
      </c>
      <c r="F21" s="10" t="s">
        <v>257</v>
      </c>
      <c r="G21" s="8" t="s">
        <v>167</v>
      </c>
      <c r="H21" s="9"/>
      <c r="I21" s="9"/>
      <c r="J21" s="8"/>
      <c r="K21" s="13"/>
      <c r="L21" s="8" t="s">
        <v>121</v>
      </c>
      <c r="M21" s="8"/>
      <c r="N21" s="8"/>
      <c r="O21" s="8"/>
      <c r="P21" s="8"/>
      <c r="Q21" s="8"/>
    </row>
    <row r="22" ht="15.0" customHeight="1">
      <c r="A22" s="8" t="s">
        <v>258</v>
      </c>
      <c r="B22" s="8" t="s">
        <v>259</v>
      </c>
      <c r="C22" s="8">
        <v>1.0</v>
      </c>
      <c r="D22" s="9">
        <v>46251.0</v>
      </c>
      <c r="E22" s="9">
        <v>46251.0</v>
      </c>
      <c r="F22" s="10" t="s">
        <v>260</v>
      </c>
      <c r="G22" s="8" t="s">
        <v>167</v>
      </c>
      <c r="H22" s="9"/>
      <c r="I22" s="9"/>
      <c r="J22" s="8" t="s">
        <v>119</v>
      </c>
      <c r="K22" s="13">
        <v>1.0E7</v>
      </c>
      <c r="L22" s="8" t="s">
        <v>261</v>
      </c>
      <c r="M22" s="8"/>
      <c r="N22" s="8"/>
      <c r="O22" s="8"/>
      <c r="P22" s="8" t="s">
        <v>185</v>
      </c>
      <c r="Q22" s="8" t="s">
        <v>74</v>
      </c>
    </row>
    <row r="23" ht="15.0" customHeight="1">
      <c r="A23" s="8" t="s">
        <v>262</v>
      </c>
      <c r="B23" s="8" t="s">
        <v>263</v>
      </c>
      <c r="C23" s="8">
        <v>1.0</v>
      </c>
      <c r="D23" s="9">
        <v>46195.0</v>
      </c>
      <c r="E23" s="9">
        <v>46195.0</v>
      </c>
      <c r="F23" s="10" t="s">
        <v>264</v>
      </c>
      <c r="G23" s="8" t="s">
        <v>167</v>
      </c>
      <c r="H23" s="9"/>
      <c r="I23" s="9"/>
      <c r="J23" s="8" t="s">
        <v>265</v>
      </c>
      <c r="K23" s="13">
        <v>1.5E7</v>
      </c>
      <c r="L23" s="8" t="s">
        <v>121</v>
      </c>
      <c r="M23" s="8" t="s">
        <v>240</v>
      </c>
      <c r="N23" s="8" t="s">
        <v>166</v>
      </c>
      <c r="O23" s="8" t="s">
        <v>87</v>
      </c>
      <c r="P23" s="8" t="s">
        <v>185</v>
      </c>
      <c r="Q23" s="8" t="s">
        <v>267</v>
      </c>
    </row>
    <row r="24" ht="15.0" customHeight="1">
      <c r="A24" s="8" t="s">
        <v>268</v>
      </c>
      <c r="B24" s="8" t="s">
        <v>269</v>
      </c>
      <c r="C24" s="8">
        <v>1.0</v>
      </c>
      <c r="D24" s="9">
        <v>46055.0</v>
      </c>
      <c r="E24" s="9">
        <v>46055.0</v>
      </c>
      <c r="F24" s="10" t="s">
        <v>270</v>
      </c>
      <c r="G24" s="8" t="s">
        <v>167</v>
      </c>
      <c r="H24" s="9"/>
      <c r="I24" s="9"/>
      <c r="J24" s="8" t="s">
        <v>119</v>
      </c>
      <c r="K24" s="13">
        <v>2.0E7</v>
      </c>
      <c r="L24" s="8" t="s">
        <v>121</v>
      </c>
      <c r="M24" s="8"/>
      <c r="N24" s="8"/>
      <c r="O24" s="8"/>
      <c r="P24" s="8" t="s">
        <v>200</v>
      </c>
      <c r="Q24" s="8" t="s">
        <v>154</v>
      </c>
    </row>
    <row r="25" ht="15.0" customHeight="1">
      <c r="A25" s="8" t="s">
        <v>271</v>
      </c>
      <c r="B25" s="8" t="s">
        <v>272</v>
      </c>
      <c r="C25" s="8">
        <v>1.0</v>
      </c>
      <c r="D25" s="9">
        <v>46230.0</v>
      </c>
      <c r="E25" s="9">
        <v>46230.0</v>
      </c>
      <c r="F25" s="10" t="s">
        <v>273</v>
      </c>
      <c r="G25" s="8" t="s">
        <v>167</v>
      </c>
      <c r="H25" s="9"/>
      <c r="I25" s="9"/>
      <c r="J25" s="8" t="s">
        <v>119</v>
      </c>
      <c r="K25" s="13">
        <v>8000000.0</v>
      </c>
      <c r="L25" s="8" t="s">
        <v>83</v>
      </c>
      <c r="M25" s="8" t="s">
        <v>274</v>
      </c>
      <c r="N25" s="8" t="s">
        <v>166</v>
      </c>
      <c r="O25" s="8" t="s">
        <v>87</v>
      </c>
      <c r="P25" s="8" t="s">
        <v>167</v>
      </c>
      <c r="Q25" s="8" t="s">
        <v>127</v>
      </c>
    </row>
    <row r="26" ht="15.0" customHeight="1">
      <c r="A26" s="8" t="s">
        <v>275</v>
      </c>
      <c r="B26" s="8" t="s">
        <v>276</v>
      </c>
      <c r="C26" s="8">
        <v>1.0</v>
      </c>
      <c r="D26" s="9">
        <v>46111.0</v>
      </c>
      <c r="E26" s="9">
        <v>46111.0</v>
      </c>
      <c r="F26" s="10" t="s">
        <v>277</v>
      </c>
      <c r="G26" s="8" t="s">
        <v>167</v>
      </c>
      <c r="H26" s="9"/>
      <c r="I26" s="9"/>
      <c r="J26" s="8" t="s">
        <v>56</v>
      </c>
      <c r="K26" s="13">
        <v>1.5E7</v>
      </c>
      <c r="L26" s="8" t="s">
        <v>121</v>
      </c>
      <c r="M26" s="8" t="s">
        <v>247</v>
      </c>
      <c r="N26" s="8" t="s">
        <v>247</v>
      </c>
      <c r="O26" s="8" t="s">
        <v>87</v>
      </c>
      <c r="P26" s="8" t="s">
        <v>185</v>
      </c>
      <c r="Q26" s="8" t="s">
        <v>154</v>
      </c>
    </row>
    <row r="27" ht="15.0" customHeight="1">
      <c r="A27" s="8" t="s">
        <v>278</v>
      </c>
      <c r="B27" s="8" t="s">
        <v>279</v>
      </c>
      <c r="C27" s="8">
        <v>1.0</v>
      </c>
      <c r="D27" s="9">
        <v>46048.0</v>
      </c>
      <c r="E27" s="9">
        <v>46048.0</v>
      </c>
      <c r="F27" s="10" t="s">
        <v>280</v>
      </c>
      <c r="G27" s="8" t="s">
        <v>167</v>
      </c>
      <c r="H27" s="9"/>
      <c r="I27" s="9"/>
      <c r="J27" s="8" t="s">
        <v>281</v>
      </c>
      <c r="K27" s="13">
        <v>1.2E7</v>
      </c>
      <c r="L27" s="8" t="s">
        <v>140</v>
      </c>
      <c r="M27" s="8"/>
      <c r="N27" s="8"/>
      <c r="O27" s="8"/>
      <c r="P27" s="8" t="s">
        <v>185</v>
      </c>
      <c r="Q27" s="8" t="s">
        <v>267</v>
      </c>
    </row>
    <row r="28" ht="15.0" customHeight="1">
      <c r="A28" s="8" t="s">
        <v>283</v>
      </c>
      <c r="B28" s="8" t="s">
        <v>284</v>
      </c>
      <c r="C28" s="8">
        <v>1.0</v>
      </c>
      <c r="D28" s="9">
        <v>46083.0</v>
      </c>
      <c r="E28" s="9">
        <v>46083.0</v>
      </c>
      <c r="F28" s="10" t="s">
        <v>287</v>
      </c>
      <c r="G28" s="8" t="s">
        <v>116</v>
      </c>
      <c r="H28" s="9">
        <v>46083.0</v>
      </c>
      <c r="I28" s="9"/>
      <c r="J28" s="8"/>
      <c r="K28" s="13"/>
      <c r="L28" s="8" t="s">
        <v>140</v>
      </c>
      <c r="M28" s="8" t="s">
        <v>194</v>
      </c>
      <c r="N28" s="8" t="s">
        <v>143</v>
      </c>
      <c r="O28" s="8" t="s">
        <v>87</v>
      </c>
      <c r="P28" s="8"/>
      <c r="Q28" s="8"/>
    </row>
    <row r="29" ht="15.0" customHeight="1">
      <c r="A29" s="8" t="s">
        <v>288</v>
      </c>
      <c r="B29" s="8" t="s">
        <v>289</v>
      </c>
      <c r="C29" s="8">
        <v>1.0</v>
      </c>
      <c r="D29" s="9">
        <v>45964.0</v>
      </c>
      <c r="E29" s="9">
        <v>45964.0</v>
      </c>
      <c r="F29" s="10" t="s">
        <v>290</v>
      </c>
      <c r="G29" s="8" t="s">
        <v>167</v>
      </c>
      <c r="H29" s="9"/>
      <c r="I29" s="9"/>
      <c r="J29" s="8"/>
      <c r="K29" s="13"/>
      <c r="L29" s="8" t="s">
        <v>121</v>
      </c>
      <c r="M29" s="8" t="s">
        <v>292</v>
      </c>
      <c r="N29" s="8" t="s">
        <v>70</v>
      </c>
      <c r="O29" s="8" t="s">
        <v>71</v>
      </c>
      <c r="P29" s="8" t="s">
        <v>293</v>
      </c>
      <c r="Q29" s="8"/>
    </row>
    <row r="30" ht="15.0" customHeight="1">
      <c r="A30" s="8" t="s">
        <v>294</v>
      </c>
      <c r="B30" s="8" t="s">
        <v>295</v>
      </c>
      <c r="C30" s="8">
        <v>1.0</v>
      </c>
      <c r="D30" s="9">
        <v>46237.0</v>
      </c>
      <c r="E30" s="9">
        <v>46237.0</v>
      </c>
      <c r="F30" s="10" t="s">
        <v>296</v>
      </c>
      <c r="G30" s="8" t="s">
        <v>167</v>
      </c>
      <c r="H30" s="9"/>
      <c r="I30" s="9"/>
      <c r="J30" s="8" t="s">
        <v>119</v>
      </c>
      <c r="K30" s="13">
        <v>1.5E7</v>
      </c>
      <c r="L30" s="8" t="s">
        <v>121</v>
      </c>
      <c r="M30" s="8"/>
      <c r="N30" s="8"/>
      <c r="O30" s="8"/>
      <c r="P30" s="8" t="s">
        <v>167</v>
      </c>
      <c r="Q30" s="8" t="s">
        <v>297</v>
      </c>
    </row>
    <row r="31" ht="15.0" customHeight="1">
      <c r="A31" s="8" t="s">
        <v>298</v>
      </c>
      <c r="B31" s="8" t="s">
        <v>299</v>
      </c>
      <c r="C31" s="8">
        <v>1.0</v>
      </c>
      <c r="D31" s="9">
        <v>46118.0</v>
      </c>
      <c r="E31" s="9">
        <v>46118.0</v>
      </c>
      <c r="F31" s="10" t="s">
        <v>257</v>
      </c>
      <c r="G31" s="8" t="s">
        <v>167</v>
      </c>
      <c r="H31" s="9"/>
      <c r="I31" s="9"/>
      <c r="J31" s="8" t="s">
        <v>56</v>
      </c>
      <c r="K31" s="13">
        <v>6000000.0</v>
      </c>
      <c r="L31" s="8" t="s">
        <v>121</v>
      </c>
      <c r="M31" s="8" t="s">
        <v>300</v>
      </c>
      <c r="N31" s="8" t="s">
        <v>143</v>
      </c>
      <c r="O31" s="8" t="s">
        <v>87</v>
      </c>
      <c r="P31" s="8" t="s">
        <v>185</v>
      </c>
      <c r="Q31" s="8" t="s">
        <v>154</v>
      </c>
    </row>
    <row r="32" ht="15.0" customHeight="1">
      <c r="A32" s="8" t="s">
        <v>302</v>
      </c>
      <c r="B32" s="8" t="s">
        <v>303</v>
      </c>
      <c r="C32" s="8">
        <v>1.0</v>
      </c>
      <c r="D32" s="9">
        <v>45957.0</v>
      </c>
      <c r="E32" s="9">
        <v>45957.0</v>
      </c>
      <c r="F32" s="10" t="s">
        <v>304</v>
      </c>
      <c r="G32" s="8" t="s">
        <v>167</v>
      </c>
      <c r="H32" s="9"/>
      <c r="I32" s="9"/>
      <c r="J32" s="8" t="s">
        <v>119</v>
      </c>
      <c r="K32" s="13">
        <v>6000000.0</v>
      </c>
      <c r="L32" s="8" t="s">
        <v>83</v>
      </c>
      <c r="M32" s="8" t="s">
        <v>240</v>
      </c>
      <c r="N32" s="8" t="s">
        <v>166</v>
      </c>
      <c r="O32" s="8" t="s">
        <v>87</v>
      </c>
      <c r="P32" s="8" t="s">
        <v>200</v>
      </c>
      <c r="Q32" s="8" t="s">
        <v>215</v>
      </c>
    </row>
    <row r="33" ht="15.0" customHeight="1">
      <c r="A33" s="8" t="s">
        <v>306</v>
      </c>
      <c r="B33" s="8" t="s">
        <v>307</v>
      </c>
      <c r="C33" s="8">
        <v>1.0</v>
      </c>
      <c r="D33" s="9">
        <v>46258.0</v>
      </c>
      <c r="E33" s="9">
        <v>46258.0</v>
      </c>
      <c r="F33" s="10" t="s">
        <v>308</v>
      </c>
      <c r="G33" s="8" t="s">
        <v>167</v>
      </c>
      <c r="H33" s="9"/>
      <c r="I33" s="9"/>
      <c r="J33" s="8" t="s">
        <v>119</v>
      </c>
      <c r="K33" s="13">
        <v>1.7E7</v>
      </c>
      <c r="L33" s="8" t="s">
        <v>121</v>
      </c>
      <c r="M33" s="8"/>
      <c r="N33" s="8"/>
      <c r="O33" s="8"/>
      <c r="P33" s="8" t="s">
        <v>167</v>
      </c>
      <c r="Q33" s="8" t="s">
        <v>127</v>
      </c>
    </row>
    <row r="34" ht="15.0" customHeight="1">
      <c r="A34" s="8" t="s">
        <v>310</v>
      </c>
      <c r="B34" s="8" t="s">
        <v>311</v>
      </c>
      <c r="C34" s="8">
        <v>1.0</v>
      </c>
      <c r="D34" s="9">
        <v>46118.0</v>
      </c>
      <c r="E34" s="9">
        <v>46118.0</v>
      </c>
      <c r="F34" s="10" t="s">
        <v>257</v>
      </c>
      <c r="G34" s="8" t="s">
        <v>167</v>
      </c>
      <c r="H34" s="9"/>
      <c r="I34" s="9"/>
      <c r="J34" s="8" t="s">
        <v>119</v>
      </c>
      <c r="K34" s="13">
        <v>1.0E7</v>
      </c>
      <c r="L34" s="8" t="s">
        <v>121</v>
      </c>
      <c r="M34" s="8"/>
      <c r="N34" s="8"/>
      <c r="O34" s="8"/>
      <c r="P34" s="8" t="s">
        <v>200</v>
      </c>
      <c r="Q34" s="8" t="s">
        <v>154</v>
      </c>
    </row>
    <row r="35" ht="15.0" customHeight="1">
      <c r="A35" s="6" t="s">
        <v>314</v>
      </c>
      <c r="B35" s="6" t="s">
        <v>315</v>
      </c>
      <c r="C35" s="6">
        <v>1.0</v>
      </c>
      <c r="D35" s="22">
        <v>46118.0</v>
      </c>
      <c r="E35" s="22">
        <v>46118.0</v>
      </c>
      <c r="F35" s="6" t="s">
        <v>257</v>
      </c>
      <c r="G35" s="6" t="s">
        <v>167</v>
      </c>
      <c r="J35" s="6" t="s">
        <v>56</v>
      </c>
      <c r="K35" s="6">
        <v>2.0E7</v>
      </c>
      <c r="L35" s="6" t="s">
        <v>261</v>
      </c>
      <c r="M35" s="6" t="s">
        <v>247</v>
      </c>
      <c r="N35" s="6" t="s">
        <v>247</v>
      </c>
      <c r="O35" s="6" t="s">
        <v>87</v>
      </c>
      <c r="P35" s="6" t="s">
        <v>185</v>
      </c>
      <c r="Q35" s="6" t="s">
        <v>127</v>
      </c>
    </row>
    <row r="36" ht="15.75" customHeight="1">
      <c r="B36" s="6"/>
      <c r="F36" s="6"/>
      <c r="G36" s="6"/>
      <c r="L36" s="6"/>
      <c r="P36" s="6"/>
      <c r="Q36" s="6"/>
    </row>
    <row r="37" ht="15.75" customHeight="1">
      <c r="B37" s="6"/>
      <c r="F37" s="6"/>
      <c r="G37" s="6"/>
      <c r="L37" s="6"/>
      <c r="P37" s="6"/>
      <c r="Q37" s="6"/>
    </row>
    <row r="38" ht="15.75" customHeight="1">
      <c r="B38" s="6"/>
      <c r="F38" s="6"/>
      <c r="G38" s="6"/>
      <c r="L38" s="6"/>
      <c r="P38" s="6"/>
      <c r="Q38" s="6"/>
    </row>
    <row r="39" ht="15.75" customHeight="1">
      <c r="B39" s="6"/>
      <c r="F39" s="6"/>
      <c r="G39" s="6"/>
      <c r="L39" s="6"/>
      <c r="P39" s="6"/>
      <c r="Q39" s="6"/>
    </row>
    <row r="40" ht="15.75" customHeight="1">
      <c r="B40" s="6"/>
      <c r="F40" s="6"/>
      <c r="G40" s="6"/>
      <c r="L40" s="6"/>
      <c r="P40" s="6"/>
      <c r="Q40" s="6"/>
    </row>
    <row r="41" ht="15.75" customHeight="1">
      <c r="B41" s="6"/>
      <c r="F41" s="6"/>
      <c r="G41" s="6"/>
      <c r="L41" s="6"/>
      <c r="P41" s="6"/>
      <c r="Q41" s="6"/>
    </row>
    <row r="42" ht="15.75" customHeight="1">
      <c r="B42" s="6"/>
      <c r="F42" s="6"/>
      <c r="G42" s="6"/>
      <c r="L42" s="6"/>
      <c r="P42" s="6"/>
      <c r="Q42" s="6"/>
    </row>
    <row r="43" ht="15.75" customHeight="1">
      <c r="B43" s="6"/>
      <c r="F43" s="6"/>
      <c r="G43" s="6"/>
      <c r="L43" s="6"/>
      <c r="P43" s="6"/>
      <c r="Q43" s="6"/>
    </row>
    <row r="44" ht="15.75" customHeight="1">
      <c r="B44" s="6"/>
      <c r="F44" s="6"/>
      <c r="G44" s="6"/>
      <c r="L44" s="6"/>
      <c r="P44" s="6"/>
      <c r="Q44" s="6"/>
    </row>
    <row r="45" ht="15.75" customHeight="1">
      <c r="B45" s="6"/>
      <c r="F45" s="6"/>
      <c r="G45" s="6"/>
      <c r="L45" s="6"/>
      <c r="P45" s="6"/>
      <c r="Q45" s="6"/>
    </row>
    <row r="46" ht="15.75" customHeight="1">
      <c r="B46" s="6"/>
      <c r="F46" s="6"/>
      <c r="G46" s="6"/>
      <c r="L46" s="6"/>
      <c r="P46" s="6"/>
      <c r="Q46" s="6"/>
    </row>
    <row r="47" ht="15.75" customHeight="1">
      <c r="B47" s="6"/>
      <c r="F47" s="6"/>
      <c r="G47" s="6"/>
      <c r="L47" s="6"/>
      <c r="P47" s="6"/>
      <c r="Q47" s="6"/>
    </row>
    <row r="48" ht="15.75" customHeight="1">
      <c r="B48" s="6"/>
      <c r="F48" s="6"/>
      <c r="G48" s="6"/>
      <c r="L48" s="6"/>
      <c r="P48" s="6"/>
      <c r="Q48" s="6"/>
    </row>
    <row r="49" ht="15.75" customHeight="1">
      <c r="B49" s="6"/>
      <c r="F49" s="6"/>
      <c r="G49" s="6"/>
      <c r="L49" s="6"/>
      <c r="P49" s="6"/>
      <c r="Q49" s="6"/>
    </row>
    <row r="50" ht="15.75" customHeight="1">
      <c r="B50" s="6"/>
      <c r="F50" s="6"/>
      <c r="G50" s="6"/>
      <c r="L50" s="6"/>
      <c r="P50" s="6"/>
      <c r="Q50" s="6"/>
    </row>
    <row r="51" ht="15.75" customHeight="1">
      <c r="B51" s="6"/>
      <c r="F51" s="6"/>
      <c r="G51" s="6"/>
      <c r="L51" s="6"/>
      <c r="P51" s="6"/>
      <c r="Q51" s="6"/>
    </row>
    <row r="52" ht="15.75" customHeight="1">
      <c r="B52" s="6"/>
      <c r="F52" s="6"/>
      <c r="G52" s="6"/>
      <c r="L52" s="6"/>
      <c r="P52" s="6"/>
      <c r="Q52" s="6"/>
    </row>
    <row r="53" ht="15.75" customHeight="1">
      <c r="B53" s="6"/>
      <c r="F53" s="6"/>
      <c r="G53" s="6"/>
      <c r="L53" s="6"/>
      <c r="P53" s="6"/>
      <c r="Q53" s="6"/>
    </row>
    <row r="54" ht="15.75" customHeight="1">
      <c r="B54" s="6"/>
      <c r="F54" s="6"/>
      <c r="G54" s="6"/>
      <c r="L54" s="6"/>
      <c r="P54" s="6"/>
      <c r="Q54" s="6"/>
    </row>
    <row r="55" ht="15.75" customHeight="1">
      <c r="B55" s="6"/>
      <c r="F55" s="6"/>
      <c r="G55" s="6"/>
      <c r="L55" s="6"/>
      <c r="P55" s="6"/>
      <c r="Q55" s="6"/>
    </row>
    <row r="56" ht="15.75" customHeight="1">
      <c r="B56" s="6"/>
      <c r="F56" s="6"/>
      <c r="G56" s="6"/>
      <c r="L56" s="6"/>
      <c r="P56" s="6"/>
      <c r="Q56" s="6"/>
    </row>
    <row r="57" ht="15.75" customHeight="1">
      <c r="B57" s="6"/>
      <c r="F57" s="6"/>
      <c r="G57" s="6"/>
      <c r="L57" s="6"/>
      <c r="P57" s="6"/>
      <c r="Q57" s="6"/>
    </row>
    <row r="58" ht="15.75" customHeight="1">
      <c r="B58" s="6"/>
      <c r="F58" s="6"/>
      <c r="G58" s="6"/>
      <c r="L58" s="6"/>
      <c r="P58" s="6"/>
      <c r="Q58" s="6"/>
    </row>
    <row r="59" ht="15.75" customHeight="1">
      <c r="B59" s="6"/>
      <c r="F59" s="6"/>
      <c r="G59" s="6"/>
      <c r="L59" s="6"/>
      <c r="P59" s="6"/>
      <c r="Q59" s="6"/>
    </row>
    <row r="60" ht="15.75" customHeight="1">
      <c r="B60" s="6"/>
      <c r="F60" s="6"/>
      <c r="G60" s="6"/>
      <c r="L60" s="6"/>
      <c r="P60" s="6"/>
      <c r="Q60" s="6"/>
    </row>
    <row r="61" ht="15.75" customHeight="1">
      <c r="B61" s="6"/>
      <c r="F61" s="6"/>
      <c r="G61" s="6"/>
      <c r="L61" s="6"/>
      <c r="P61" s="6"/>
      <c r="Q61" s="6"/>
    </row>
    <row r="62" ht="15.75" customHeight="1">
      <c r="B62" s="6"/>
      <c r="F62" s="6"/>
      <c r="G62" s="6"/>
      <c r="L62" s="6"/>
      <c r="P62" s="6"/>
      <c r="Q62" s="6"/>
    </row>
    <row r="63" ht="15.75" customHeight="1">
      <c r="B63" s="6"/>
      <c r="F63" s="6"/>
      <c r="G63" s="6"/>
      <c r="L63" s="6"/>
      <c r="P63" s="6"/>
      <c r="Q63" s="6"/>
    </row>
    <row r="64" ht="15.75" customHeight="1">
      <c r="B64" s="6"/>
      <c r="F64" s="6"/>
      <c r="G64" s="6"/>
      <c r="L64" s="6"/>
      <c r="P64" s="6"/>
      <c r="Q64" s="6"/>
    </row>
    <row r="65" ht="15.75" customHeight="1">
      <c r="B65" s="6"/>
      <c r="F65" s="6"/>
      <c r="G65" s="6"/>
      <c r="L65" s="6"/>
      <c r="P65" s="6"/>
      <c r="Q65" s="6"/>
    </row>
    <row r="66" ht="15.75" customHeight="1">
      <c r="B66" s="6"/>
      <c r="F66" s="6"/>
      <c r="G66" s="6"/>
      <c r="L66" s="6"/>
      <c r="P66" s="6"/>
      <c r="Q66" s="6"/>
    </row>
    <row r="67" ht="15.75" customHeight="1">
      <c r="B67" s="6"/>
      <c r="F67" s="6"/>
      <c r="G67" s="6"/>
      <c r="L67" s="6"/>
      <c r="P67" s="6"/>
      <c r="Q67" s="6"/>
    </row>
    <row r="68" ht="15.75" customHeight="1">
      <c r="B68" s="6"/>
      <c r="F68" s="6"/>
      <c r="G68" s="6"/>
      <c r="L68" s="6"/>
      <c r="P68" s="6"/>
      <c r="Q68" s="6"/>
    </row>
    <row r="69" ht="15.75" customHeight="1">
      <c r="B69" s="6"/>
      <c r="F69" s="6"/>
      <c r="G69" s="6"/>
      <c r="L69" s="6"/>
      <c r="P69" s="6"/>
      <c r="Q69" s="6"/>
    </row>
    <row r="70" ht="15.75" customHeight="1">
      <c r="B70" s="6"/>
      <c r="F70" s="6"/>
      <c r="G70" s="6"/>
      <c r="L70" s="6"/>
      <c r="P70" s="6"/>
      <c r="Q70" s="6"/>
    </row>
    <row r="71" ht="15.75" customHeight="1">
      <c r="B71" s="6"/>
      <c r="F71" s="6"/>
      <c r="G71" s="6"/>
      <c r="L71" s="6"/>
      <c r="P71" s="6"/>
      <c r="Q71" s="6"/>
    </row>
    <row r="72" ht="15.75" customHeight="1">
      <c r="B72" s="6"/>
      <c r="F72" s="6"/>
      <c r="G72" s="6"/>
      <c r="L72" s="6"/>
      <c r="P72" s="6"/>
      <c r="Q72" s="6"/>
    </row>
    <row r="73" ht="15.75" customHeight="1">
      <c r="B73" s="6"/>
      <c r="F73" s="6"/>
      <c r="G73" s="6"/>
      <c r="L73" s="6"/>
      <c r="P73" s="6"/>
      <c r="Q73" s="6"/>
    </row>
    <row r="74" ht="15.75" customHeight="1">
      <c r="B74" s="6"/>
      <c r="F74" s="6"/>
      <c r="G74" s="6"/>
      <c r="L74" s="6"/>
      <c r="P74" s="6"/>
      <c r="Q74" s="6"/>
    </row>
    <row r="75" ht="15.75" customHeight="1">
      <c r="B75" s="6"/>
      <c r="F75" s="6"/>
      <c r="G75" s="6"/>
      <c r="L75" s="6"/>
      <c r="P75" s="6"/>
      <c r="Q75" s="6"/>
    </row>
    <row r="76" ht="15.75" customHeight="1">
      <c r="B76" s="6"/>
      <c r="F76" s="6"/>
      <c r="G76" s="6"/>
      <c r="L76" s="6"/>
      <c r="P76" s="6"/>
      <c r="Q76" s="6"/>
    </row>
    <row r="77" ht="15.75" customHeight="1">
      <c r="B77" s="6"/>
      <c r="F77" s="6"/>
      <c r="G77" s="6"/>
      <c r="L77" s="6"/>
      <c r="P77" s="6"/>
      <c r="Q77" s="6"/>
    </row>
    <row r="78" ht="15.75" customHeight="1">
      <c r="B78" s="6"/>
      <c r="F78" s="6"/>
      <c r="G78" s="6"/>
      <c r="L78" s="6"/>
      <c r="P78" s="6"/>
      <c r="Q78" s="6"/>
    </row>
    <row r="79" ht="15.75" customHeight="1">
      <c r="B79" s="6"/>
      <c r="F79" s="6"/>
      <c r="G79" s="6"/>
      <c r="L79" s="6"/>
      <c r="P79" s="6"/>
      <c r="Q79" s="6"/>
    </row>
    <row r="80" ht="15.75" customHeight="1">
      <c r="B80" s="6"/>
      <c r="F80" s="6"/>
      <c r="G80" s="6"/>
      <c r="L80" s="6"/>
      <c r="P80" s="6"/>
      <c r="Q80" s="6"/>
    </row>
    <row r="81" ht="15.75" customHeight="1">
      <c r="B81" s="6"/>
      <c r="F81" s="6"/>
      <c r="G81" s="6"/>
      <c r="L81" s="6"/>
      <c r="P81" s="6"/>
      <c r="Q81" s="6"/>
    </row>
    <row r="82" ht="15.75" customHeight="1">
      <c r="B82" s="6"/>
      <c r="F82" s="6"/>
      <c r="G82" s="6"/>
      <c r="L82" s="6"/>
      <c r="P82" s="6"/>
      <c r="Q82" s="6"/>
    </row>
    <row r="83" ht="15.75" customHeight="1">
      <c r="B83" s="6"/>
      <c r="F83" s="6"/>
      <c r="G83" s="6"/>
      <c r="L83" s="6"/>
      <c r="P83" s="6"/>
      <c r="Q83" s="6"/>
    </row>
    <row r="84" ht="15.75" customHeight="1">
      <c r="B84" s="6"/>
      <c r="F84" s="6"/>
      <c r="G84" s="6"/>
      <c r="L84" s="6"/>
      <c r="P84" s="6"/>
      <c r="Q84" s="6"/>
    </row>
    <row r="85" ht="15.75" customHeight="1">
      <c r="B85" s="6"/>
      <c r="F85" s="6"/>
      <c r="G85" s="6"/>
      <c r="L85" s="6"/>
      <c r="P85" s="6"/>
      <c r="Q85" s="6"/>
    </row>
    <row r="86" ht="15.75" customHeight="1">
      <c r="B86" s="6"/>
      <c r="F86" s="6"/>
      <c r="G86" s="6"/>
      <c r="L86" s="6"/>
      <c r="P86" s="6"/>
      <c r="Q86" s="6"/>
    </row>
    <row r="87" ht="15.75" customHeight="1">
      <c r="B87" s="6"/>
      <c r="F87" s="6"/>
      <c r="G87" s="6"/>
      <c r="L87" s="6"/>
      <c r="P87" s="6"/>
      <c r="Q87" s="6"/>
    </row>
    <row r="88" ht="15.75" customHeight="1">
      <c r="B88" s="6"/>
      <c r="F88" s="6"/>
      <c r="G88" s="6"/>
      <c r="L88" s="6"/>
      <c r="P88" s="6"/>
      <c r="Q88" s="6"/>
    </row>
    <row r="89" ht="15.75" customHeight="1">
      <c r="B89" s="6"/>
      <c r="F89" s="6"/>
      <c r="G89" s="6"/>
      <c r="L89" s="6"/>
      <c r="P89" s="6"/>
      <c r="Q89" s="6"/>
    </row>
    <row r="90" ht="15.75" customHeight="1">
      <c r="B90" s="6"/>
      <c r="F90" s="6"/>
      <c r="G90" s="6"/>
      <c r="L90" s="6"/>
      <c r="P90" s="6"/>
      <c r="Q90" s="6"/>
    </row>
    <row r="91" ht="15.75" customHeight="1">
      <c r="B91" s="6"/>
      <c r="F91" s="6"/>
      <c r="G91" s="6"/>
      <c r="L91" s="6"/>
      <c r="P91" s="6"/>
      <c r="Q91" s="6"/>
    </row>
    <row r="92" ht="15.75" customHeight="1">
      <c r="B92" s="6"/>
      <c r="F92" s="6"/>
      <c r="G92" s="6"/>
      <c r="L92" s="6"/>
      <c r="P92" s="6"/>
      <c r="Q92" s="6"/>
    </row>
    <row r="93" ht="15.75" customHeight="1">
      <c r="B93" s="6"/>
      <c r="F93" s="6"/>
      <c r="G93" s="6"/>
      <c r="L93" s="6"/>
      <c r="P93" s="6"/>
      <c r="Q93" s="6"/>
    </row>
    <row r="94" ht="15.75" customHeight="1">
      <c r="B94" s="6"/>
      <c r="F94" s="6"/>
      <c r="G94" s="6"/>
      <c r="L94" s="6"/>
      <c r="P94" s="6"/>
      <c r="Q94" s="6"/>
    </row>
    <row r="95" ht="15.75" customHeight="1">
      <c r="B95" s="6"/>
      <c r="F95" s="6"/>
      <c r="G95" s="6"/>
      <c r="L95" s="6"/>
      <c r="P95" s="6"/>
      <c r="Q95" s="6"/>
    </row>
    <row r="96" ht="15.75" customHeight="1">
      <c r="B96" s="6"/>
      <c r="F96" s="6"/>
      <c r="G96" s="6"/>
      <c r="L96" s="6"/>
      <c r="P96" s="6"/>
      <c r="Q96" s="6"/>
    </row>
    <row r="97" ht="15.75" customHeight="1">
      <c r="B97" s="6"/>
      <c r="F97" s="6"/>
      <c r="G97" s="6"/>
      <c r="L97" s="6"/>
      <c r="P97" s="6"/>
      <c r="Q97" s="6"/>
    </row>
    <row r="98" ht="15.75" customHeight="1">
      <c r="B98" s="6"/>
      <c r="F98" s="6"/>
      <c r="G98" s="6"/>
      <c r="L98" s="6"/>
      <c r="P98" s="6"/>
      <c r="Q98" s="6"/>
    </row>
    <row r="99" ht="15.75" customHeight="1">
      <c r="B99" s="6"/>
      <c r="F99" s="6"/>
      <c r="G99" s="6"/>
      <c r="L99" s="6"/>
      <c r="P99" s="6"/>
      <c r="Q99" s="6"/>
    </row>
    <row r="100" ht="15.75" customHeight="1">
      <c r="B100" s="6"/>
      <c r="F100" s="6"/>
      <c r="G100" s="6"/>
      <c r="L100" s="6"/>
      <c r="P100" s="6"/>
      <c r="Q100" s="6"/>
    </row>
    <row r="101" ht="15.75" customHeight="1">
      <c r="B101" s="6"/>
      <c r="F101" s="6"/>
      <c r="G101" s="6"/>
      <c r="L101" s="6"/>
      <c r="P101" s="6"/>
      <c r="Q101" s="6"/>
    </row>
    <row r="102" ht="15.75" customHeight="1">
      <c r="B102" s="6"/>
      <c r="F102" s="6"/>
      <c r="G102" s="6"/>
      <c r="L102" s="6"/>
      <c r="P102" s="6"/>
      <c r="Q102" s="6"/>
    </row>
    <row r="103" ht="15.75" customHeight="1">
      <c r="B103" s="6"/>
      <c r="F103" s="6"/>
      <c r="G103" s="6"/>
      <c r="L103" s="6"/>
      <c r="P103" s="6"/>
      <c r="Q103" s="6"/>
    </row>
    <row r="104" ht="15.75" customHeight="1">
      <c r="B104" s="6"/>
      <c r="F104" s="6"/>
      <c r="G104" s="6"/>
      <c r="L104" s="6"/>
      <c r="P104" s="6"/>
      <c r="Q104" s="6"/>
    </row>
    <row r="105" ht="15.75" customHeight="1">
      <c r="B105" s="6"/>
      <c r="F105" s="6"/>
      <c r="G105" s="6"/>
      <c r="L105" s="6"/>
      <c r="P105" s="6"/>
      <c r="Q105" s="6"/>
    </row>
    <row r="106" ht="15.75" customHeight="1">
      <c r="B106" s="6"/>
      <c r="F106" s="6"/>
      <c r="G106" s="6"/>
      <c r="L106" s="6"/>
      <c r="P106" s="6"/>
      <c r="Q106" s="6"/>
    </row>
    <row r="107" ht="15.75" customHeight="1">
      <c r="B107" s="6"/>
      <c r="F107" s="6"/>
      <c r="G107" s="6"/>
      <c r="L107" s="6"/>
      <c r="P107" s="6"/>
      <c r="Q107" s="6"/>
    </row>
    <row r="108" ht="15.75" customHeight="1">
      <c r="B108" s="6"/>
      <c r="F108" s="6"/>
      <c r="G108" s="6"/>
      <c r="L108" s="6"/>
      <c r="P108" s="6"/>
      <c r="Q108" s="6"/>
    </row>
    <row r="109" ht="15.75" customHeight="1">
      <c r="B109" s="6"/>
      <c r="F109" s="6"/>
      <c r="G109" s="6"/>
      <c r="L109" s="6"/>
      <c r="P109" s="6"/>
      <c r="Q109" s="6"/>
    </row>
    <row r="110" ht="15.75" customHeight="1">
      <c r="B110" s="6"/>
      <c r="F110" s="6"/>
      <c r="G110" s="6"/>
      <c r="L110" s="6"/>
      <c r="P110" s="6"/>
      <c r="Q110" s="6"/>
    </row>
    <row r="111" ht="15.75" customHeight="1">
      <c r="B111" s="6"/>
      <c r="F111" s="6"/>
      <c r="G111" s="6"/>
      <c r="L111" s="6"/>
      <c r="P111" s="6"/>
      <c r="Q111" s="6"/>
    </row>
    <row r="112" ht="15.75" customHeight="1">
      <c r="B112" s="6"/>
      <c r="F112" s="6"/>
      <c r="G112" s="6"/>
      <c r="L112" s="6"/>
      <c r="P112" s="6"/>
      <c r="Q112" s="6"/>
    </row>
    <row r="113" ht="15.75" customHeight="1">
      <c r="B113" s="6"/>
      <c r="F113" s="6"/>
      <c r="G113" s="6"/>
      <c r="L113" s="6"/>
      <c r="P113" s="6"/>
      <c r="Q113" s="6"/>
    </row>
    <row r="114" ht="15.75" customHeight="1">
      <c r="B114" s="6"/>
      <c r="F114" s="6"/>
      <c r="G114" s="6"/>
      <c r="L114" s="6"/>
      <c r="P114" s="6"/>
      <c r="Q114" s="6"/>
    </row>
    <row r="115" ht="15.75" customHeight="1">
      <c r="B115" s="6"/>
      <c r="F115" s="6"/>
      <c r="G115" s="6"/>
      <c r="L115" s="6"/>
      <c r="P115" s="6"/>
      <c r="Q115" s="6"/>
    </row>
    <row r="116" ht="15.75" customHeight="1">
      <c r="B116" s="6"/>
      <c r="F116" s="6"/>
      <c r="G116" s="6"/>
      <c r="L116" s="6"/>
      <c r="P116" s="6"/>
      <c r="Q116" s="6"/>
    </row>
    <row r="117" ht="15.75" customHeight="1">
      <c r="B117" s="6"/>
      <c r="F117" s="6"/>
      <c r="G117" s="6"/>
      <c r="L117" s="6"/>
      <c r="P117" s="6"/>
      <c r="Q117" s="6"/>
    </row>
    <row r="118" ht="15.75" customHeight="1">
      <c r="B118" s="6"/>
      <c r="F118" s="6"/>
      <c r="G118" s="6"/>
      <c r="L118" s="6"/>
      <c r="P118" s="6"/>
      <c r="Q118" s="6"/>
    </row>
    <row r="119" ht="15.75" customHeight="1">
      <c r="B119" s="6"/>
      <c r="F119" s="6"/>
      <c r="G119" s="6"/>
      <c r="L119" s="6"/>
      <c r="P119" s="6"/>
      <c r="Q119" s="6"/>
    </row>
    <row r="120" ht="15.75" customHeight="1">
      <c r="B120" s="6"/>
      <c r="F120" s="6"/>
      <c r="G120" s="6"/>
      <c r="L120" s="6"/>
      <c r="P120" s="6"/>
      <c r="Q120" s="6"/>
    </row>
    <row r="121" ht="15.75" customHeight="1">
      <c r="B121" s="6"/>
      <c r="F121" s="6"/>
      <c r="G121" s="6"/>
      <c r="L121" s="6"/>
      <c r="P121" s="6"/>
      <c r="Q121" s="6"/>
    </row>
    <row r="122" ht="15.75" customHeight="1">
      <c r="B122" s="6"/>
      <c r="F122" s="6"/>
      <c r="G122" s="6"/>
      <c r="L122" s="6"/>
      <c r="P122" s="6"/>
      <c r="Q122" s="6"/>
    </row>
    <row r="123" ht="15.75" customHeight="1">
      <c r="B123" s="6"/>
      <c r="F123" s="6"/>
      <c r="G123" s="6"/>
      <c r="L123" s="6"/>
      <c r="P123" s="6"/>
      <c r="Q123" s="6"/>
    </row>
    <row r="124" ht="15.75" customHeight="1">
      <c r="B124" s="6"/>
      <c r="F124" s="6"/>
      <c r="G124" s="6"/>
      <c r="L124" s="6"/>
      <c r="P124" s="6"/>
      <c r="Q124" s="6"/>
    </row>
    <row r="125" ht="15.75" customHeight="1">
      <c r="B125" s="6"/>
      <c r="F125" s="6"/>
      <c r="G125" s="6"/>
      <c r="L125" s="6"/>
      <c r="P125" s="6"/>
      <c r="Q125" s="6"/>
    </row>
    <row r="126" ht="15.75" customHeight="1">
      <c r="B126" s="6"/>
      <c r="F126" s="6"/>
      <c r="G126" s="6"/>
      <c r="L126" s="6"/>
      <c r="P126" s="6"/>
      <c r="Q126" s="6"/>
    </row>
    <row r="127" ht="15.75" customHeight="1">
      <c r="B127" s="6"/>
      <c r="F127" s="6"/>
      <c r="G127" s="6"/>
      <c r="L127" s="6"/>
      <c r="P127" s="6"/>
      <c r="Q127" s="6"/>
    </row>
    <row r="128" ht="15.75" customHeight="1">
      <c r="B128" s="6"/>
      <c r="F128" s="6"/>
      <c r="G128" s="6"/>
      <c r="L128" s="6"/>
      <c r="P128" s="6"/>
      <c r="Q128" s="6"/>
    </row>
    <row r="129" ht="15.75" customHeight="1">
      <c r="B129" s="6"/>
      <c r="F129" s="6"/>
      <c r="G129" s="6"/>
      <c r="L129" s="6"/>
      <c r="P129" s="6"/>
      <c r="Q129" s="6"/>
    </row>
    <row r="130" ht="15.75" customHeight="1">
      <c r="B130" s="6"/>
      <c r="F130" s="6"/>
      <c r="G130" s="6"/>
      <c r="L130" s="6"/>
      <c r="P130" s="6"/>
      <c r="Q130" s="6"/>
    </row>
    <row r="131" ht="15.75" customHeight="1">
      <c r="B131" s="6"/>
      <c r="F131" s="6"/>
      <c r="G131" s="6"/>
      <c r="L131" s="6"/>
      <c r="P131" s="6"/>
      <c r="Q131" s="6"/>
    </row>
    <row r="132" ht="15.75" customHeight="1">
      <c r="B132" s="6"/>
      <c r="F132" s="6"/>
      <c r="G132" s="6"/>
      <c r="L132" s="6"/>
      <c r="P132" s="6"/>
      <c r="Q132" s="6"/>
    </row>
    <row r="133" ht="15.75" customHeight="1">
      <c r="B133" s="6"/>
      <c r="F133" s="6"/>
      <c r="G133" s="6"/>
      <c r="L133" s="6"/>
      <c r="P133" s="6"/>
      <c r="Q133" s="6"/>
    </row>
    <row r="134" ht="15.75" customHeight="1">
      <c r="B134" s="6"/>
      <c r="F134" s="6"/>
      <c r="G134" s="6"/>
      <c r="L134" s="6"/>
      <c r="P134" s="6"/>
      <c r="Q134" s="6"/>
    </row>
    <row r="135" ht="15.75" customHeight="1">
      <c r="B135" s="6"/>
      <c r="F135" s="6"/>
      <c r="G135" s="6"/>
      <c r="L135" s="6"/>
      <c r="P135" s="6"/>
      <c r="Q135" s="6"/>
    </row>
    <row r="136" ht="15.75" customHeight="1">
      <c r="B136" s="6"/>
      <c r="F136" s="6"/>
      <c r="G136" s="6"/>
      <c r="L136" s="6"/>
      <c r="P136" s="6"/>
      <c r="Q136" s="6"/>
    </row>
    <row r="137" ht="15.75" customHeight="1">
      <c r="B137" s="6"/>
      <c r="F137" s="6"/>
      <c r="G137" s="6"/>
      <c r="L137" s="6"/>
      <c r="P137" s="6"/>
      <c r="Q137" s="6"/>
    </row>
    <row r="138" ht="15.75" customHeight="1">
      <c r="B138" s="6"/>
      <c r="F138" s="6"/>
      <c r="G138" s="6"/>
      <c r="L138" s="6"/>
      <c r="P138" s="6"/>
      <c r="Q138" s="6"/>
    </row>
    <row r="139" ht="15.75" customHeight="1">
      <c r="B139" s="6"/>
      <c r="F139" s="6"/>
      <c r="G139" s="6"/>
      <c r="L139" s="6"/>
      <c r="P139" s="6"/>
      <c r="Q139" s="6"/>
    </row>
    <row r="140" ht="15.75" customHeight="1">
      <c r="B140" s="6"/>
      <c r="F140" s="6"/>
      <c r="G140" s="6"/>
      <c r="L140" s="6"/>
      <c r="P140" s="6"/>
      <c r="Q140" s="6"/>
    </row>
    <row r="141" ht="15.75" customHeight="1">
      <c r="B141" s="6"/>
      <c r="F141" s="6"/>
      <c r="G141" s="6"/>
      <c r="L141" s="6"/>
      <c r="P141" s="6"/>
      <c r="Q141" s="6"/>
    </row>
    <row r="142" ht="15.75" customHeight="1">
      <c r="B142" s="6"/>
      <c r="F142" s="6"/>
      <c r="G142" s="6"/>
      <c r="L142" s="6"/>
      <c r="P142" s="6"/>
      <c r="Q142" s="6"/>
    </row>
    <row r="143" ht="15.75" customHeight="1">
      <c r="B143" s="6"/>
      <c r="F143" s="6"/>
      <c r="G143" s="6"/>
      <c r="L143" s="6"/>
      <c r="P143" s="6"/>
      <c r="Q143" s="6"/>
    </row>
    <row r="144" ht="15.75" customHeight="1">
      <c r="B144" s="6"/>
      <c r="F144" s="6"/>
      <c r="G144" s="6"/>
      <c r="L144" s="6"/>
      <c r="P144" s="6"/>
      <c r="Q144" s="6"/>
    </row>
    <row r="145" ht="15.75" customHeight="1">
      <c r="B145" s="6"/>
      <c r="F145" s="6"/>
      <c r="G145" s="6"/>
      <c r="L145" s="6"/>
      <c r="P145" s="6"/>
      <c r="Q145" s="6"/>
    </row>
    <row r="146" ht="15.75" customHeight="1">
      <c r="B146" s="6"/>
      <c r="F146" s="6"/>
      <c r="G146" s="6"/>
      <c r="L146" s="6"/>
      <c r="P146" s="6"/>
      <c r="Q146" s="6"/>
    </row>
    <row r="147" ht="15.75" customHeight="1">
      <c r="B147" s="6"/>
      <c r="F147" s="6"/>
      <c r="G147" s="6"/>
      <c r="L147" s="6"/>
      <c r="P147" s="6"/>
      <c r="Q147" s="6"/>
    </row>
    <row r="148" ht="15.75" customHeight="1">
      <c r="B148" s="6"/>
      <c r="F148" s="6"/>
      <c r="G148" s="6"/>
      <c r="L148" s="6"/>
      <c r="P148" s="6"/>
      <c r="Q148" s="6"/>
    </row>
    <row r="149" ht="15.75" customHeight="1">
      <c r="B149" s="6"/>
      <c r="F149" s="6"/>
      <c r="G149" s="6"/>
      <c r="L149" s="6"/>
      <c r="P149" s="6"/>
      <c r="Q149" s="6"/>
    </row>
    <row r="150" ht="15.75" customHeight="1">
      <c r="B150" s="6"/>
      <c r="F150" s="6"/>
      <c r="G150" s="6"/>
      <c r="L150" s="6"/>
      <c r="P150" s="6"/>
      <c r="Q150" s="6"/>
    </row>
    <row r="151" ht="15.75" customHeight="1">
      <c r="B151" s="6"/>
      <c r="F151" s="6"/>
      <c r="G151" s="6"/>
      <c r="L151" s="6"/>
      <c r="P151" s="6"/>
      <c r="Q151" s="6"/>
    </row>
    <row r="152" ht="15.75" customHeight="1">
      <c r="B152" s="6"/>
      <c r="F152" s="6"/>
      <c r="G152" s="6"/>
      <c r="L152" s="6"/>
      <c r="P152" s="6"/>
      <c r="Q152" s="6"/>
    </row>
    <row r="153" ht="15.75" customHeight="1">
      <c r="B153" s="6"/>
      <c r="F153" s="6"/>
      <c r="G153" s="6"/>
      <c r="L153" s="6"/>
      <c r="P153" s="6"/>
      <c r="Q153" s="6"/>
    </row>
    <row r="154" ht="15.75" customHeight="1">
      <c r="B154" s="6"/>
      <c r="F154" s="6"/>
      <c r="G154" s="6"/>
      <c r="L154" s="6"/>
      <c r="P154" s="6"/>
      <c r="Q154" s="6"/>
    </row>
    <row r="155" ht="15.75" customHeight="1">
      <c r="B155" s="6"/>
      <c r="F155" s="6"/>
      <c r="G155" s="6"/>
      <c r="L155" s="6"/>
      <c r="P155" s="6"/>
      <c r="Q155" s="6"/>
    </row>
    <row r="156" ht="15.75" customHeight="1">
      <c r="B156" s="6"/>
      <c r="F156" s="6"/>
      <c r="G156" s="6"/>
      <c r="L156" s="6"/>
      <c r="P156" s="6"/>
      <c r="Q156" s="6"/>
    </row>
    <row r="157" ht="15.75" customHeight="1">
      <c r="B157" s="6"/>
      <c r="F157" s="6"/>
      <c r="G157" s="6"/>
      <c r="L157" s="6"/>
      <c r="P157" s="6"/>
      <c r="Q157" s="6"/>
    </row>
    <row r="158" ht="15.75" customHeight="1">
      <c r="B158" s="6"/>
      <c r="F158" s="6"/>
      <c r="G158" s="6"/>
      <c r="L158" s="6"/>
      <c r="P158" s="6"/>
      <c r="Q158" s="6"/>
    </row>
    <row r="159" ht="15.75" customHeight="1">
      <c r="B159" s="6"/>
      <c r="F159" s="6"/>
      <c r="G159" s="6"/>
      <c r="L159" s="6"/>
      <c r="P159" s="6"/>
      <c r="Q159" s="6"/>
    </row>
    <row r="160" ht="15.75" customHeight="1">
      <c r="B160" s="6"/>
      <c r="F160" s="6"/>
      <c r="G160" s="6"/>
      <c r="L160" s="6"/>
      <c r="P160" s="6"/>
      <c r="Q160" s="6"/>
    </row>
    <row r="161" ht="15.75" customHeight="1">
      <c r="B161" s="6"/>
      <c r="F161" s="6"/>
      <c r="G161" s="6"/>
      <c r="L161" s="6"/>
      <c r="P161" s="6"/>
      <c r="Q161" s="6"/>
    </row>
    <row r="162" ht="15.75" customHeight="1">
      <c r="B162" s="6"/>
      <c r="F162" s="6"/>
      <c r="G162" s="6"/>
      <c r="L162" s="6"/>
      <c r="P162" s="6"/>
      <c r="Q162" s="6"/>
    </row>
    <row r="163" ht="15.75" customHeight="1">
      <c r="B163" s="6"/>
      <c r="F163" s="6"/>
      <c r="G163" s="6"/>
      <c r="L163" s="6"/>
      <c r="P163" s="6"/>
      <c r="Q163" s="6"/>
    </row>
    <row r="164" ht="15.75" customHeight="1">
      <c r="B164" s="6"/>
      <c r="F164" s="6"/>
      <c r="G164" s="6"/>
      <c r="L164" s="6"/>
      <c r="P164" s="6"/>
      <c r="Q164" s="6"/>
    </row>
    <row r="165" ht="15.75" customHeight="1">
      <c r="B165" s="6"/>
      <c r="F165" s="6"/>
      <c r="G165" s="6"/>
      <c r="L165" s="6"/>
      <c r="P165" s="6"/>
      <c r="Q165" s="6"/>
    </row>
    <row r="166" ht="15.75" customHeight="1">
      <c r="B166" s="6"/>
      <c r="F166" s="6"/>
      <c r="G166" s="6"/>
      <c r="L166" s="6"/>
      <c r="P166" s="6"/>
      <c r="Q166" s="6"/>
    </row>
    <row r="167" ht="15.75" customHeight="1">
      <c r="B167" s="6"/>
      <c r="F167" s="6"/>
      <c r="G167" s="6"/>
      <c r="L167" s="6"/>
      <c r="P167" s="6"/>
      <c r="Q167" s="6"/>
    </row>
    <row r="168" ht="15.75" customHeight="1">
      <c r="B168" s="6"/>
      <c r="F168" s="6"/>
      <c r="G168" s="6"/>
      <c r="L168" s="6"/>
      <c r="P168" s="6"/>
      <c r="Q168" s="6"/>
    </row>
    <row r="169" ht="15.75" customHeight="1">
      <c r="B169" s="6"/>
      <c r="F169" s="6"/>
      <c r="G169" s="6"/>
      <c r="L169" s="6"/>
      <c r="P169" s="6"/>
      <c r="Q169" s="6"/>
    </row>
    <row r="170" ht="15.75" customHeight="1">
      <c r="B170" s="6"/>
      <c r="F170" s="6"/>
      <c r="G170" s="6"/>
      <c r="L170" s="6"/>
      <c r="P170" s="6"/>
      <c r="Q170" s="6"/>
    </row>
    <row r="171" ht="15.75" customHeight="1">
      <c r="B171" s="6"/>
      <c r="F171" s="6"/>
      <c r="G171" s="6"/>
      <c r="L171" s="6"/>
      <c r="P171" s="6"/>
      <c r="Q171" s="6"/>
    </row>
    <row r="172" ht="15.75" customHeight="1">
      <c r="B172" s="6"/>
      <c r="F172" s="6"/>
      <c r="G172" s="6"/>
      <c r="L172" s="6"/>
      <c r="P172" s="6"/>
      <c r="Q172" s="6"/>
    </row>
    <row r="173" ht="15.75" customHeight="1">
      <c r="B173" s="6"/>
      <c r="F173" s="6"/>
      <c r="G173" s="6"/>
      <c r="L173" s="6"/>
      <c r="P173" s="6"/>
      <c r="Q173" s="6"/>
    </row>
    <row r="174" ht="15.75" customHeight="1">
      <c r="B174" s="6"/>
      <c r="F174" s="6"/>
      <c r="G174" s="6"/>
      <c r="L174" s="6"/>
      <c r="P174" s="6"/>
      <c r="Q174" s="6"/>
    </row>
    <row r="175" ht="15.75" customHeight="1">
      <c r="B175" s="6"/>
      <c r="F175" s="6"/>
      <c r="G175" s="6"/>
      <c r="L175" s="6"/>
      <c r="P175" s="6"/>
      <c r="Q175" s="6"/>
    </row>
    <row r="176" ht="15.75" customHeight="1">
      <c r="B176" s="6"/>
      <c r="F176" s="6"/>
      <c r="G176" s="6"/>
      <c r="L176" s="6"/>
      <c r="P176" s="6"/>
      <c r="Q176" s="6"/>
    </row>
    <row r="177" ht="15.75" customHeight="1">
      <c r="B177" s="6"/>
      <c r="F177" s="6"/>
      <c r="G177" s="6"/>
      <c r="L177" s="6"/>
      <c r="P177" s="6"/>
      <c r="Q177" s="6"/>
    </row>
    <row r="178" ht="15.75" customHeight="1">
      <c r="B178" s="6"/>
      <c r="F178" s="6"/>
      <c r="G178" s="6"/>
      <c r="L178" s="6"/>
      <c r="P178" s="6"/>
      <c r="Q178" s="6"/>
    </row>
    <row r="179" ht="15.75" customHeight="1">
      <c r="B179" s="6"/>
      <c r="F179" s="6"/>
      <c r="G179" s="6"/>
      <c r="L179" s="6"/>
      <c r="P179" s="6"/>
      <c r="Q179" s="6"/>
    </row>
    <row r="180" ht="15.75" customHeight="1">
      <c r="B180" s="6"/>
      <c r="F180" s="6"/>
      <c r="G180" s="6"/>
      <c r="L180" s="6"/>
      <c r="P180" s="6"/>
      <c r="Q180" s="6"/>
    </row>
    <row r="181" ht="15.75" customHeight="1">
      <c r="B181" s="6"/>
      <c r="F181" s="6"/>
      <c r="G181" s="6"/>
      <c r="L181" s="6"/>
      <c r="P181" s="6"/>
      <c r="Q181" s="6"/>
    </row>
    <row r="182" ht="15.75" customHeight="1">
      <c r="B182" s="6"/>
      <c r="F182" s="6"/>
      <c r="G182" s="6"/>
      <c r="L182" s="6"/>
      <c r="P182" s="6"/>
      <c r="Q182" s="6"/>
    </row>
    <row r="183" ht="15.75" customHeight="1">
      <c r="B183" s="6"/>
      <c r="F183" s="6"/>
      <c r="G183" s="6"/>
      <c r="L183" s="6"/>
      <c r="P183" s="6"/>
      <c r="Q183" s="6"/>
    </row>
    <row r="184" ht="15.75" customHeight="1">
      <c r="B184" s="6"/>
      <c r="F184" s="6"/>
      <c r="G184" s="6"/>
      <c r="L184" s="6"/>
      <c r="P184" s="6"/>
      <c r="Q184" s="6"/>
    </row>
    <row r="185" ht="15.75" customHeight="1">
      <c r="B185" s="6"/>
      <c r="F185" s="6"/>
      <c r="G185" s="6"/>
      <c r="L185" s="6"/>
      <c r="P185" s="6"/>
      <c r="Q185" s="6"/>
    </row>
    <row r="186" ht="15.75" customHeight="1">
      <c r="B186" s="6"/>
      <c r="F186" s="6"/>
      <c r="G186" s="6"/>
      <c r="L186" s="6"/>
      <c r="P186" s="6"/>
      <c r="Q186" s="6"/>
    </row>
    <row r="187" ht="15.75" customHeight="1">
      <c r="B187" s="6"/>
      <c r="F187" s="6"/>
      <c r="G187" s="6"/>
      <c r="L187" s="6"/>
      <c r="P187" s="6"/>
      <c r="Q187" s="6"/>
    </row>
    <row r="188" ht="15.75" customHeight="1">
      <c r="B188" s="6"/>
      <c r="F188" s="6"/>
      <c r="G188" s="6"/>
      <c r="L188" s="6"/>
      <c r="P188" s="6"/>
      <c r="Q188" s="6"/>
    </row>
    <row r="189" ht="15.75" customHeight="1">
      <c r="B189" s="6"/>
      <c r="F189" s="6"/>
      <c r="G189" s="6"/>
      <c r="L189" s="6"/>
      <c r="P189" s="6"/>
      <c r="Q189" s="6"/>
    </row>
    <row r="190" ht="15.75" customHeight="1">
      <c r="B190" s="6"/>
      <c r="F190" s="6"/>
      <c r="G190" s="6"/>
      <c r="L190" s="6"/>
      <c r="P190" s="6"/>
      <c r="Q190" s="6"/>
    </row>
    <row r="191" ht="15.75" customHeight="1">
      <c r="B191" s="6"/>
      <c r="F191" s="6"/>
      <c r="G191" s="6"/>
      <c r="L191" s="6"/>
      <c r="P191" s="6"/>
      <c r="Q191" s="6"/>
    </row>
    <row r="192" ht="15.75" customHeight="1">
      <c r="B192" s="6"/>
      <c r="F192" s="6"/>
      <c r="G192" s="6"/>
      <c r="L192" s="6"/>
      <c r="P192" s="6"/>
      <c r="Q192" s="6"/>
    </row>
    <row r="193" ht="15.75" customHeight="1">
      <c r="B193" s="6"/>
      <c r="F193" s="6"/>
      <c r="G193" s="6"/>
      <c r="L193" s="6"/>
      <c r="P193" s="6"/>
      <c r="Q193" s="6"/>
    </row>
    <row r="194" ht="15.75" customHeight="1">
      <c r="B194" s="6"/>
      <c r="F194" s="6"/>
      <c r="G194" s="6"/>
      <c r="L194" s="6"/>
      <c r="P194" s="6"/>
      <c r="Q194" s="6"/>
    </row>
    <row r="195" ht="15.75" customHeight="1">
      <c r="B195" s="6"/>
      <c r="F195" s="6"/>
      <c r="G195" s="6"/>
      <c r="L195" s="6"/>
      <c r="P195" s="6"/>
      <c r="Q195" s="6"/>
    </row>
    <row r="196" ht="15.75" customHeight="1">
      <c r="B196" s="6"/>
      <c r="F196" s="6"/>
      <c r="G196" s="6"/>
      <c r="L196" s="6"/>
      <c r="P196" s="6"/>
      <c r="Q196" s="6"/>
    </row>
    <row r="197" ht="15.75" customHeight="1">
      <c r="B197" s="6"/>
      <c r="F197" s="6"/>
      <c r="G197" s="6"/>
      <c r="L197" s="6"/>
      <c r="P197" s="6"/>
      <c r="Q197" s="6"/>
    </row>
    <row r="198" ht="15.75" customHeight="1">
      <c r="B198" s="6"/>
      <c r="F198" s="6"/>
      <c r="G198" s="6"/>
      <c r="L198" s="6"/>
      <c r="P198" s="6"/>
      <c r="Q198" s="6"/>
    </row>
    <row r="199" ht="15.75" customHeight="1">
      <c r="B199" s="6"/>
      <c r="F199" s="6"/>
      <c r="G199" s="6"/>
      <c r="L199" s="6"/>
      <c r="P199" s="6"/>
      <c r="Q199" s="6"/>
    </row>
    <row r="200" ht="15.75" customHeight="1">
      <c r="B200" s="6"/>
      <c r="F200" s="6"/>
      <c r="G200" s="6"/>
      <c r="L200" s="6"/>
      <c r="P200" s="6"/>
      <c r="Q200" s="6"/>
    </row>
    <row r="201" ht="15.75" customHeight="1">
      <c r="B201" s="6"/>
      <c r="F201" s="6"/>
      <c r="G201" s="6"/>
      <c r="L201" s="6"/>
      <c r="P201" s="6"/>
      <c r="Q201" s="6"/>
    </row>
    <row r="202" ht="15.75" customHeight="1">
      <c r="B202" s="6"/>
      <c r="F202" s="6"/>
      <c r="G202" s="6"/>
      <c r="L202" s="6"/>
      <c r="P202" s="6"/>
      <c r="Q202" s="6"/>
    </row>
    <row r="203" ht="15.75" customHeight="1">
      <c r="B203" s="6"/>
      <c r="F203" s="6"/>
      <c r="G203" s="6"/>
      <c r="L203" s="6"/>
      <c r="P203" s="6"/>
      <c r="Q203" s="6"/>
    </row>
    <row r="204" ht="15.75" customHeight="1">
      <c r="B204" s="6"/>
      <c r="F204" s="6"/>
      <c r="G204" s="6"/>
      <c r="L204" s="6"/>
      <c r="P204" s="6"/>
      <c r="Q204" s="6"/>
    </row>
    <row r="205" ht="15.75" customHeight="1">
      <c r="B205" s="6"/>
      <c r="F205" s="6"/>
      <c r="G205" s="6"/>
      <c r="L205" s="6"/>
      <c r="P205" s="6"/>
      <c r="Q205" s="6"/>
    </row>
    <row r="206" ht="15.75" customHeight="1">
      <c r="B206" s="6"/>
      <c r="F206" s="6"/>
      <c r="G206" s="6"/>
      <c r="L206" s="6"/>
      <c r="P206" s="6"/>
      <c r="Q206" s="6"/>
    </row>
    <row r="207" ht="15.75" customHeight="1">
      <c r="B207" s="6"/>
      <c r="F207" s="6"/>
      <c r="G207" s="6"/>
      <c r="L207" s="6"/>
      <c r="P207" s="6"/>
      <c r="Q207" s="6"/>
    </row>
    <row r="208" ht="15.75" customHeight="1">
      <c r="B208" s="6"/>
      <c r="F208" s="6"/>
      <c r="G208" s="6"/>
      <c r="L208" s="6"/>
      <c r="P208" s="6"/>
      <c r="Q208" s="6"/>
    </row>
    <row r="209" ht="15.75" customHeight="1">
      <c r="B209" s="6"/>
      <c r="F209" s="6"/>
      <c r="G209" s="6"/>
      <c r="L209" s="6"/>
      <c r="P209" s="6"/>
      <c r="Q209" s="6"/>
    </row>
    <row r="210" ht="15.75" customHeight="1">
      <c r="B210" s="6"/>
      <c r="F210" s="6"/>
      <c r="G210" s="6"/>
      <c r="L210" s="6"/>
      <c r="P210" s="6"/>
      <c r="Q210" s="6"/>
    </row>
    <row r="211" ht="15.75" customHeight="1">
      <c r="B211" s="6"/>
      <c r="F211" s="6"/>
      <c r="G211" s="6"/>
      <c r="L211" s="6"/>
      <c r="P211" s="6"/>
      <c r="Q211" s="6"/>
    </row>
    <row r="212" ht="15.75" customHeight="1">
      <c r="B212" s="6"/>
      <c r="F212" s="6"/>
      <c r="G212" s="6"/>
      <c r="L212" s="6"/>
      <c r="P212" s="6"/>
      <c r="Q212" s="6"/>
    </row>
    <row r="213" ht="15.75" customHeight="1">
      <c r="B213" s="6"/>
      <c r="F213" s="6"/>
      <c r="G213" s="6"/>
      <c r="L213" s="6"/>
      <c r="P213" s="6"/>
      <c r="Q213" s="6"/>
    </row>
    <row r="214" ht="15.75" customHeight="1">
      <c r="B214" s="6"/>
      <c r="F214" s="6"/>
      <c r="G214" s="6"/>
      <c r="L214" s="6"/>
      <c r="P214" s="6"/>
      <c r="Q214" s="6"/>
    </row>
    <row r="215" ht="15.75" customHeight="1">
      <c r="B215" s="6"/>
      <c r="F215" s="6"/>
      <c r="G215" s="6"/>
      <c r="L215" s="6"/>
      <c r="P215" s="6"/>
      <c r="Q215" s="6"/>
    </row>
    <row r="216" ht="15.75" customHeight="1">
      <c r="B216" s="6"/>
      <c r="F216" s="6"/>
      <c r="G216" s="6"/>
      <c r="L216" s="6"/>
      <c r="P216" s="6"/>
      <c r="Q216" s="6"/>
    </row>
    <row r="217" ht="15.75" customHeight="1">
      <c r="B217" s="6"/>
      <c r="F217" s="6"/>
      <c r="G217" s="6"/>
      <c r="L217" s="6"/>
      <c r="P217" s="6"/>
      <c r="Q217" s="6"/>
    </row>
    <row r="218" ht="15.75" customHeight="1">
      <c r="B218" s="6"/>
      <c r="F218" s="6"/>
      <c r="G218" s="6"/>
      <c r="L218" s="6"/>
      <c r="P218" s="6"/>
      <c r="Q218" s="6"/>
    </row>
    <row r="219" ht="15.75" customHeight="1">
      <c r="B219" s="6"/>
      <c r="F219" s="6"/>
      <c r="G219" s="6"/>
      <c r="L219" s="6"/>
      <c r="P219" s="6"/>
      <c r="Q219" s="6"/>
    </row>
    <row r="220" ht="15.75" customHeight="1">
      <c r="B220" s="6"/>
      <c r="F220" s="6"/>
      <c r="G220" s="6"/>
      <c r="L220" s="6"/>
      <c r="P220" s="6"/>
      <c r="Q220" s="6"/>
    </row>
    <row r="221" ht="15.75" customHeight="1">
      <c r="B221" s="6"/>
      <c r="F221" s="6"/>
      <c r="G221" s="6"/>
      <c r="L221" s="6"/>
      <c r="P221" s="6"/>
      <c r="Q221" s="6"/>
    </row>
    <row r="222" ht="15.75" customHeight="1">
      <c r="B222" s="6"/>
      <c r="F222" s="6"/>
      <c r="G222" s="6"/>
      <c r="L222" s="6"/>
      <c r="P222" s="6"/>
      <c r="Q222" s="6"/>
    </row>
    <row r="223" ht="15.75" customHeight="1">
      <c r="B223" s="6"/>
      <c r="F223" s="6"/>
      <c r="G223" s="6"/>
      <c r="L223" s="6"/>
      <c r="P223" s="6"/>
      <c r="Q223" s="6"/>
    </row>
    <row r="224" ht="15.75" customHeight="1">
      <c r="B224" s="6"/>
      <c r="F224" s="6"/>
      <c r="G224" s="6"/>
      <c r="L224" s="6"/>
      <c r="P224" s="6"/>
      <c r="Q224" s="6"/>
    </row>
    <row r="225" ht="15.75" customHeight="1">
      <c r="B225" s="6"/>
      <c r="F225" s="6"/>
      <c r="G225" s="6"/>
      <c r="L225" s="6"/>
      <c r="P225" s="6"/>
      <c r="Q225" s="6"/>
    </row>
    <row r="226" ht="15.75" customHeight="1">
      <c r="B226" s="6"/>
      <c r="F226" s="6"/>
      <c r="G226" s="6"/>
      <c r="L226" s="6"/>
      <c r="P226" s="6"/>
      <c r="Q226" s="6"/>
    </row>
    <row r="227" ht="15.75" customHeight="1">
      <c r="B227" s="6"/>
      <c r="F227" s="6"/>
      <c r="G227" s="6"/>
      <c r="L227" s="6"/>
      <c r="P227" s="6"/>
      <c r="Q227" s="6"/>
    </row>
    <row r="228" ht="15.75" customHeight="1">
      <c r="B228" s="6"/>
      <c r="F228" s="6"/>
      <c r="G228" s="6"/>
      <c r="L228" s="6"/>
      <c r="P228" s="6"/>
      <c r="Q228" s="6"/>
    </row>
    <row r="229" ht="15.75" customHeight="1">
      <c r="B229" s="6"/>
      <c r="F229" s="6"/>
      <c r="G229" s="6"/>
      <c r="L229" s="6"/>
      <c r="P229" s="6"/>
      <c r="Q229" s="6"/>
    </row>
    <row r="230" ht="15.75" customHeight="1">
      <c r="B230" s="6"/>
      <c r="F230" s="6"/>
      <c r="G230" s="6"/>
      <c r="L230" s="6"/>
      <c r="P230" s="6"/>
      <c r="Q230" s="6"/>
    </row>
    <row r="231" ht="15.75" customHeight="1">
      <c r="B231" s="6"/>
      <c r="F231" s="6"/>
      <c r="G231" s="6"/>
      <c r="L231" s="6"/>
      <c r="P231" s="6"/>
      <c r="Q231" s="6"/>
    </row>
    <row r="232" ht="15.75" customHeight="1">
      <c r="B232" s="6"/>
      <c r="F232" s="6"/>
      <c r="G232" s="6"/>
      <c r="L232" s="6"/>
      <c r="P232" s="6"/>
      <c r="Q232" s="6"/>
    </row>
    <row r="233" ht="15.75" customHeight="1">
      <c r="B233" s="6"/>
      <c r="F233" s="6"/>
      <c r="G233" s="6"/>
      <c r="L233" s="6"/>
      <c r="P233" s="6"/>
      <c r="Q233" s="6"/>
    </row>
    <row r="234" ht="15.75" customHeight="1">
      <c r="B234" s="6"/>
      <c r="F234" s="6"/>
      <c r="G234" s="6"/>
      <c r="L234" s="6"/>
      <c r="P234" s="6"/>
      <c r="Q234" s="6"/>
    </row>
    <row r="235" ht="15.75" customHeight="1">
      <c r="B235" s="6"/>
      <c r="F235" s="6"/>
      <c r="G235" s="6"/>
      <c r="L235" s="6"/>
      <c r="P235" s="6"/>
      <c r="Q235" s="6"/>
    </row>
    <row r="236" ht="15.75" customHeight="1">
      <c r="B236" s="6"/>
      <c r="F236" s="6"/>
      <c r="G236" s="6"/>
      <c r="L236" s="6"/>
      <c r="P236" s="6"/>
      <c r="Q236" s="6"/>
    </row>
    <row r="237" ht="15.75" customHeight="1">
      <c r="B237" s="6"/>
      <c r="F237" s="6"/>
      <c r="G237" s="6"/>
      <c r="L237" s="6"/>
      <c r="P237" s="6"/>
      <c r="Q237" s="6"/>
    </row>
    <row r="238" ht="15.75" customHeight="1">
      <c r="B238" s="6"/>
      <c r="F238" s="6"/>
      <c r="G238" s="6"/>
      <c r="L238" s="6"/>
      <c r="P238" s="6"/>
      <c r="Q238" s="6"/>
    </row>
    <row r="239" ht="15.75" customHeight="1">
      <c r="B239" s="6"/>
      <c r="F239" s="6"/>
      <c r="G239" s="6"/>
      <c r="L239" s="6"/>
      <c r="P239" s="6"/>
      <c r="Q239" s="6"/>
    </row>
    <row r="240" ht="15.75" customHeight="1">
      <c r="B240" s="6"/>
      <c r="F240" s="6"/>
      <c r="G240" s="6"/>
      <c r="L240" s="6"/>
      <c r="P240" s="6"/>
      <c r="Q240" s="6"/>
    </row>
    <row r="241" ht="15.75" customHeight="1">
      <c r="B241" s="6"/>
      <c r="F241" s="6"/>
      <c r="G241" s="6"/>
      <c r="L241" s="6"/>
      <c r="P241" s="6"/>
      <c r="Q241" s="6"/>
    </row>
    <row r="242" ht="15.75" customHeight="1">
      <c r="B242" s="6"/>
      <c r="F242" s="6"/>
      <c r="G242" s="6"/>
      <c r="L242" s="6"/>
      <c r="P242" s="6"/>
      <c r="Q242" s="6"/>
    </row>
    <row r="243" ht="15.75" customHeight="1">
      <c r="B243" s="6"/>
      <c r="F243" s="6"/>
      <c r="G243" s="6"/>
      <c r="L243" s="6"/>
      <c r="P243" s="6"/>
      <c r="Q243" s="6"/>
    </row>
    <row r="244" ht="15.75" customHeight="1">
      <c r="B244" s="6"/>
      <c r="F244" s="6"/>
      <c r="G244" s="6"/>
      <c r="L244" s="6"/>
      <c r="P244" s="6"/>
      <c r="Q244" s="6"/>
    </row>
    <row r="245" ht="15.75" customHeight="1">
      <c r="B245" s="6"/>
      <c r="F245" s="6"/>
      <c r="G245" s="6"/>
      <c r="L245" s="6"/>
      <c r="P245" s="6"/>
      <c r="Q245" s="6"/>
    </row>
    <row r="246" ht="15.75" customHeight="1">
      <c r="B246" s="6"/>
      <c r="F246" s="6"/>
      <c r="G246" s="6"/>
      <c r="L246" s="6"/>
      <c r="P246" s="6"/>
      <c r="Q246" s="6"/>
    </row>
    <row r="247" ht="15.75" customHeight="1">
      <c r="B247" s="6"/>
      <c r="F247" s="6"/>
      <c r="G247" s="6"/>
      <c r="L247" s="6"/>
      <c r="P247" s="6"/>
      <c r="Q247" s="6"/>
    </row>
    <row r="248" ht="15.75" customHeight="1">
      <c r="B248" s="6"/>
      <c r="F248" s="6"/>
      <c r="G248" s="6"/>
      <c r="L248" s="6"/>
      <c r="P248" s="6"/>
      <c r="Q248" s="6"/>
    </row>
    <row r="249" ht="15.75" customHeight="1">
      <c r="B249" s="6"/>
      <c r="F249" s="6"/>
      <c r="G249" s="6"/>
      <c r="L249" s="6"/>
      <c r="P249" s="6"/>
      <c r="Q249" s="6"/>
    </row>
    <row r="250" ht="15.75" customHeight="1">
      <c r="B250" s="6"/>
      <c r="F250" s="6"/>
      <c r="G250" s="6"/>
      <c r="L250" s="6"/>
      <c r="P250" s="6"/>
      <c r="Q250" s="6"/>
    </row>
    <row r="251" ht="15.75" customHeight="1">
      <c r="B251" s="6"/>
      <c r="F251" s="6"/>
      <c r="G251" s="6"/>
      <c r="L251" s="6"/>
      <c r="P251" s="6"/>
      <c r="Q251" s="6"/>
    </row>
    <row r="252" ht="15.75" customHeight="1">
      <c r="B252" s="6"/>
      <c r="F252" s="6"/>
      <c r="G252" s="6"/>
      <c r="L252" s="6"/>
      <c r="P252" s="6"/>
      <c r="Q252" s="6"/>
    </row>
    <row r="253" ht="15.75" customHeight="1">
      <c r="B253" s="6"/>
      <c r="F253" s="6"/>
      <c r="G253" s="6"/>
      <c r="L253" s="6"/>
      <c r="P253" s="6"/>
      <c r="Q253" s="6"/>
    </row>
    <row r="254" ht="15.75" customHeight="1">
      <c r="B254" s="6"/>
      <c r="F254" s="6"/>
      <c r="G254" s="6"/>
      <c r="L254" s="6"/>
      <c r="P254" s="6"/>
      <c r="Q254" s="6"/>
    </row>
    <row r="255" ht="15.75" customHeight="1">
      <c r="B255" s="6"/>
      <c r="F255" s="6"/>
      <c r="G255" s="6"/>
      <c r="L255" s="6"/>
      <c r="P255" s="6"/>
      <c r="Q255" s="6"/>
    </row>
    <row r="256" ht="15.75" customHeight="1">
      <c r="B256" s="6"/>
      <c r="F256" s="6"/>
      <c r="G256" s="6"/>
      <c r="L256" s="6"/>
      <c r="P256" s="6"/>
      <c r="Q256" s="6"/>
    </row>
    <row r="257" ht="15.75" customHeight="1">
      <c r="B257" s="6"/>
      <c r="F257" s="6"/>
      <c r="G257" s="6"/>
      <c r="L257" s="6"/>
      <c r="P257" s="6"/>
      <c r="Q257" s="6"/>
    </row>
    <row r="258" ht="15.75" customHeight="1">
      <c r="B258" s="6"/>
      <c r="F258" s="6"/>
      <c r="G258" s="6"/>
      <c r="L258" s="6"/>
      <c r="P258" s="6"/>
      <c r="Q258" s="6"/>
    </row>
    <row r="259" ht="15.75" customHeight="1">
      <c r="B259" s="6"/>
      <c r="F259" s="6"/>
      <c r="G259" s="6"/>
      <c r="L259" s="6"/>
      <c r="P259" s="6"/>
      <c r="Q259" s="6"/>
    </row>
    <row r="260" ht="15.75" customHeight="1">
      <c r="B260" s="6"/>
      <c r="F260" s="6"/>
      <c r="G260" s="6"/>
      <c r="L260" s="6"/>
      <c r="P260" s="6"/>
      <c r="Q260" s="6"/>
    </row>
    <row r="261" ht="15.75" customHeight="1">
      <c r="B261" s="6"/>
      <c r="F261" s="6"/>
      <c r="G261" s="6"/>
      <c r="L261" s="6"/>
      <c r="P261" s="6"/>
      <c r="Q261" s="6"/>
    </row>
    <row r="262" ht="15.75" customHeight="1">
      <c r="B262" s="6"/>
      <c r="F262" s="6"/>
      <c r="G262" s="6"/>
      <c r="L262" s="6"/>
      <c r="P262" s="6"/>
      <c r="Q262" s="6"/>
    </row>
    <row r="263" ht="15.75" customHeight="1">
      <c r="B263" s="6"/>
      <c r="F263" s="6"/>
      <c r="G263" s="6"/>
      <c r="L263" s="6"/>
      <c r="P263" s="6"/>
      <c r="Q263" s="6"/>
    </row>
    <row r="264" ht="15.75" customHeight="1">
      <c r="B264" s="6"/>
      <c r="F264" s="6"/>
      <c r="G264" s="6"/>
      <c r="L264" s="6"/>
      <c r="P264" s="6"/>
      <c r="Q264" s="6"/>
    </row>
    <row r="265" ht="15.75" customHeight="1">
      <c r="B265" s="6"/>
      <c r="F265" s="6"/>
      <c r="G265" s="6"/>
      <c r="L265" s="6"/>
      <c r="P265" s="6"/>
      <c r="Q265" s="6"/>
    </row>
    <row r="266" ht="15.75" customHeight="1">
      <c r="B266" s="6"/>
      <c r="F266" s="6"/>
      <c r="G266" s="6"/>
      <c r="L266" s="6"/>
      <c r="P266" s="6"/>
      <c r="Q266" s="6"/>
    </row>
    <row r="267" ht="15.75" customHeight="1">
      <c r="B267" s="6"/>
      <c r="F267" s="6"/>
      <c r="G267" s="6"/>
      <c r="L267" s="6"/>
      <c r="P267" s="6"/>
      <c r="Q267" s="6"/>
    </row>
    <row r="268" ht="15.75" customHeight="1">
      <c r="B268" s="6"/>
      <c r="F268" s="6"/>
      <c r="G268" s="6"/>
      <c r="L268" s="6"/>
      <c r="P268" s="6"/>
      <c r="Q268" s="6"/>
    </row>
    <row r="269" ht="15.75" customHeight="1">
      <c r="B269" s="6"/>
      <c r="F269" s="6"/>
      <c r="G269" s="6"/>
      <c r="L269" s="6"/>
      <c r="P269" s="6"/>
      <c r="Q269" s="6"/>
    </row>
    <row r="270" ht="15.75" customHeight="1">
      <c r="B270" s="6"/>
      <c r="F270" s="6"/>
      <c r="G270" s="6"/>
      <c r="L270" s="6"/>
      <c r="P270" s="6"/>
      <c r="Q270" s="6"/>
    </row>
    <row r="271" ht="15.75" customHeight="1">
      <c r="B271" s="6"/>
      <c r="F271" s="6"/>
      <c r="G271" s="6"/>
      <c r="L271" s="6"/>
      <c r="P271" s="6"/>
      <c r="Q271" s="6"/>
    </row>
    <row r="272" ht="15.75" customHeight="1">
      <c r="B272" s="6"/>
      <c r="F272" s="6"/>
      <c r="G272" s="6"/>
      <c r="L272" s="6"/>
      <c r="P272" s="6"/>
      <c r="Q272" s="6"/>
    </row>
    <row r="273" ht="15.75" customHeight="1">
      <c r="B273" s="6"/>
      <c r="F273" s="6"/>
      <c r="G273" s="6"/>
      <c r="L273" s="6"/>
      <c r="P273" s="6"/>
      <c r="Q273" s="6"/>
    </row>
    <row r="274" ht="15.75" customHeight="1">
      <c r="B274" s="6"/>
      <c r="F274" s="6"/>
      <c r="G274" s="6"/>
      <c r="L274" s="6"/>
      <c r="P274" s="6"/>
      <c r="Q274" s="6"/>
    </row>
    <row r="275" ht="15.75" customHeight="1">
      <c r="B275" s="6"/>
      <c r="F275" s="6"/>
      <c r="G275" s="6"/>
      <c r="L275" s="6"/>
      <c r="P275" s="6"/>
      <c r="Q275" s="6"/>
    </row>
    <row r="276" ht="15.75" customHeight="1">
      <c r="B276" s="6"/>
      <c r="F276" s="6"/>
      <c r="G276" s="6"/>
      <c r="L276" s="6"/>
      <c r="P276" s="6"/>
      <c r="Q276" s="6"/>
    </row>
    <row r="277" ht="15.75" customHeight="1">
      <c r="B277" s="6"/>
      <c r="F277" s="6"/>
      <c r="G277" s="6"/>
      <c r="L277" s="6"/>
      <c r="P277" s="6"/>
      <c r="Q277" s="6"/>
    </row>
    <row r="278" ht="15.75" customHeight="1">
      <c r="B278" s="6"/>
      <c r="F278" s="6"/>
      <c r="G278" s="6"/>
      <c r="L278" s="6"/>
      <c r="P278" s="6"/>
      <c r="Q278" s="6"/>
    </row>
    <row r="279" ht="15.75" customHeight="1">
      <c r="B279" s="6"/>
      <c r="F279" s="6"/>
      <c r="G279" s="6"/>
      <c r="L279" s="6"/>
      <c r="P279" s="6"/>
      <c r="Q279" s="6"/>
    </row>
    <row r="280" ht="15.75" customHeight="1">
      <c r="B280" s="6"/>
      <c r="F280" s="6"/>
      <c r="G280" s="6"/>
      <c r="L280" s="6"/>
      <c r="P280" s="6"/>
      <c r="Q280" s="6"/>
    </row>
    <row r="281" ht="15.75" customHeight="1">
      <c r="B281" s="6"/>
      <c r="F281" s="6"/>
      <c r="G281" s="6"/>
      <c r="L281" s="6"/>
      <c r="P281" s="6"/>
      <c r="Q281" s="6"/>
    </row>
    <row r="282" ht="15.75" customHeight="1">
      <c r="B282" s="6"/>
      <c r="F282" s="6"/>
      <c r="G282" s="6"/>
      <c r="L282" s="6"/>
      <c r="P282" s="6"/>
      <c r="Q282" s="6"/>
    </row>
    <row r="283" ht="15.75" customHeight="1">
      <c r="B283" s="6"/>
      <c r="F283" s="6"/>
      <c r="G283" s="6"/>
      <c r="L283" s="6"/>
      <c r="P283" s="6"/>
      <c r="Q283" s="6"/>
    </row>
    <row r="284" ht="15.75" customHeight="1">
      <c r="B284" s="6"/>
      <c r="F284" s="6"/>
      <c r="G284" s="6"/>
      <c r="L284" s="6"/>
      <c r="P284" s="6"/>
      <c r="Q284" s="6"/>
    </row>
    <row r="285" ht="15.75" customHeight="1">
      <c r="B285" s="6"/>
      <c r="F285" s="6"/>
      <c r="G285" s="6"/>
      <c r="L285" s="6"/>
      <c r="P285" s="6"/>
      <c r="Q285" s="6"/>
    </row>
    <row r="286" ht="15.75" customHeight="1">
      <c r="B286" s="6"/>
      <c r="F286" s="6"/>
      <c r="G286" s="6"/>
      <c r="L286" s="6"/>
      <c r="P286" s="6"/>
      <c r="Q286" s="6"/>
    </row>
    <row r="287" ht="15.75" customHeight="1">
      <c r="B287" s="6"/>
      <c r="F287" s="6"/>
      <c r="G287" s="6"/>
      <c r="L287" s="6"/>
      <c r="P287" s="6"/>
      <c r="Q287" s="6"/>
    </row>
    <row r="288" ht="15.75" customHeight="1">
      <c r="B288" s="6"/>
      <c r="F288" s="6"/>
      <c r="G288" s="6"/>
      <c r="L288" s="6"/>
      <c r="P288" s="6"/>
      <c r="Q288" s="6"/>
    </row>
    <row r="289" ht="15.75" customHeight="1">
      <c r="B289" s="6"/>
      <c r="F289" s="6"/>
      <c r="G289" s="6"/>
      <c r="L289" s="6"/>
      <c r="P289" s="6"/>
      <c r="Q289" s="6"/>
    </row>
    <row r="290" ht="15.75" customHeight="1">
      <c r="B290" s="6"/>
      <c r="F290" s="6"/>
      <c r="G290" s="6"/>
      <c r="L290" s="6"/>
      <c r="P290" s="6"/>
      <c r="Q290" s="6"/>
    </row>
    <row r="291" ht="15.75" customHeight="1">
      <c r="B291" s="6"/>
      <c r="F291" s="6"/>
      <c r="G291" s="6"/>
      <c r="L291" s="6"/>
      <c r="P291" s="6"/>
      <c r="Q291" s="6"/>
    </row>
    <row r="292" ht="15.75" customHeight="1">
      <c r="B292" s="6"/>
      <c r="F292" s="6"/>
      <c r="G292" s="6"/>
      <c r="L292" s="6"/>
      <c r="P292" s="6"/>
      <c r="Q292" s="6"/>
    </row>
    <row r="293" ht="15.75" customHeight="1">
      <c r="B293" s="6"/>
      <c r="F293" s="6"/>
      <c r="G293" s="6"/>
      <c r="L293" s="6"/>
      <c r="P293" s="6"/>
      <c r="Q293" s="6"/>
    </row>
    <row r="294" ht="15.75" customHeight="1">
      <c r="B294" s="6"/>
      <c r="F294" s="6"/>
      <c r="G294" s="6"/>
      <c r="L294" s="6"/>
      <c r="P294" s="6"/>
      <c r="Q294" s="6"/>
    </row>
    <row r="295" ht="15.75" customHeight="1">
      <c r="B295" s="6"/>
      <c r="F295" s="6"/>
      <c r="G295" s="6"/>
      <c r="L295" s="6"/>
      <c r="P295" s="6"/>
      <c r="Q295" s="6"/>
    </row>
    <row r="296" ht="15.75" customHeight="1">
      <c r="B296" s="6"/>
      <c r="F296" s="6"/>
      <c r="G296" s="6"/>
      <c r="L296" s="6"/>
      <c r="P296" s="6"/>
      <c r="Q296" s="6"/>
    </row>
    <row r="297" ht="15.75" customHeight="1">
      <c r="B297" s="6"/>
      <c r="F297" s="6"/>
      <c r="G297" s="6"/>
      <c r="L297" s="6"/>
      <c r="P297" s="6"/>
      <c r="Q297" s="6"/>
    </row>
    <row r="298" ht="15.75" customHeight="1">
      <c r="B298" s="6"/>
      <c r="F298" s="6"/>
      <c r="G298" s="6"/>
      <c r="L298" s="6"/>
      <c r="P298" s="6"/>
      <c r="Q298" s="6"/>
    </row>
    <row r="299" ht="15.75" customHeight="1">
      <c r="B299" s="6"/>
      <c r="F299" s="6"/>
      <c r="G299" s="6"/>
      <c r="L299" s="6"/>
      <c r="P299" s="6"/>
      <c r="Q299" s="6"/>
    </row>
    <row r="300" ht="15.75" customHeight="1">
      <c r="B300" s="6"/>
      <c r="F300" s="6"/>
      <c r="G300" s="6"/>
      <c r="L300" s="6"/>
      <c r="P300" s="6"/>
      <c r="Q300" s="6"/>
    </row>
    <row r="301" ht="15.75" customHeight="1">
      <c r="B301" s="6"/>
      <c r="F301" s="6"/>
      <c r="G301" s="6"/>
      <c r="L301" s="6"/>
      <c r="P301" s="6"/>
      <c r="Q301" s="6"/>
    </row>
    <row r="302" ht="15.75" customHeight="1">
      <c r="B302" s="6"/>
      <c r="F302" s="6"/>
      <c r="G302" s="6"/>
      <c r="L302" s="6"/>
      <c r="P302" s="6"/>
      <c r="Q302" s="6"/>
    </row>
    <row r="303" ht="15.75" customHeight="1">
      <c r="B303" s="6"/>
      <c r="F303" s="6"/>
      <c r="G303" s="6"/>
      <c r="L303" s="6"/>
      <c r="P303" s="6"/>
      <c r="Q303" s="6"/>
    </row>
    <row r="304" ht="15.75" customHeight="1">
      <c r="B304" s="6"/>
      <c r="F304" s="6"/>
      <c r="G304" s="6"/>
      <c r="L304" s="6"/>
      <c r="P304" s="6"/>
      <c r="Q304" s="6"/>
    </row>
    <row r="305" ht="15.75" customHeight="1">
      <c r="B305" s="6"/>
      <c r="F305" s="6"/>
      <c r="G305" s="6"/>
      <c r="L305" s="6"/>
      <c r="P305" s="6"/>
      <c r="Q305" s="6"/>
    </row>
    <row r="306" ht="15.75" customHeight="1">
      <c r="B306" s="6"/>
      <c r="F306" s="6"/>
      <c r="G306" s="6"/>
      <c r="L306" s="6"/>
      <c r="P306" s="6"/>
      <c r="Q306" s="6"/>
    </row>
    <row r="307" ht="15.75" customHeight="1">
      <c r="B307" s="6"/>
      <c r="F307" s="6"/>
      <c r="G307" s="6"/>
      <c r="L307" s="6"/>
      <c r="P307" s="6"/>
      <c r="Q307" s="6"/>
    </row>
    <row r="308" ht="15.75" customHeight="1">
      <c r="B308" s="6"/>
      <c r="F308" s="6"/>
      <c r="G308" s="6"/>
      <c r="L308" s="6"/>
      <c r="P308" s="6"/>
      <c r="Q308" s="6"/>
    </row>
    <row r="309" ht="15.75" customHeight="1">
      <c r="B309" s="6"/>
      <c r="F309" s="6"/>
      <c r="G309" s="6"/>
      <c r="L309" s="6"/>
      <c r="P309" s="6"/>
      <c r="Q309" s="6"/>
    </row>
    <row r="310" ht="15.75" customHeight="1">
      <c r="B310" s="6"/>
      <c r="F310" s="6"/>
      <c r="G310" s="6"/>
      <c r="L310" s="6"/>
      <c r="P310" s="6"/>
      <c r="Q310" s="6"/>
    </row>
    <row r="311" ht="15.75" customHeight="1">
      <c r="B311" s="6"/>
      <c r="F311" s="6"/>
      <c r="G311" s="6"/>
      <c r="L311" s="6"/>
      <c r="P311" s="6"/>
      <c r="Q311" s="6"/>
    </row>
    <row r="312" ht="15.75" customHeight="1">
      <c r="B312" s="6"/>
      <c r="F312" s="6"/>
      <c r="G312" s="6"/>
      <c r="L312" s="6"/>
      <c r="P312" s="6"/>
      <c r="Q312" s="6"/>
    </row>
    <row r="313" ht="15.75" customHeight="1">
      <c r="B313" s="6"/>
      <c r="F313" s="6"/>
      <c r="G313" s="6"/>
      <c r="L313" s="6"/>
      <c r="P313" s="6"/>
      <c r="Q313" s="6"/>
    </row>
    <row r="314" ht="15.75" customHeight="1">
      <c r="B314" s="6"/>
      <c r="F314" s="6"/>
      <c r="G314" s="6"/>
      <c r="L314" s="6"/>
      <c r="P314" s="6"/>
      <c r="Q314" s="6"/>
    </row>
    <row r="315" ht="15.75" customHeight="1">
      <c r="B315" s="6"/>
      <c r="F315" s="6"/>
      <c r="G315" s="6"/>
      <c r="L315" s="6"/>
      <c r="P315" s="6"/>
      <c r="Q315" s="6"/>
    </row>
    <row r="316" ht="15.75" customHeight="1">
      <c r="B316" s="6"/>
      <c r="F316" s="6"/>
      <c r="G316" s="6"/>
      <c r="L316" s="6"/>
      <c r="P316" s="6"/>
      <c r="Q316" s="6"/>
    </row>
    <row r="317" ht="15.75" customHeight="1">
      <c r="B317" s="6"/>
      <c r="F317" s="6"/>
      <c r="G317" s="6"/>
      <c r="L317" s="6"/>
      <c r="P317" s="6"/>
      <c r="Q317" s="6"/>
    </row>
    <row r="318" ht="15.75" customHeight="1">
      <c r="B318" s="6"/>
      <c r="F318" s="6"/>
      <c r="G318" s="6"/>
      <c r="L318" s="6"/>
      <c r="P318" s="6"/>
      <c r="Q318" s="6"/>
    </row>
    <row r="319" ht="15.75" customHeight="1">
      <c r="B319" s="6"/>
      <c r="F319" s="6"/>
      <c r="G319" s="6"/>
      <c r="L319" s="6"/>
      <c r="P319" s="6"/>
      <c r="Q319" s="6"/>
    </row>
    <row r="320" ht="15.75" customHeight="1">
      <c r="B320" s="6"/>
      <c r="F320" s="6"/>
      <c r="G320" s="6"/>
      <c r="L320" s="6"/>
      <c r="P320" s="6"/>
      <c r="Q320" s="6"/>
    </row>
    <row r="321" ht="15.75" customHeight="1">
      <c r="B321" s="6"/>
      <c r="F321" s="6"/>
      <c r="G321" s="6"/>
      <c r="L321" s="6"/>
      <c r="P321" s="6"/>
      <c r="Q321" s="6"/>
    </row>
    <row r="322" ht="15.75" customHeight="1">
      <c r="B322" s="6"/>
      <c r="F322" s="6"/>
      <c r="G322" s="6"/>
      <c r="L322" s="6"/>
      <c r="P322" s="6"/>
      <c r="Q322" s="6"/>
    </row>
    <row r="323" ht="15.75" customHeight="1">
      <c r="B323" s="6"/>
      <c r="F323" s="6"/>
      <c r="G323" s="6"/>
      <c r="L323" s="6"/>
      <c r="P323" s="6"/>
      <c r="Q323" s="6"/>
    </row>
    <row r="324" ht="15.75" customHeight="1">
      <c r="B324" s="6"/>
      <c r="F324" s="6"/>
      <c r="G324" s="6"/>
      <c r="L324" s="6"/>
      <c r="P324" s="6"/>
      <c r="Q324" s="6"/>
    </row>
    <row r="325" ht="15.75" customHeight="1">
      <c r="B325" s="6"/>
      <c r="F325" s="6"/>
      <c r="G325" s="6"/>
      <c r="L325" s="6"/>
      <c r="P325" s="6"/>
      <c r="Q325" s="6"/>
    </row>
    <row r="326" ht="15.75" customHeight="1">
      <c r="B326" s="6"/>
      <c r="F326" s="6"/>
      <c r="G326" s="6"/>
      <c r="L326" s="6"/>
      <c r="P326" s="6"/>
      <c r="Q326" s="6"/>
    </row>
    <row r="327" ht="15.75" customHeight="1">
      <c r="B327" s="6"/>
      <c r="F327" s="6"/>
      <c r="G327" s="6"/>
      <c r="L327" s="6"/>
      <c r="P327" s="6"/>
      <c r="Q327" s="6"/>
    </row>
    <row r="328" ht="15.75" customHeight="1">
      <c r="B328" s="6"/>
      <c r="F328" s="6"/>
      <c r="G328" s="6"/>
      <c r="L328" s="6"/>
      <c r="P328" s="6"/>
      <c r="Q328" s="6"/>
    </row>
    <row r="329" ht="15.75" customHeight="1">
      <c r="B329" s="6"/>
      <c r="F329" s="6"/>
      <c r="G329" s="6"/>
      <c r="L329" s="6"/>
      <c r="P329" s="6"/>
      <c r="Q329" s="6"/>
    </row>
    <row r="330" ht="15.75" customHeight="1">
      <c r="B330" s="6"/>
      <c r="F330" s="6"/>
      <c r="G330" s="6"/>
      <c r="L330" s="6"/>
      <c r="P330" s="6"/>
      <c r="Q330" s="6"/>
    </row>
    <row r="331" ht="15.75" customHeight="1">
      <c r="B331" s="6"/>
      <c r="F331" s="6"/>
      <c r="G331" s="6"/>
      <c r="L331" s="6"/>
      <c r="P331" s="6"/>
      <c r="Q331" s="6"/>
    </row>
    <row r="332" ht="15.75" customHeight="1">
      <c r="B332" s="6"/>
      <c r="F332" s="6"/>
      <c r="G332" s="6"/>
      <c r="L332" s="6"/>
      <c r="P332" s="6"/>
      <c r="Q332" s="6"/>
    </row>
    <row r="333" ht="15.75" customHeight="1">
      <c r="B333" s="6"/>
      <c r="F333" s="6"/>
      <c r="G333" s="6"/>
      <c r="L333" s="6"/>
      <c r="P333" s="6"/>
      <c r="Q333" s="6"/>
    </row>
    <row r="334" ht="15.75" customHeight="1">
      <c r="B334" s="6"/>
      <c r="F334" s="6"/>
      <c r="G334" s="6"/>
      <c r="L334" s="6"/>
      <c r="P334" s="6"/>
      <c r="Q334" s="6"/>
    </row>
    <row r="335" ht="15.75" customHeight="1">
      <c r="B335" s="6"/>
      <c r="F335" s="6"/>
      <c r="G335" s="6"/>
      <c r="L335" s="6"/>
      <c r="P335" s="6"/>
      <c r="Q335" s="6"/>
    </row>
    <row r="336" ht="15.75" customHeight="1">
      <c r="B336" s="6"/>
      <c r="F336" s="6"/>
      <c r="G336" s="6"/>
      <c r="L336" s="6"/>
      <c r="P336" s="6"/>
      <c r="Q336" s="6"/>
    </row>
    <row r="337" ht="15.75" customHeight="1">
      <c r="B337" s="6"/>
      <c r="F337" s="6"/>
      <c r="G337" s="6"/>
      <c r="L337" s="6"/>
      <c r="P337" s="6"/>
      <c r="Q337" s="6"/>
    </row>
    <row r="338" ht="15.75" customHeight="1">
      <c r="B338" s="6"/>
      <c r="F338" s="6"/>
      <c r="G338" s="6"/>
      <c r="L338" s="6"/>
      <c r="P338" s="6"/>
      <c r="Q338" s="6"/>
    </row>
    <row r="339" ht="15.75" customHeight="1">
      <c r="B339" s="6"/>
      <c r="F339" s="6"/>
      <c r="G339" s="6"/>
      <c r="L339" s="6"/>
      <c r="P339" s="6"/>
      <c r="Q339" s="6"/>
    </row>
    <row r="340" ht="15.75" customHeight="1">
      <c r="B340" s="6"/>
      <c r="F340" s="6"/>
      <c r="G340" s="6"/>
      <c r="L340" s="6"/>
      <c r="P340" s="6"/>
      <c r="Q340" s="6"/>
    </row>
    <row r="341" ht="15.75" customHeight="1">
      <c r="B341" s="6"/>
      <c r="F341" s="6"/>
      <c r="G341" s="6"/>
      <c r="L341" s="6"/>
      <c r="P341" s="6"/>
      <c r="Q341" s="6"/>
    </row>
    <row r="342" ht="15.75" customHeight="1">
      <c r="B342" s="6"/>
      <c r="F342" s="6"/>
      <c r="G342" s="6"/>
      <c r="L342" s="6"/>
      <c r="P342" s="6"/>
      <c r="Q342" s="6"/>
    </row>
    <row r="343" ht="15.75" customHeight="1">
      <c r="B343" s="6"/>
      <c r="F343" s="6"/>
      <c r="G343" s="6"/>
      <c r="L343" s="6"/>
      <c r="P343" s="6"/>
      <c r="Q343" s="6"/>
    </row>
    <row r="344" ht="15.75" customHeight="1">
      <c r="B344" s="6"/>
      <c r="F344" s="6"/>
      <c r="G344" s="6"/>
      <c r="L344" s="6"/>
      <c r="P344" s="6"/>
      <c r="Q344" s="6"/>
    </row>
    <row r="345" ht="15.75" customHeight="1">
      <c r="B345" s="6"/>
      <c r="F345" s="6"/>
      <c r="G345" s="6"/>
      <c r="L345" s="6"/>
      <c r="P345" s="6"/>
      <c r="Q345" s="6"/>
    </row>
    <row r="346" ht="15.75" customHeight="1">
      <c r="B346" s="6"/>
      <c r="F346" s="6"/>
      <c r="G346" s="6"/>
      <c r="L346" s="6"/>
      <c r="P346" s="6"/>
      <c r="Q346" s="6"/>
    </row>
    <row r="347" ht="15.75" customHeight="1">
      <c r="B347" s="6"/>
      <c r="F347" s="6"/>
      <c r="G347" s="6"/>
      <c r="L347" s="6"/>
      <c r="P347" s="6"/>
      <c r="Q347" s="6"/>
    </row>
    <row r="348" ht="15.75" customHeight="1">
      <c r="B348" s="6"/>
      <c r="F348" s="6"/>
      <c r="G348" s="6"/>
      <c r="L348" s="6"/>
      <c r="P348" s="6"/>
      <c r="Q348" s="6"/>
    </row>
    <row r="349" ht="15.75" customHeight="1">
      <c r="B349" s="6"/>
      <c r="F349" s="6"/>
      <c r="G349" s="6"/>
      <c r="L349" s="6"/>
      <c r="P349" s="6"/>
      <c r="Q349" s="6"/>
    </row>
    <row r="350" ht="15.75" customHeight="1">
      <c r="B350" s="6"/>
      <c r="F350" s="6"/>
      <c r="G350" s="6"/>
      <c r="L350" s="6"/>
      <c r="P350" s="6"/>
      <c r="Q350" s="6"/>
    </row>
    <row r="351" ht="15.75" customHeight="1">
      <c r="B351" s="6"/>
      <c r="F351" s="6"/>
      <c r="G351" s="6"/>
      <c r="L351" s="6"/>
      <c r="P351" s="6"/>
      <c r="Q351" s="6"/>
    </row>
    <row r="352" ht="15.75" customHeight="1">
      <c r="B352" s="6"/>
      <c r="F352" s="6"/>
      <c r="G352" s="6"/>
      <c r="L352" s="6"/>
      <c r="P352" s="6"/>
      <c r="Q352" s="6"/>
    </row>
    <row r="353" ht="15.75" customHeight="1">
      <c r="B353" s="6"/>
      <c r="F353" s="6"/>
      <c r="G353" s="6"/>
      <c r="L353" s="6"/>
      <c r="P353" s="6"/>
      <c r="Q353" s="6"/>
    </row>
    <row r="354" ht="15.75" customHeight="1">
      <c r="B354" s="6"/>
      <c r="F354" s="6"/>
      <c r="G354" s="6"/>
      <c r="L354" s="6"/>
      <c r="P354" s="6"/>
      <c r="Q354" s="6"/>
    </row>
    <row r="355" ht="15.75" customHeight="1">
      <c r="B355" s="6"/>
      <c r="F355" s="6"/>
      <c r="G355" s="6"/>
      <c r="L355" s="6"/>
      <c r="P355" s="6"/>
      <c r="Q355" s="6"/>
    </row>
    <row r="356" ht="15.75" customHeight="1">
      <c r="B356" s="6"/>
      <c r="F356" s="6"/>
      <c r="G356" s="6"/>
      <c r="L356" s="6"/>
      <c r="P356" s="6"/>
      <c r="Q356" s="6"/>
    </row>
    <row r="357" ht="15.75" customHeight="1">
      <c r="B357" s="6"/>
      <c r="F357" s="6"/>
      <c r="G357" s="6"/>
      <c r="L357" s="6"/>
      <c r="P357" s="6"/>
      <c r="Q357" s="6"/>
    </row>
    <row r="358" ht="15.75" customHeight="1">
      <c r="B358" s="6"/>
      <c r="F358" s="6"/>
      <c r="G358" s="6"/>
      <c r="L358" s="6"/>
      <c r="P358" s="6"/>
      <c r="Q358" s="6"/>
    </row>
    <row r="359" ht="15.75" customHeight="1">
      <c r="B359" s="6"/>
      <c r="F359" s="6"/>
      <c r="G359" s="6"/>
      <c r="L359" s="6"/>
      <c r="P359" s="6"/>
      <c r="Q359" s="6"/>
    </row>
    <row r="360" ht="15.75" customHeight="1">
      <c r="B360" s="6"/>
      <c r="F360" s="6"/>
      <c r="G360" s="6"/>
      <c r="L360" s="6"/>
      <c r="P360" s="6"/>
      <c r="Q360" s="6"/>
    </row>
    <row r="361" ht="15.75" customHeight="1">
      <c r="B361" s="6"/>
      <c r="F361" s="6"/>
      <c r="G361" s="6"/>
      <c r="L361" s="6"/>
      <c r="P361" s="6"/>
      <c r="Q361" s="6"/>
    </row>
    <row r="362" ht="15.75" customHeight="1">
      <c r="B362" s="6"/>
      <c r="F362" s="6"/>
      <c r="G362" s="6"/>
      <c r="L362" s="6"/>
      <c r="P362" s="6"/>
      <c r="Q362" s="6"/>
    </row>
    <row r="363" ht="15.75" customHeight="1">
      <c r="B363" s="6"/>
      <c r="F363" s="6"/>
      <c r="G363" s="6"/>
      <c r="L363" s="6"/>
      <c r="P363" s="6"/>
      <c r="Q363" s="6"/>
    </row>
    <row r="364" ht="15.75" customHeight="1">
      <c r="B364" s="6"/>
      <c r="F364" s="6"/>
      <c r="G364" s="6"/>
      <c r="L364" s="6"/>
      <c r="P364" s="6"/>
      <c r="Q364" s="6"/>
    </row>
    <row r="365" ht="15.75" customHeight="1">
      <c r="B365" s="6"/>
      <c r="F365" s="6"/>
      <c r="G365" s="6"/>
      <c r="L365" s="6"/>
      <c r="P365" s="6"/>
      <c r="Q365" s="6"/>
    </row>
    <row r="366" ht="15.75" customHeight="1">
      <c r="B366" s="6"/>
      <c r="F366" s="6"/>
      <c r="G366" s="6"/>
      <c r="L366" s="6"/>
      <c r="P366" s="6"/>
      <c r="Q366" s="6"/>
    </row>
    <row r="367" ht="15.75" customHeight="1">
      <c r="B367" s="6"/>
      <c r="F367" s="6"/>
      <c r="G367" s="6"/>
      <c r="L367" s="6"/>
      <c r="P367" s="6"/>
      <c r="Q367" s="6"/>
    </row>
    <row r="368" ht="15.75" customHeight="1">
      <c r="B368" s="6"/>
      <c r="F368" s="6"/>
      <c r="G368" s="6"/>
      <c r="L368" s="6"/>
      <c r="P368" s="6"/>
      <c r="Q368" s="6"/>
    </row>
    <row r="369" ht="15.75" customHeight="1">
      <c r="B369" s="6"/>
      <c r="F369" s="6"/>
      <c r="G369" s="6"/>
      <c r="L369" s="6"/>
      <c r="P369" s="6"/>
      <c r="Q369" s="6"/>
    </row>
    <row r="370" ht="15.75" customHeight="1">
      <c r="B370" s="6"/>
      <c r="F370" s="6"/>
      <c r="G370" s="6"/>
      <c r="L370" s="6"/>
      <c r="P370" s="6"/>
      <c r="Q370" s="6"/>
    </row>
    <row r="371" ht="15.75" customHeight="1">
      <c r="B371" s="6"/>
      <c r="F371" s="6"/>
      <c r="G371" s="6"/>
      <c r="L371" s="6"/>
      <c r="P371" s="6"/>
      <c r="Q371" s="6"/>
    </row>
    <row r="372" ht="15.75" customHeight="1">
      <c r="B372" s="6"/>
      <c r="F372" s="6"/>
      <c r="G372" s="6"/>
      <c r="L372" s="6"/>
      <c r="P372" s="6"/>
      <c r="Q372" s="6"/>
    </row>
    <row r="373" ht="15.75" customHeight="1">
      <c r="B373" s="6"/>
      <c r="F373" s="6"/>
      <c r="G373" s="6"/>
      <c r="L373" s="6"/>
      <c r="P373" s="6"/>
      <c r="Q373" s="6"/>
    </row>
    <row r="374" ht="15.75" customHeight="1">
      <c r="B374" s="6"/>
      <c r="F374" s="6"/>
      <c r="G374" s="6"/>
      <c r="L374" s="6"/>
      <c r="P374" s="6"/>
      <c r="Q374" s="6"/>
    </row>
    <row r="375" ht="15.75" customHeight="1">
      <c r="B375" s="6"/>
      <c r="F375" s="6"/>
      <c r="G375" s="6"/>
      <c r="L375" s="6"/>
      <c r="P375" s="6"/>
      <c r="Q375" s="6"/>
    </row>
    <row r="376" ht="15.75" customHeight="1">
      <c r="B376" s="6"/>
      <c r="F376" s="6"/>
      <c r="G376" s="6"/>
      <c r="L376" s="6"/>
      <c r="P376" s="6"/>
      <c r="Q376" s="6"/>
    </row>
    <row r="377" ht="15.75" customHeight="1">
      <c r="B377" s="6"/>
      <c r="F377" s="6"/>
      <c r="G377" s="6"/>
      <c r="L377" s="6"/>
      <c r="P377" s="6"/>
      <c r="Q377" s="6"/>
    </row>
    <row r="378" ht="15.75" customHeight="1">
      <c r="B378" s="6"/>
      <c r="F378" s="6"/>
      <c r="G378" s="6"/>
      <c r="L378" s="6"/>
      <c r="P378" s="6"/>
      <c r="Q378" s="6"/>
    </row>
    <row r="379" ht="15.75" customHeight="1">
      <c r="B379" s="6"/>
      <c r="F379" s="6"/>
      <c r="G379" s="6"/>
      <c r="L379" s="6"/>
      <c r="P379" s="6"/>
      <c r="Q379" s="6"/>
    </row>
    <row r="380" ht="15.75" customHeight="1">
      <c r="B380" s="6"/>
      <c r="F380" s="6"/>
      <c r="G380" s="6"/>
      <c r="L380" s="6"/>
      <c r="P380" s="6"/>
      <c r="Q380" s="6"/>
    </row>
    <row r="381" ht="15.75" customHeight="1">
      <c r="B381" s="6"/>
      <c r="F381" s="6"/>
      <c r="G381" s="6"/>
      <c r="L381" s="6"/>
      <c r="P381" s="6"/>
      <c r="Q381" s="6"/>
    </row>
    <row r="382" ht="15.75" customHeight="1">
      <c r="B382" s="6"/>
      <c r="F382" s="6"/>
      <c r="G382" s="6"/>
      <c r="L382" s="6"/>
      <c r="P382" s="6"/>
      <c r="Q382" s="6"/>
    </row>
    <row r="383" ht="15.75" customHeight="1">
      <c r="B383" s="6"/>
      <c r="F383" s="6"/>
      <c r="G383" s="6"/>
      <c r="L383" s="6"/>
      <c r="P383" s="6"/>
      <c r="Q383" s="6"/>
    </row>
    <row r="384" ht="15.75" customHeight="1">
      <c r="B384" s="6"/>
      <c r="F384" s="6"/>
      <c r="G384" s="6"/>
      <c r="L384" s="6"/>
      <c r="P384" s="6"/>
      <c r="Q384" s="6"/>
    </row>
    <row r="385" ht="15.75" customHeight="1">
      <c r="B385" s="6"/>
      <c r="F385" s="6"/>
      <c r="G385" s="6"/>
      <c r="L385" s="6"/>
      <c r="P385" s="6"/>
      <c r="Q385" s="6"/>
    </row>
    <row r="386" ht="15.75" customHeight="1">
      <c r="B386" s="6"/>
      <c r="F386" s="6"/>
      <c r="G386" s="6"/>
      <c r="L386" s="6"/>
      <c r="P386" s="6"/>
      <c r="Q386" s="6"/>
    </row>
    <row r="387" ht="15.75" customHeight="1">
      <c r="B387" s="6"/>
      <c r="F387" s="6"/>
      <c r="G387" s="6"/>
      <c r="L387" s="6"/>
      <c r="P387" s="6"/>
      <c r="Q387" s="6"/>
    </row>
    <row r="388" ht="15.75" customHeight="1">
      <c r="B388" s="6"/>
      <c r="F388" s="6"/>
      <c r="G388" s="6"/>
      <c r="L388" s="6"/>
      <c r="P388" s="6"/>
      <c r="Q388" s="6"/>
    </row>
    <row r="389" ht="15.75" customHeight="1">
      <c r="B389" s="6"/>
      <c r="F389" s="6"/>
      <c r="G389" s="6"/>
      <c r="L389" s="6"/>
      <c r="P389" s="6"/>
      <c r="Q389" s="6"/>
    </row>
    <row r="390" ht="15.75" customHeight="1">
      <c r="B390" s="6"/>
      <c r="F390" s="6"/>
      <c r="G390" s="6"/>
      <c r="L390" s="6"/>
      <c r="P390" s="6"/>
      <c r="Q390" s="6"/>
    </row>
    <row r="391" ht="15.75" customHeight="1">
      <c r="B391" s="6"/>
      <c r="F391" s="6"/>
      <c r="G391" s="6"/>
      <c r="L391" s="6"/>
      <c r="P391" s="6"/>
      <c r="Q391" s="6"/>
    </row>
    <row r="392" ht="15.75" customHeight="1">
      <c r="B392" s="6"/>
      <c r="F392" s="6"/>
      <c r="G392" s="6"/>
      <c r="L392" s="6"/>
      <c r="P392" s="6"/>
      <c r="Q392" s="6"/>
    </row>
    <row r="393" ht="15.75" customHeight="1">
      <c r="B393" s="6"/>
      <c r="F393" s="6"/>
      <c r="G393" s="6"/>
      <c r="L393" s="6"/>
      <c r="P393" s="6"/>
      <c r="Q393" s="6"/>
    </row>
    <row r="394" ht="15.75" customHeight="1">
      <c r="B394" s="6"/>
      <c r="F394" s="6"/>
      <c r="G394" s="6"/>
      <c r="L394" s="6"/>
      <c r="P394" s="6"/>
      <c r="Q394" s="6"/>
    </row>
    <row r="395" ht="15.75" customHeight="1">
      <c r="B395" s="6"/>
      <c r="F395" s="6"/>
      <c r="G395" s="6"/>
      <c r="L395" s="6"/>
      <c r="P395" s="6"/>
      <c r="Q395" s="6"/>
    </row>
    <row r="396" ht="15.75" customHeight="1">
      <c r="B396" s="6"/>
      <c r="F396" s="6"/>
      <c r="G396" s="6"/>
      <c r="L396" s="6"/>
      <c r="P396" s="6"/>
      <c r="Q396" s="6"/>
    </row>
    <row r="397" ht="15.75" customHeight="1">
      <c r="B397" s="6"/>
      <c r="F397" s="6"/>
      <c r="G397" s="6"/>
      <c r="L397" s="6"/>
      <c r="P397" s="6"/>
      <c r="Q397" s="6"/>
    </row>
    <row r="398" ht="15.75" customHeight="1">
      <c r="B398" s="6"/>
      <c r="F398" s="6"/>
      <c r="G398" s="6"/>
      <c r="L398" s="6"/>
      <c r="P398" s="6"/>
      <c r="Q398" s="6"/>
    </row>
    <row r="399" ht="15.75" customHeight="1">
      <c r="B399" s="6"/>
      <c r="F399" s="6"/>
      <c r="G399" s="6"/>
      <c r="L399" s="6"/>
      <c r="P399" s="6"/>
      <c r="Q399" s="6"/>
    </row>
    <row r="400" ht="15.75" customHeight="1">
      <c r="B400" s="6"/>
      <c r="F400" s="6"/>
      <c r="G400" s="6"/>
      <c r="L400" s="6"/>
      <c r="P400" s="6"/>
      <c r="Q400" s="6"/>
    </row>
    <row r="401" ht="15.75" customHeight="1">
      <c r="B401" s="6"/>
      <c r="F401" s="6"/>
      <c r="G401" s="6"/>
      <c r="L401" s="6"/>
      <c r="P401" s="6"/>
      <c r="Q401" s="6"/>
    </row>
    <row r="402" ht="15.75" customHeight="1">
      <c r="B402" s="6"/>
      <c r="F402" s="6"/>
      <c r="G402" s="6"/>
      <c r="L402" s="6"/>
      <c r="P402" s="6"/>
      <c r="Q402" s="6"/>
    </row>
    <row r="403" ht="15.75" customHeight="1">
      <c r="B403" s="6"/>
      <c r="F403" s="6"/>
      <c r="G403" s="6"/>
      <c r="L403" s="6"/>
      <c r="P403" s="6"/>
      <c r="Q403" s="6"/>
    </row>
    <row r="404" ht="15.75" customHeight="1">
      <c r="B404" s="6"/>
      <c r="F404" s="6"/>
      <c r="G404" s="6"/>
      <c r="L404" s="6"/>
      <c r="P404" s="6"/>
      <c r="Q404" s="6"/>
    </row>
    <row r="405" ht="15.75" customHeight="1">
      <c r="B405" s="6"/>
      <c r="F405" s="6"/>
      <c r="G405" s="6"/>
      <c r="L405" s="6"/>
      <c r="P405" s="6"/>
      <c r="Q405" s="6"/>
    </row>
    <row r="406" ht="15.75" customHeight="1">
      <c r="B406" s="6"/>
      <c r="F406" s="6"/>
      <c r="G406" s="6"/>
      <c r="L406" s="6"/>
      <c r="P406" s="6"/>
      <c r="Q406" s="6"/>
    </row>
    <row r="407" ht="15.75" customHeight="1">
      <c r="B407" s="6"/>
      <c r="F407" s="6"/>
      <c r="G407" s="6"/>
      <c r="L407" s="6"/>
      <c r="P407" s="6"/>
      <c r="Q407" s="6"/>
    </row>
    <row r="408" ht="15.75" customHeight="1">
      <c r="B408" s="6"/>
      <c r="F408" s="6"/>
      <c r="G408" s="6"/>
      <c r="L408" s="6"/>
      <c r="P408" s="6"/>
      <c r="Q408" s="6"/>
    </row>
    <row r="409" ht="15.75" customHeight="1">
      <c r="B409" s="6"/>
      <c r="F409" s="6"/>
      <c r="G409" s="6"/>
      <c r="L409" s="6"/>
      <c r="P409" s="6"/>
      <c r="Q409" s="6"/>
    </row>
    <row r="410" ht="15.75" customHeight="1">
      <c r="B410" s="6"/>
      <c r="F410" s="6"/>
      <c r="G410" s="6"/>
      <c r="L410" s="6"/>
      <c r="P410" s="6"/>
      <c r="Q410" s="6"/>
    </row>
    <row r="411" ht="15.75" customHeight="1">
      <c r="B411" s="6"/>
      <c r="F411" s="6"/>
      <c r="G411" s="6"/>
      <c r="L411" s="6"/>
      <c r="P411" s="6"/>
      <c r="Q411" s="6"/>
    </row>
    <row r="412" ht="15.75" customHeight="1">
      <c r="B412" s="6"/>
      <c r="F412" s="6"/>
      <c r="G412" s="6"/>
      <c r="L412" s="6"/>
      <c r="P412" s="6"/>
      <c r="Q412" s="6"/>
    </row>
    <row r="413" ht="15.75" customHeight="1">
      <c r="B413" s="6"/>
      <c r="F413" s="6"/>
      <c r="G413" s="6"/>
      <c r="L413" s="6"/>
      <c r="P413" s="6"/>
      <c r="Q413" s="6"/>
    </row>
    <row r="414" ht="15.75" customHeight="1">
      <c r="B414" s="6"/>
      <c r="F414" s="6"/>
      <c r="G414" s="6"/>
      <c r="L414" s="6"/>
      <c r="P414" s="6"/>
      <c r="Q414" s="6"/>
    </row>
    <row r="415" ht="15.75" customHeight="1">
      <c r="B415" s="6"/>
      <c r="F415" s="6"/>
      <c r="G415" s="6"/>
      <c r="L415" s="6"/>
      <c r="P415" s="6"/>
      <c r="Q415" s="6"/>
    </row>
    <row r="416" ht="15.75" customHeight="1">
      <c r="B416" s="6"/>
      <c r="F416" s="6"/>
      <c r="G416" s="6"/>
      <c r="L416" s="6"/>
      <c r="P416" s="6"/>
      <c r="Q416" s="6"/>
    </row>
    <row r="417" ht="15.75" customHeight="1">
      <c r="B417" s="6"/>
      <c r="F417" s="6"/>
      <c r="G417" s="6"/>
      <c r="L417" s="6"/>
      <c r="P417" s="6"/>
      <c r="Q417" s="6"/>
    </row>
    <row r="418" ht="15.75" customHeight="1">
      <c r="B418" s="6"/>
      <c r="F418" s="6"/>
      <c r="G418" s="6"/>
      <c r="L418" s="6"/>
      <c r="P418" s="6"/>
      <c r="Q418" s="6"/>
    </row>
    <row r="419" ht="15.75" customHeight="1">
      <c r="B419" s="6"/>
      <c r="F419" s="6"/>
      <c r="G419" s="6"/>
      <c r="L419" s="6"/>
      <c r="P419" s="6"/>
      <c r="Q419" s="6"/>
    </row>
    <row r="420" ht="15.75" customHeight="1">
      <c r="B420" s="6"/>
      <c r="F420" s="6"/>
      <c r="G420" s="6"/>
      <c r="L420" s="6"/>
      <c r="P420" s="6"/>
      <c r="Q420" s="6"/>
    </row>
    <row r="421" ht="15.75" customHeight="1">
      <c r="B421" s="6"/>
      <c r="F421" s="6"/>
      <c r="G421" s="6"/>
      <c r="L421" s="6"/>
      <c r="P421" s="6"/>
      <c r="Q421" s="6"/>
    </row>
    <row r="422" ht="15.75" customHeight="1">
      <c r="B422" s="6"/>
      <c r="F422" s="6"/>
      <c r="G422" s="6"/>
      <c r="L422" s="6"/>
      <c r="P422" s="6"/>
      <c r="Q422" s="6"/>
    </row>
    <row r="423" ht="15.75" customHeight="1">
      <c r="B423" s="6"/>
      <c r="F423" s="6"/>
      <c r="G423" s="6"/>
      <c r="L423" s="6"/>
      <c r="P423" s="6"/>
      <c r="Q423" s="6"/>
    </row>
    <row r="424" ht="15.75" customHeight="1">
      <c r="B424" s="6"/>
      <c r="F424" s="6"/>
      <c r="G424" s="6"/>
      <c r="L424" s="6"/>
      <c r="P424" s="6"/>
      <c r="Q424" s="6"/>
    </row>
    <row r="425" ht="15.75" customHeight="1">
      <c r="B425" s="6"/>
      <c r="F425" s="6"/>
      <c r="G425" s="6"/>
      <c r="L425" s="6"/>
      <c r="P425" s="6"/>
      <c r="Q425" s="6"/>
    </row>
    <row r="426" ht="15.75" customHeight="1">
      <c r="B426" s="6"/>
      <c r="F426" s="6"/>
      <c r="G426" s="6"/>
      <c r="L426" s="6"/>
      <c r="P426" s="6"/>
      <c r="Q426" s="6"/>
    </row>
    <row r="427" ht="15.75" customHeight="1">
      <c r="B427" s="6"/>
      <c r="F427" s="6"/>
      <c r="G427" s="6"/>
      <c r="L427" s="6"/>
      <c r="P427" s="6"/>
      <c r="Q427" s="6"/>
    </row>
    <row r="428" ht="15.75" customHeight="1">
      <c r="B428" s="6"/>
      <c r="F428" s="6"/>
      <c r="G428" s="6"/>
      <c r="L428" s="6"/>
      <c r="P428" s="6"/>
      <c r="Q428" s="6"/>
    </row>
    <row r="429" ht="15.75" customHeight="1">
      <c r="B429" s="6"/>
      <c r="F429" s="6"/>
      <c r="G429" s="6"/>
      <c r="L429" s="6"/>
      <c r="P429" s="6"/>
      <c r="Q429" s="6"/>
    </row>
    <row r="430" ht="15.75" customHeight="1">
      <c r="B430" s="6"/>
      <c r="F430" s="6"/>
      <c r="G430" s="6"/>
      <c r="L430" s="6"/>
      <c r="P430" s="6"/>
      <c r="Q430" s="6"/>
    </row>
    <row r="431" ht="15.75" customHeight="1">
      <c r="B431" s="6"/>
      <c r="F431" s="6"/>
      <c r="G431" s="6"/>
      <c r="L431" s="6"/>
      <c r="P431" s="6"/>
      <c r="Q431" s="6"/>
    </row>
    <row r="432" ht="15.75" customHeight="1">
      <c r="B432" s="6"/>
      <c r="F432" s="6"/>
      <c r="G432" s="6"/>
      <c r="L432" s="6"/>
      <c r="P432" s="6"/>
      <c r="Q432" s="6"/>
    </row>
    <row r="433" ht="15.75" customHeight="1">
      <c r="B433" s="6"/>
      <c r="F433" s="6"/>
      <c r="G433" s="6"/>
      <c r="L433" s="6"/>
      <c r="P433" s="6"/>
      <c r="Q433" s="6"/>
    </row>
    <row r="434" ht="15.75" customHeight="1">
      <c r="B434" s="6"/>
      <c r="F434" s="6"/>
      <c r="G434" s="6"/>
      <c r="L434" s="6"/>
      <c r="P434" s="6"/>
      <c r="Q434" s="6"/>
    </row>
    <row r="435" ht="15.75" customHeight="1">
      <c r="B435" s="6"/>
      <c r="F435" s="6"/>
      <c r="G435" s="6"/>
      <c r="L435" s="6"/>
      <c r="P435" s="6"/>
      <c r="Q435" s="6"/>
    </row>
    <row r="436" ht="15.75" customHeight="1">
      <c r="B436" s="6"/>
      <c r="F436" s="6"/>
      <c r="G436" s="6"/>
      <c r="L436" s="6"/>
      <c r="P436" s="6"/>
      <c r="Q436" s="6"/>
    </row>
    <row r="437" ht="15.75" customHeight="1">
      <c r="B437" s="6"/>
      <c r="F437" s="6"/>
      <c r="G437" s="6"/>
      <c r="L437" s="6"/>
      <c r="P437" s="6"/>
      <c r="Q437" s="6"/>
    </row>
    <row r="438" ht="15.75" customHeight="1">
      <c r="B438" s="6"/>
      <c r="F438" s="6"/>
      <c r="G438" s="6"/>
      <c r="L438" s="6"/>
      <c r="P438" s="6"/>
      <c r="Q438" s="6"/>
    </row>
    <row r="439" ht="15.75" customHeight="1">
      <c r="B439" s="6"/>
      <c r="F439" s="6"/>
      <c r="G439" s="6"/>
      <c r="L439" s="6"/>
      <c r="P439" s="6"/>
      <c r="Q439" s="6"/>
    </row>
    <row r="440" ht="15.75" customHeight="1">
      <c r="B440" s="6"/>
      <c r="F440" s="6"/>
      <c r="G440" s="6"/>
      <c r="L440" s="6"/>
      <c r="P440" s="6"/>
      <c r="Q440" s="6"/>
    </row>
    <row r="441" ht="15.75" customHeight="1">
      <c r="B441" s="6"/>
      <c r="F441" s="6"/>
      <c r="G441" s="6"/>
      <c r="L441" s="6"/>
      <c r="P441" s="6"/>
      <c r="Q441" s="6"/>
    </row>
    <row r="442" ht="15.75" customHeight="1">
      <c r="B442" s="6"/>
      <c r="F442" s="6"/>
      <c r="G442" s="6"/>
      <c r="L442" s="6"/>
      <c r="P442" s="6"/>
      <c r="Q442" s="6"/>
    </row>
    <row r="443" ht="15.75" customHeight="1">
      <c r="B443" s="6"/>
      <c r="F443" s="6"/>
      <c r="G443" s="6"/>
      <c r="L443" s="6"/>
      <c r="P443" s="6"/>
      <c r="Q443" s="6"/>
    </row>
    <row r="444" ht="15.75" customHeight="1">
      <c r="B444" s="6"/>
      <c r="F444" s="6"/>
      <c r="G444" s="6"/>
      <c r="L444" s="6"/>
      <c r="P444" s="6"/>
      <c r="Q444" s="6"/>
    </row>
    <row r="445" ht="15.75" customHeight="1">
      <c r="B445" s="6"/>
      <c r="F445" s="6"/>
      <c r="G445" s="6"/>
      <c r="L445" s="6"/>
      <c r="P445" s="6"/>
      <c r="Q445" s="6"/>
    </row>
    <row r="446" ht="15.75" customHeight="1">
      <c r="B446" s="6"/>
      <c r="F446" s="6"/>
      <c r="G446" s="6"/>
      <c r="L446" s="6"/>
      <c r="P446" s="6"/>
      <c r="Q446" s="6"/>
    </row>
    <row r="447" ht="15.75" customHeight="1">
      <c r="B447" s="6"/>
      <c r="F447" s="6"/>
      <c r="G447" s="6"/>
      <c r="L447" s="6"/>
      <c r="P447" s="6"/>
      <c r="Q447" s="6"/>
    </row>
    <row r="448" ht="15.75" customHeight="1">
      <c r="B448" s="6"/>
      <c r="F448" s="6"/>
      <c r="G448" s="6"/>
      <c r="L448" s="6"/>
      <c r="P448" s="6"/>
      <c r="Q448" s="6"/>
    </row>
    <row r="449" ht="15.75" customHeight="1">
      <c r="B449" s="6"/>
      <c r="F449" s="6"/>
      <c r="G449" s="6"/>
      <c r="L449" s="6"/>
      <c r="P449" s="6"/>
      <c r="Q449" s="6"/>
    </row>
    <row r="450" ht="15.75" customHeight="1">
      <c r="B450" s="6"/>
      <c r="F450" s="6"/>
      <c r="G450" s="6"/>
      <c r="L450" s="6"/>
      <c r="P450" s="6"/>
      <c r="Q450" s="6"/>
    </row>
    <row r="451" ht="15.75" customHeight="1">
      <c r="B451" s="6"/>
      <c r="F451" s="6"/>
      <c r="G451" s="6"/>
      <c r="L451" s="6"/>
      <c r="P451" s="6"/>
      <c r="Q451" s="6"/>
    </row>
    <row r="452" ht="15.75" customHeight="1">
      <c r="B452" s="6"/>
      <c r="F452" s="6"/>
      <c r="G452" s="6"/>
      <c r="L452" s="6"/>
      <c r="P452" s="6"/>
      <c r="Q452" s="6"/>
    </row>
    <row r="453" ht="15.75" customHeight="1">
      <c r="B453" s="6"/>
      <c r="F453" s="6"/>
      <c r="G453" s="6"/>
      <c r="L453" s="6"/>
      <c r="P453" s="6"/>
      <c r="Q453" s="6"/>
    </row>
    <row r="454" ht="15.75" customHeight="1">
      <c r="B454" s="6"/>
      <c r="F454" s="6"/>
      <c r="G454" s="6"/>
      <c r="L454" s="6"/>
      <c r="P454" s="6"/>
      <c r="Q454" s="6"/>
    </row>
    <row r="455" ht="15.75" customHeight="1">
      <c r="B455" s="6"/>
      <c r="F455" s="6"/>
      <c r="G455" s="6"/>
      <c r="L455" s="6"/>
      <c r="P455" s="6"/>
      <c r="Q455" s="6"/>
    </row>
    <row r="456" ht="15.75" customHeight="1">
      <c r="B456" s="6"/>
      <c r="F456" s="6"/>
      <c r="G456" s="6"/>
      <c r="L456" s="6"/>
      <c r="P456" s="6"/>
      <c r="Q456" s="6"/>
    </row>
    <row r="457" ht="15.75" customHeight="1">
      <c r="B457" s="6"/>
      <c r="F457" s="6"/>
      <c r="G457" s="6"/>
      <c r="L457" s="6"/>
      <c r="P457" s="6"/>
      <c r="Q457" s="6"/>
    </row>
    <row r="458" ht="15.75" customHeight="1">
      <c r="B458" s="6"/>
      <c r="F458" s="6"/>
      <c r="G458" s="6"/>
      <c r="L458" s="6"/>
      <c r="P458" s="6"/>
      <c r="Q458" s="6"/>
    </row>
    <row r="459" ht="15.75" customHeight="1">
      <c r="B459" s="6"/>
      <c r="F459" s="6"/>
      <c r="G459" s="6"/>
      <c r="L459" s="6"/>
      <c r="P459" s="6"/>
      <c r="Q459" s="6"/>
    </row>
    <row r="460" ht="15.75" customHeight="1">
      <c r="B460" s="6"/>
      <c r="F460" s="6"/>
      <c r="G460" s="6"/>
      <c r="L460" s="6"/>
      <c r="P460" s="6"/>
      <c r="Q460" s="6"/>
    </row>
    <row r="461" ht="15.75" customHeight="1">
      <c r="B461" s="6"/>
      <c r="F461" s="6"/>
      <c r="G461" s="6"/>
      <c r="L461" s="6"/>
      <c r="P461" s="6"/>
      <c r="Q461" s="6"/>
    </row>
    <row r="462" ht="15.75" customHeight="1">
      <c r="B462" s="6"/>
      <c r="F462" s="6"/>
      <c r="G462" s="6"/>
      <c r="L462" s="6"/>
      <c r="P462" s="6"/>
      <c r="Q462" s="6"/>
    </row>
    <row r="463" ht="15.75" customHeight="1">
      <c r="B463" s="6"/>
      <c r="F463" s="6"/>
      <c r="G463" s="6"/>
      <c r="L463" s="6"/>
      <c r="P463" s="6"/>
      <c r="Q463" s="6"/>
    </row>
    <row r="464" ht="15.75" customHeight="1">
      <c r="B464" s="6"/>
      <c r="F464" s="6"/>
      <c r="G464" s="6"/>
      <c r="L464" s="6"/>
      <c r="P464" s="6"/>
      <c r="Q464" s="6"/>
    </row>
    <row r="465" ht="15.75" customHeight="1">
      <c r="B465" s="6"/>
      <c r="F465" s="6"/>
      <c r="G465" s="6"/>
      <c r="L465" s="6"/>
      <c r="P465" s="6"/>
      <c r="Q465" s="6"/>
    </row>
    <row r="466" ht="15.75" customHeight="1">
      <c r="B466" s="6"/>
      <c r="F466" s="6"/>
      <c r="G466" s="6"/>
      <c r="L466" s="6"/>
      <c r="P466" s="6"/>
      <c r="Q466" s="6"/>
    </row>
    <row r="467" ht="15.75" customHeight="1">
      <c r="B467" s="6"/>
      <c r="F467" s="6"/>
      <c r="G467" s="6"/>
      <c r="L467" s="6"/>
      <c r="P467" s="6"/>
      <c r="Q467" s="6"/>
    </row>
    <row r="468" ht="15.75" customHeight="1">
      <c r="B468" s="6"/>
      <c r="F468" s="6"/>
      <c r="G468" s="6"/>
      <c r="L468" s="6"/>
      <c r="P468" s="6"/>
      <c r="Q468" s="6"/>
    </row>
    <row r="469" ht="15.75" customHeight="1">
      <c r="B469" s="6"/>
      <c r="F469" s="6"/>
      <c r="G469" s="6"/>
      <c r="L469" s="6"/>
      <c r="P469" s="6"/>
      <c r="Q469" s="6"/>
    </row>
    <row r="470" ht="15.75" customHeight="1">
      <c r="B470" s="6"/>
      <c r="F470" s="6"/>
      <c r="G470" s="6"/>
      <c r="L470" s="6"/>
      <c r="P470" s="6"/>
      <c r="Q470" s="6"/>
    </row>
    <row r="471" ht="15.75" customHeight="1">
      <c r="B471" s="6"/>
      <c r="F471" s="6"/>
      <c r="G471" s="6"/>
      <c r="L471" s="6"/>
      <c r="P471" s="6"/>
      <c r="Q471" s="6"/>
    </row>
    <row r="472" ht="15.75" customHeight="1">
      <c r="B472" s="6"/>
      <c r="F472" s="6"/>
      <c r="G472" s="6"/>
      <c r="L472" s="6"/>
      <c r="P472" s="6"/>
      <c r="Q472" s="6"/>
    </row>
    <row r="473" ht="15.75" customHeight="1">
      <c r="B473" s="6"/>
      <c r="F473" s="6"/>
      <c r="G473" s="6"/>
      <c r="L473" s="6"/>
      <c r="P473" s="6"/>
      <c r="Q473" s="6"/>
    </row>
    <row r="474" ht="15.75" customHeight="1">
      <c r="B474" s="6"/>
      <c r="F474" s="6"/>
      <c r="G474" s="6"/>
      <c r="L474" s="6"/>
      <c r="P474" s="6"/>
      <c r="Q474" s="6"/>
    </row>
    <row r="475" ht="15.75" customHeight="1">
      <c r="B475" s="6"/>
      <c r="F475" s="6"/>
      <c r="G475" s="6"/>
      <c r="L475" s="6"/>
      <c r="P475" s="6"/>
      <c r="Q475" s="6"/>
    </row>
    <row r="476" ht="15.75" customHeight="1">
      <c r="B476" s="6"/>
      <c r="F476" s="6"/>
      <c r="G476" s="6"/>
      <c r="L476" s="6"/>
      <c r="P476" s="6"/>
      <c r="Q476" s="6"/>
    </row>
    <row r="477" ht="15.75" customHeight="1">
      <c r="B477" s="6"/>
      <c r="F477" s="6"/>
      <c r="G477" s="6"/>
      <c r="L477" s="6"/>
      <c r="P477" s="6"/>
      <c r="Q477" s="6"/>
    </row>
    <row r="478" ht="15.75" customHeight="1">
      <c r="B478" s="6"/>
      <c r="F478" s="6"/>
      <c r="G478" s="6"/>
      <c r="L478" s="6"/>
      <c r="P478" s="6"/>
      <c r="Q478" s="6"/>
    </row>
    <row r="479" ht="15.75" customHeight="1">
      <c r="B479" s="6"/>
      <c r="F479" s="6"/>
      <c r="G479" s="6"/>
      <c r="L479" s="6"/>
      <c r="P479" s="6"/>
      <c r="Q479" s="6"/>
    </row>
    <row r="480" ht="15.75" customHeight="1">
      <c r="B480" s="6"/>
      <c r="F480" s="6"/>
      <c r="G480" s="6"/>
      <c r="L480" s="6"/>
      <c r="P480" s="6"/>
      <c r="Q480" s="6"/>
    </row>
    <row r="481" ht="15.75" customHeight="1">
      <c r="B481" s="6"/>
      <c r="F481" s="6"/>
      <c r="G481" s="6"/>
      <c r="L481" s="6"/>
      <c r="P481" s="6"/>
      <c r="Q481" s="6"/>
    </row>
    <row r="482" ht="15.75" customHeight="1">
      <c r="B482" s="6"/>
      <c r="F482" s="6"/>
      <c r="G482" s="6"/>
      <c r="L482" s="6"/>
      <c r="P482" s="6"/>
      <c r="Q482" s="6"/>
    </row>
    <row r="483" ht="15.75" customHeight="1">
      <c r="B483" s="6"/>
      <c r="F483" s="6"/>
      <c r="G483" s="6"/>
      <c r="L483" s="6"/>
      <c r="P483" s="6"/>
      <c r="Q483" s="6"/>
    </row>
    <row r="484" ht="15.75" customHeight="1">
      <c r="B484" s="6"/>
      <c r="F484" s="6"/>
      <c r="G484" s="6"/>
      <c r="L484" s="6"/>
      <c r="P484" s="6"/>
      <c r="Q484" s="6"/>
    </row>
    <row r="485" ht="15.75" customHeight="1">
      <c r="B485" s="6"/>
      <c r="F485" s="6"/>
      <c r="G485" s="6"/>
      <c r="L485" s="6"/>
      <c r="P485" s="6"/>
      <c r="Q485" s="6"/>
    </row>
    <row r="486" ht="15.75" customHeight="1">
      <c r="B486" s="6"/>
      <c r="F486" s="6"/>
      <c r="G486" s="6"/>
      <c r="L486" s="6"/>
      <c r="P486" s="6"/>
      <c r="Q486" s="6"/>
    </row>
    <row r="487" ht="15.75" customHeight="1">
      <c r="B487" s="6"/>
      <c r="F487" s="6"/>
      <c r="G487" s="6"/>
      <c r="L487" s="6"/>
      <c r="P487" s="6"/>
      <c r="Q487" s="6"/>
    </row>
    <row r="488" ht="15.75" customHeight="1">
      <c r="B488" s="6"/>
      <c r="F488" s="6"/>
      <c r="G488" s="6"/>
      <c r="L488" s="6"/>
      <c r="P488" s="6"/>
      <c r="Q488" s="6"/>
    </row>
    <row r="489" ht="15.75" customHeight="1">
      <c r="B489" s="6"/>
      <c r="F489" s="6"/>
      <c r="G489" s="6"/>
      <c r="L489" s="6"/>
      <c r="P489" s="6"/>
      <c r="Q489" s="6"/>
    </row>
    <row r="490" ht="15.75" customHeight="1">
      <c r="B490" s="6"/>
      <c r="F490" s="6"/>
      <c r="G490" s="6"/>
      <c r="L490" s="6"/>
      <c r="P490" s="6"/>
      <c r="Q490" s="6"/>
    </row>
    <row r="491" ht="15.75" customHeight="1">
      <c r="B491" s="6"/>
      <c r="F491" s="6"/>
      <c r="G491" s="6"/>
      <c r="L491" s="6"/>
      <c r="P491" s="6"/>
      <c r="Q491" s="6"/>
    </row>
    <row r="492" ht="15.75" customHeight="1">
      <c r="B492" s="6"/>
      <c r="F492" s="6"/>
      <c r="G492" s="6"/>
      <c r="L492" s="6"/>
      <c r="P492" s="6"/>
      <c r="Q492" s="6"/>
    </row>
    <row r="493" ht="15.75" customHeight="1">
      <c r="B493" s="6"/>
      <c r="F493" s="6"/>
      <c r="G493" s="6"/>
      <c r="L493" s="6"/>
      <c r="P493" s="6"/>
      <c r="Q493" s="6"/>
    </row>
    <row r="494" ht="15.75" customHeight="1">
      <c r="B494" s="6"/>
      <c r="F494" s="6"/>
      <c r="G494" s="6"/>
      <c r="L494" s="6"/>
      <c r="P494" s="6"/>
      <c r="Q494" s="6"/>
    </row>
    <row r="495" ht="15.75" customHeight="1">
      <c r="B495" s="6"/>
      <c r="F495" s="6"/>
      <c r="G495" s="6"/>
      <c r="L495" s="6"/>
      <c r="P495" s="6"/>
      <c r="Q495" s="6"/>
    </row>
    <row r="496" ht="15.75" customHeight="1">
      <c r="B496" s="6"/>
      <c r="F496" s="6"/>
      <c r="G496" s="6"/>
      <c r="L496" s="6"/>
      <c r="P496" s="6"/>
      <c r="Q496" s="6"/>
    </row>
    <row r="497" ht="15.75" customHeight="1">
      <c r="B497" s="6"/>
      <c r="F497" s="6"/>
      <c r="G497" s="6"/>
      <c r="L497" s="6"/>
      <c r="P497" s="6"/>
      <c r="Q497" s="6"/>
    </row>
    <row r="498" ht="15.75" customHeight="1">
      <c r="B498" s="6"/>
      <c r="F498" s="6"/>
      <c r="G498" s="6"/>
      <c r="L498" s="6"/>
      <c r="P498" s="6"/>
      <c r="Q498" s="6"/>
    </row>
    <row r="499" ht="15.75" customHeight="1">
      <c r="B499" s="6"/>
      <c r="F499" s="6"/>
      <c r="G499" s="6"/>
      <c r="L499" s="6"/>
      <c r="P499" s="6"/>
      <c r="Q499" s="6"/>
    </row>
    <row r="500" ht="15.75" customHeight="1">
      <c r="B500" s="6"/>
      <c r="F500" s="6"/>
      <c r="G500" s="6"/>
      <c r="L500" s="6"/>
      <c r="P500" s="6"/>
      <c r="Q500" s="6"/>
    </row>
    <row r="501" ht="15.75" customHeight="1">
      <c r="B501" s="6"/>
      <c r="F501" s="6"/>
      <c r="G501" s="6"/>
      <c r="L501" s="6"/>
      <c r="P501" s="6"/>
      <c r="Q501" s="6"/>
    </row>
    <row r="502" ht="15.75" customHeight="1">
      <c r="B502" s="6"/>
      <c r="F502" s="6"/>
      <c r="G502" s="6"/>
      <c r="L502" s="6"/>
      <c r="P502" s="6"/>
      <c r="Q502" s="6"/>
    </row>
    <row r="503" ht="15.75" customHeight="1">
      <c r="B503" s="6"/>
      <c r="F503" s="6"/>
      <c r="G503" s="6"/>
      <c r="L503" s="6"/>
      <c r="P503" s="6"/>
      <c r="Q503" s="6"/>
    </row>
    <row r="504" ht="15.75" customHeight="1">
      <c r="B504" s="6"/>
      <c r="F504" s="6"/>
      <c r="G504" s="6"/>
      <c r="L504" s="6"/>
      <c r="P504" s="6"/>
      <c r="Q504" s="6"/>
    </row>
    <row r="505" ht="15.75" customHeight="1">
      <c r="B505" s="6"/>
      <c r="F505" s="6"/>
      <c r="G505" s="6"/>
      <c r="L505" s="6"/>
      <c r="P505" s="6"/>
      <c r="Q505" s="6"/>
    </row>
    <row r="506" ht="15.75" customHeight="1">
      <c r="B506" s="6"/>
      <c r="F506" s="6"/>
      <c r="G506" s="6"/>
      <c r="L506" s="6"/>
      <c r="P506" s="6"/>
      <c r="Q506" s="6"/>
    </row>
    <row r="507" ht="15.75" customHeight="1">
      <c r="B507" s="6"/>
      <c r="F507" s="6"/>
      <c r="G507" s="6"/>
      <c r="L507" s="6"/>
      <c r="P507" s="6"/>
      <c r="Q507" s="6"/>
    </row>
    <row r="508" ht="15.75" customHeight="1">
      <c r="B508" s="6"/>
      <c r="F508" s="6"/>
      <c r="G508" s="6"/>
      <c r="L508" s="6"/>
      <c r="P508" s="6"/>
      <c r="Q508" s="6"/>
    </row>
    <row r="509" ht="15.75" customHeight="1">
      <c r="B509" s="6"/>
      <c r="F509" s="6"/>
      <c r="G509" s="6"/>
      <c r="L509" s="6"/>
      <c r="P509" s="6"/>
      <c r="Q509" s="6"/>
    </row>
    <row r="510" ht="15.75" customHeight="1">
      <c r="B510" s="6"/>
      <c r="F510" s="6"/>
      <c r="G510" s="6"/>
      <c r="L510" s="6"/>
      <c r="P510" s="6"/>
      <c r="Q510" s="6"/>
    </row>
    <row r="511" ht="15.75" customHeight="1">
      <c r="B511" s="6"/>
      <c r="F511" s="6"/>
      <c r="G511" s="6"/>
      <c r="L511" s="6"/>
      <c r="P511" s="6"/>
      <c r="Q511" s="6"/>
    </row>
    <row r="512" ht="15.75" customHeight="1">
      <c r="B512" s="6"/>
      <c r="F512" s="6"/>
      <c r="G512" s="6"/>
      <c r="L512" s="6"/>
      <c r="P512" s="6"/>
      <c r="Q512" s="6"/>
    </row>
    <row r="513" ht="15.75" customHeight="1">
      <c r="B513" s="6"/>
      <c r="F513" s="6"/>
      <c r="G513" s="6"/>
      <c r="L513" s="6"/>
      <c r="P513" s="6"/>
      <c r="Q513" s="6"/>
    </row>
    <row r="514" ht="15.75" customHeight="1">
      <c r="B514" s="6"/>
      <c r="F514" s="6"/>
      <c r="G514" s="6"/>
      <c r="L514" s="6"/>
      <c r="P514" s="6"/>
      <c r="Q514" s="6"/>
    </row>
    <row r="515" ht="15.75" customHeight="1">
      <c r="B515" s="6"/>
      <c r="F515" s="6"/>
      <c r="G515" s="6"/>
      <c r="L515" s="6"/>
      <c r="P515" s="6"/>
      <c r="Q515" s="6"/>
    </row>
    <row r="516" ht="15.75" customHeight="1">
      <c r="B516" s="6"/>
      <c r="F516" s="6"/>
      <c r="G516" s="6"/>
      <c r="L516" s="6"/>
      <c r="P516" s="6"/>
      <c r="Q516" s="6"/>
    </row>
    <row r="517" ht="15.75" customHeight="1">
      <c r="B517" s="6"/>
      <c r="F517" s="6"/>
      <c r="G517" s="6"/>
      <c r="L517" s="6"/>
      <c r="P517" s="6"/>
      <c r="Q517" s="6"/>
    </row>
    <row r="518" ht="15.75" customHeight="1">
      <c r="B518" s="6"/>
      <c r="F518" s="6"/>
      <c r="G518" s="6"/>
      <c r="L518" s="6"/>
      <c r="P518" s="6"/>
      <c r="Q518" s="6"/>
    </row>
    <row r="519" ht="15.75" customHeight="1">
      <c r="B519" s="6"/>
      <c r="F519" s="6"/>
      <c r="G519" s="6"/>
      <c r="L519" s="6"/>
      <c r="P519" s="6"/>
      <c r="Q519" s="6"/>
    </row>
    <row r="520" ht="15.75" customHeight="1">
      <c r="B520" s="6"/>
      <c r="F520" s="6"/>
      <c r="G520" s="6"/>
      <c r="L520" s="6"/>
      <c r="P520" s="6"/>
      <c r="Q520" s="6"/>
    </row>
    <row r="521" ht="15.75" customHeight="1">
      <c r="B521" s="6"/>
      <c r="F521" s="6"/>
      <c r="G521" s="6"/>
      <c r="L521" s="6"/>
      <c r="P521" s="6"/>
      <c r="Q521" s="6"/>
    </row>
    <row r="522" ht="15.75" customHeight="1">
      <c r="B522" s="6"/>
      <c r="F522" s="6"/>
      <c r="G522" s="6"/>
      <c r="L522" s="6"/>
      <c r="P522" s="6"/>
      <c r="Q522" s="6"/>
    </row>
    <row r="523" ht="15.75" customHeight="1">
      <c r="B523" s="6"/>
      <c r="F523" s="6"/>
      <c r="G523" s="6"/>
      <c r="L523" s="6"/>
      <c r="P523" s="6"/>
      <c r="Q523" s="6"/>
    </row>
    <row r="524" ht="15.75" customHeight="1">
      <c r="B524" s="6"/>
      <c r="F524" s="6"/>
      <c r="G524" s="6"/>
      <c r="L524" s="6"/>
      <c r="P524" s="6"/>
      <c r="Q524" s="6"/>
    </row>
    <row r="525" ht="15.75" customHeight="1">
      <c r="B525" s="6"/>
      <c r="F525" s="6"/>
      <c r="G525" s="6"/>
      <c r="L525" s="6"/>
      <c r="P525" s="6"/>
      <c r="Q525" s="6"/>
    </row>
    <row r="526" ht="15.75" customHeight="1">
      <c r="B526" s="6"/>
      <c r="F526" s="6"/>
      <c r="G526" s="6"/>
      <c r="L526" s="6"/>
      <c r="P526" s="6"/>
      <c r="Q526" s="6"/>
    </row>
    <row r="527" ht="15.75" customHeight="1">
      <c r="B527" s="6"/>
      <c r="F527" s="6"/>
      <c r="G527" s="6"/>
      <c r="L527" s="6"/>
      <c r="P527" s="6"/>
      <c r="Q527" s="6"/>
    </row>
    <row r="528" ht="15.75" customHeight="1">
      <c r="B528" s="6"/>
      <c r="F528" s="6"/>
      <c r="G528" s="6"/>
      <c r="L528" s="6"/>
      <c r="P528" s="6"/>
      <c r="Q528" s="6"/>
    </row>
    <row r="529" ht="15.75" customHeight="1">
      <c r="B529" s="6"/>
      <c r="F529" s="6"/>
      <c r="G529" s="6"/>
      <c r="L529" s="6"/>
      <c r="P529" s="6"/>
      <c r="Q529" s="6"/>
    </row>
    <row r="530" ht="15.75" customHeight="1">
      <c r="B530" s="6"/>
      <c r="F530" s="6"/>
      <c r="G530" s="6"/>
      <c r="L530" s="6"/>
      <c r="P530" s="6"/>
      <c r="Q530" s="6"/>
    </row>
    <row r="531" ht="15.75" customHeight="1">
      <c r="B531" s="6"/>
      <c r="F531" s="6"/>
      <c r="G531" s="6"/>
      <c r="L531" s="6"/>
      <c r="P531" s="6"/>
      <c r="Q531" s="6"/>
    </row>
    <row r="532" ht="15.75" customHeight="1">
      <c r="B532" s="6"/>
      <c r="F532" s="6"/>
      <c r="G532" s="6"/>
      <c r="L532" s="6"/>
      <c r="P532" s="6"/>
      <c r="Q532" s="6"/>
    </row>
    <row r="533" ht="15.75" customHeight="1">
      <c r="B533" s="6"/>
      <c r="F533" s="6"/>
      <c r="G533" s="6"/>
      <c r="L533" s="6"/>
      <c r="P533" s="6"/>
      <c r="Q533" s="6"/>
    </row>
    <row r="534" ht="15.75" customHeight="1">
      <c r="B534" s="6"/>
      <c r="F534" s="6"/>
      <c r="G534" s="6"/>
      <c r="L534" s="6"/>
      <c r="P534" s="6"/>
      <c r="Q534" s="6"/>
    </row>
    <row r="535" ht="15.75" customHeight="1">
      <c r="B535" s="6"/>
      <c r="F535" s="6"/>
      <c r="G535" s="6"/>
      <c r="L535" s="6"/>
      <c r="P535" s="6"/>
      <c r="Q535" s="6"/>
    </row>
    <row r="536" ht="15.75" customHeight="1">
      <c r="B536" s="6"/>
      <c r="F536" s="6"/>
      <c r="G536" s="6"/>
      <c r="L536" s="6"/>
      <c r="P536" s="6"/>
      <c r="Q536" s="6"/>
    </row>
    <row r="537" ht="15.75" customHeight="1">
      <c r="B537" s="6"/>
      <c r="F537" s="6"/>
      <c r="G537" s="6"/>
      <c r="L537" s="6"/>
      <c r="P537" s="6"/>
      <c r="Q537" s="6"/>
    </row>
    <row r="538" ht="15.75" customHeight="1">
      <c r="B538" s="6"/>
      <c r="F538" s="6"/>
      <c r="G538" s="6"/>
      <c r="L538" s="6"/>
      <c r="P538" s="6"/>
      <c r="Q538" s="6"/>
    </row>
    <row r="539" ht="15.75" customHeight="1">
      <c r="B539" s="6"/>
      <c r="F539" s="6"/>
      <c r="G539" s="6"/>
      <c r="L539" s="6"/>
      <c r="P539" s="6"/>
      <c r="Q539" s="6"/>
    </row>
    <row r="540" ht="15.75" customHeight="1">
      <c r="B540" s="6"/>
      <c r="F540" s="6"/>
      <c r="G540" s="6"/>
      <c r="L540" s="6"/>
      <c r="P540" s="6"/>
      <c r="Q540" s="6"/>
    </row>
    <row r="541" ht="15.75" customHeight="1">
      <c r="B541" s="6"/>
      <c r="F541" s="6"/>
      <c r="G541" s="6"/>
      <c r="L541" s="6"/>
      <c r="P541" s="6"/>
      <c r="Q541" s="6"/>
    </row>
    <row r="542" ht="15.75" customHeight="1">
      <c r="B542" s="6"/>
      <c r="F542" s="6"/>
      <c r="G542" s="6"/>
      <c r="L542" s="6"/>
      <c r="P542" s="6"/>
      <c r="Q542" s="6"/>
    </row>
    <row r="543" ht="15.75" customHeight="1">
      <c r="B543" s="6"/>
      <c r="F543" s="6"/>
      <c r="G543" s="6"/>
      <c r="L543" s="6"/>
      <c r="P543" s="6"/>
      <c r="Q543" s="6"/>
    </row>
    <row r="544" ht="15.75" customHeight="1">
      <c r="B544" s="6"/>
      <c r="F544" s="6"/>
      <c r="G544" s="6"/>
      <c r="L544" s="6"/>
      <c r="P544" s="6"/>
      <c r="Q544" s="6"/>
    </row>
    <row r="545" ht="15.75" customHeight="1">
      <c r="B545" s="6"/>
      <c r="F545" s="6"/>
      <c r="G545" s="6"/>
      <c r="L545" s="6"/>
      <c r="P545" s="6"/>
      <c r="Q545" s="6"/>
    </row>
    <row r="546" ht="15.75" customHeight="1">
      <c r="B546" s="6"/>
      <c r="F546" s="6"/>
      <c r="G546" s="6"/>
      <c r="L546" s="6"/>
      <c r="P546" s="6"/>
      <c r="Q546" s="6"/>
    </row>
    <row r="547" ht="15.75" customHeight="1">
      <c r="B547" s="6"/>
      <c r="F547" s="6"/>
      <c r="G547" s="6"/>
      <c r="L547" s="6"/>
      <c r="P547" s="6"/>
      <c r="Q547" s="6"/>
    </row>
    <row r="548" ht="15.75" customHeight="1">
      <c r="B548" s="6"/>
      <c r="F548" s="6"/>
      <c r="G548" s="6"/>
      <c r="L548" s="6"/>
      <c r="P548" s="6"/>
      <c r="Q548" s="6"/>
    </row>
    <row r="549" ht="15.75" customHeight="1">
      <c r="B549" s="6"/>
      <c r="F549" s="6"/>
      <c r="G549" s="6"/>
      <c r="L549" s="6"/>
      <c r="P549" s="6"/>
      <c r="Q549" s="6"/>
    </row>
    <row r="550" ht="15.75" customHeight="1">
      <c r="B550" s="6"/>
      <c r="F550" s="6"/>
      <c r="G550" s="6"/>
      <c r="L550" s="6"/>
      <c r="P550" s="6"/>
      <c r="Q550" s="6"/>
    </row>
    <row r="551" ht="15.75" customHeight="1">
      <c r="B551" s="6"/>
      <c r="F551" s="6"/>
      <c r="G551" s="6"/>
      <c r="L551" s="6"/>
      <c r="P551" s="6"/>
      <c r="Q551" s="6"/>
    </row>
    <row r="552" ht="15.75" customHeight="1">
      <c r="B552" s="6"/>
      <c r="F552" s="6"/>
      <c r="G552" s="6"/>
      <c r="L552" s="6"/>
      <c r="P552" s="6"/>
      <c r="Q552" s="6"/>
    </row>
    <row r="553" ht="15.75" customHeight="1">
      <c r="B553" s="6"/>
      <c r="F553" s="6"/>
      <c r="G553" s="6"/>
      <c r="L553" s="6"/>
      <c r="P553" s="6"/>
      <c r="Q553" s="6"/>
    </row>
    <row r="554" ht="15.75" customHeight="1">
      <c r="B554" s="6"/>
      <c r="F554" s="6"/>
      <c r="G554" s="6"/>
      <c r="L554" s="6"/>
      <c r="P554" s="6"/>
      <c r="Q554" s="6"/>
    </row>
    <row r="555" ht="15.75" customHeight="1">
      <c r="B555" s="6"/>
      <c r="F555" s="6"/>
      <c r="G555" s="6"/>
      <c r="L555" s="6"/>
      <c r="P555" s="6"/>
      <c r="Q555" s="6"/>
    </row>
    <row r="556" ht="15.75" customHeight="1">
      <c r="B556" s="6"/>
      <c r="F556" s="6"/>
      <c r="G556" s="6"/>
      <c r="L556" s="6"/>
      <c r="P556" s="6"/>
      <c r="Q556" s="6"/>
    </row>
    <row r="557" ht="15.75" customHeight="1">
      <c r="B557" s="6"/>
      <c r="F557" s="6"/>
      <c r="G557" s="6"/>
      <c r="L557" s="6"/>
      <c r="P557" s="6"/>
      <c r="Q557" s="6"/>
    </row>
    <row r="558" ht="15.75" customHeight="1">
      <c r="B558" s="6"/>
      <c r="F558" s="6"/>
      <c r="G558" s="6"/>
      <c r="L558" s="6"/>
      <c r="P558" s="6"/>
      <c r="Q558" s="6"/>
    </row>
    <row r="559" ht="15.75" customHeight="1">
      <c r="B559" s="6"/>
      <c r="F559" s="6"/>
      <c r="G559" s="6"/>
      <c r="L559" s="6"/>
      <c r="P559" s="6"/>
      <c r="Q559" s="6"/>
    </row>
    <row r="560" ht="15.75" customHeight="1">
      <c r="B560" s="6"/>
      <c r="F560" s="6"/>
      <c r="G560" s="6"/>
      <c r="L560" s="6"/>
      <c r="P560" s="6"/>
      <c r="Q560" s="6"/>
    </row>
    <row r="561" ht="15.75" customHeight="1">
      <c r="B561" s="6"/>
      <c r="F561" s="6"/>
      <c r="G561" s="6"/>
      <c r="L561" s="6"/>
      <c r="P561" s="6"/>
      <c r="Q561" s="6"/>
    </row>
    <row r="562" ht="15.75" customHeight="1">
      <c r="B562" s="6"/>
      <c r="F562" s="6"/>
      <c r="G562" s="6"/>
      <c r="L562" s="6"/>
      <c r="P562" s="6"/>
      <c r="Q562" s="6"/>
    </row>
    <row r="563" ht="15.75" customHeight="1">
      <c r="B563" s="6"/>
      <c r="F563" s="6"/>
      <c r="G563" s="6"/>
      <c r="L563" s="6"/>
      <c r="P563" s="6"/>
      <c r="Q563" s="6"/>
    </row>
    <row r="564" ht="15.75" customHeight="1">
      <c r="B564" s="6"/>
      <c r="F564" s="6"/>
      <c r="G564" s="6"/>
      <c r="L564" s="6"/>
      <c r="P564" s="6"/>
      <c r="Q564" s="6"/>
    </row>
    <row r="565" ht="15.75" customHeight="1">
      <c r="B565" s="6"/>
      <c r="F565" s="6"/>
      <c r="G565" s="6"/>
      <c r="L565" s="6"/>
      <c r="P565" s="6"/>
      <c r="Q565" s="6"/>
    </row>
    <row r="566" ht="15.75" customHeight="1">
      <c r="B566" s="6"/>
      <c r="F566" s="6"/>
      <c r="G566" s="6"/>
      <c r="L566" s="6"/>
      <c r="P566" s="6"/>
      <c r="Q566" s="6"/>
    </row>
    <row r="567" ht="15.75" customHeight="1">
      <c r="B567" s="6"/>
      <c r="F567" s="6"/>
      <c r="G567" s="6"/>
      <c r="L567" s="6"/>
      <c r="P567" s="6"/>
      <c r="Q567" s="6"/>
    </row>
    <row r="568" ht="15.75" customHeight="1">
      <c r="B568" s="6"/>
      <c r="F568" s="6"/>
      <c r="G568" s="6"/>
      <c r="L568" s="6"/>
      <c r="P568" s="6"/>
      <c r="Q568" s="6"/>
    </row>
    <row r="569" ht="15.75" customHeight="1">
      <c r="B569" s="6"/>
      <c r="F569" s="6"/>
      <c r="G569" s="6"/>
      <c r="L569" s="6"/>
      <c r="P569" s="6"/>
      <c r="Q569" s="6"/>
    </row>
    <row r="570" ht="15.75" customHeight="1">
      <c r="B570" s="6"/>
      <c r="F570" s="6"/>
      <c r="G570" s="6"/>
      <c r="L570" s="6"/>
      <c r="P570" s="6"/>
      <c r="Q570" s="6"/>
    </row>
    <row r="571" ht="15.75" customHeight="1">
      <c r="B571" s="6"/>
      <c r="F571" s="6"/>
      <c r="G571" s="6"/>
      <c r="L571" s="6"/>
      <c r="P571" s="6"/>
      <c r="Q571" s="6"/>
    </row>
    <row r="572" ht="15.75" customHeight="1">
      <c r="B572" s="6"/>
      <c r="F572" s="6"/>
      <c r="G572" s="6"/>
      <c r="L572" s="6"/>
      <c r="P572" s="6"/>
      <c r="Q572" s="6"/>
    </row>
    <row r="573" ht="15.75" customHeight="1">
      <c r="B573" s="6"/>
      <c r="F573" s="6"/>
      <c r="G573" s="6"/>
      <c r="L573" s="6"/>
      <c r="P573" s="6"/>
      <c r="Q573" s="6"/>
    </row>
    <row r="574" ht="15.75" customHeight="1">
      <c r="B574" s="6"/>
      <c r="F574" s="6"/>
      <c r="G574" s="6"/>
      <c r="L574" s="6"/>
      <c r="P574" s="6"/>
      <c r="Q574" s="6"/>
    </row>
    <row r="575" ht="15.75" customHeight="1">
      <c r="B575" s="6"/>
      <c r="F575" s="6"/>
      <c r="G575" s="6"/>
      <c r="L575" s="6"/>
      <c r="P575" s="6"/>
      <c r="Q575" s="6"/>
    </row>
    <row r="576" ht="15.75" customHeight="1">
      <c r="B576" s="6"/>
      <c r="F576" s="6"/>
      <c r="G576" s="6"/>
      <c r="L576" s="6"/>
      <c r="P576" s="6"/>
      <c r="Q576" s="6"/>
    </row>
    <row r="577" ht="15.75" customHeight="1">
      <c r="B577" s="6"/>
      <c r="F577" s="6"/>
      <c r="G577" s="6"/>
      <c r="L577" s="6"/>
      <c r="P577" s="6"/>
      <c r="Q577" s="6"/>
    </row>
    <row r="578" ht="15.75" customHeight="1">
      <c r="B578" s="6"/>
      <c r="F578" s="6"/>
      <c r="G578" s="6"/>
      <c r="L578" s="6"/>
      <c r="P578" s="6"/>
      <c r="Q578" s="6"/>
    </row>
    <row r="579" ht="15.75" customHeight="1">
      <c r="B579" s="6"/>
      <c r="F579" s="6"/>
      <c r="G579" s="6"/>
      <c r="L579" s="6"/>
      <c r="P579" s="6"/>
      <c r="Q579" s="6"/>
    </row>
    <row r="580" ht="15.75" customHeight="1">
      <c r="B580" s="6"/>
      <c r="F580" s="6"/>
      <c r="G580" s="6"/>
      <c r="L580" s="6"/>
      <c r="P580" s="6"/>
      <c r="Q580" s="6"/>
    </row>
    <row r="581" ht="15.75" customHeight="1">
      <c r="B581" s="6"/>
      <c r="F581" s="6"/>
      <c r="G581" s="6"/>
      <c r="L581" s="6"/>
      <c r="P581" s="6"/>
      <c r="Q581" s="6"/>
    </row>
    <row r="582" ht="15.75" customHeight="1">
      <c r="B582" s="6"/>
      <c r="F582" s="6"/>
      <c r="G582" s="6"/>
      <c r="L582" s="6"/>
      <c r="P582" s="6"/>
      <c r="Q582" s="6"/>
    </row>
    <row r="583" ht="15.75" customHeight="1">
      <c r="B583" s="6"/>
      <c r="F583" s="6"/>
      <c r="G583" s="6"/>
      <c r="L583" s="6"/>
      <c r="P583" s="6"/>
      <c r="Q583" s="6"/>
    </row>
    <row r="584" ht="15.75" customHeight="1">
      <c r="B584" s="6"/>
      <c r="F584" s="6"/>
      <c r="G584" s="6"/>
      <c r="L584" s="6"/>
      <c r="P584" s="6"/>
      <c r="Q584" s="6"/>
    </row>
    <row r="585" ht="15.75" customHeight="1">
      <c r="B585" s="6"/>
      <c r="F585" s="6"/>
      <c r="G585" s="6"/>
      <c r="L585" s="6"/>
      <c r="P585" s="6"/>
      <c r="Q585" s="6"/>
    </row>
    <row r="586" ht="15.75" customHeight="1">
      <c r="B586" s="6"/>
      <c r="F586" s="6"/>
      <c r="G586" s="6"/>
      <c r="L586" s="6"/>
      <c r="P586" s="6"/>
      <c r="Q586" s="6"/>
    </row>
    <row r="587" ht="15.75" customHeight="1">
      <c r="B587" s="6"/>
      <c r="F587" s="6"/>
      <c r="G587" s="6"/>
      <c r="L587" s="6"/>
      <c r="P587" s="6"/>
      <c r="Q587" s="6"/>
    </row>
    <row r="588" ht="15.75" customHeight="1">
      <c r="B588" s="6"/>
      <c r="F588" s="6"/>
      <c r="G588" s="6"/>
      <c r="L588" s="6"/>
      <c r="P588" s="6"/>
      <c r="Q588" s="6"/>
    </row>
    <row r="589" ht="15.75" customHeight="1">
      <c r="B589" s="6"/>
      <c r="F589" s="6"/>
      <c r="G589" s="6"/>
      <c r="L589" s="6"/>
      <c r="P589" s="6"/>
      <c r="Q589" s="6"/>
    </row>
    <row r="590" ht="15.75" customHeight="1">
      <c r="B590" s="6"/>
      <c r="F590" s="6"/>
      <c r="G590" s="6"/>
      <c r="L590" s="6"/>
      <c r="P590" s="6"/>
      <c r="Q590" s="6"/>
    </row>
    <row r="591" ht="15.75" customHeight="1">
      <c r="B591" s="6"/>
      <c r="F591" s="6"/>
      <c r="G591" s="6"/>
      <c r="L591" s="6"/>
      <c r="P591" s="6"/>
      <c r="Q591" s="6"/>
    </row>
    <row r="592" ht="15.75" customHeight="1">
      <c r="B592" s="6"/>
      <c r="F592" s="6"/>
      <c r="G592" s="6"/>
      <c r="L592" s="6"/>
      <c r="P592" s="6"/>
      <c r="Q592" s="6"/>
    </row>
    <row r="593" ht="15.75" customHeight="1">
      <c r="B593" s="6"/>
      <c r="F593" s="6"/>
      <c r="G593" s="6"/>
      <c r="L593" s="6"/>
      <c r="P593" s="6"/>
      <c r="Q593" s="6"/>
    </row>
    <row r="594" ht="15.75" customHeight="1">
      <c r="B594" s="6"/>
      <c r="F594" s="6"/>
      <c r="G594" s="6"/>
      <c r="L594" s="6"/>
      <c r="P594" s="6"/>
      <c r="Q594" s="6"/>
    </row>
    <row r="595" ht="15.75" customHeight="1">
      <c r="B595" s="6"/>
      <c r="F595" s="6"/>
      <c r="G595" s="6"/>
      <c r="L595" s="6"/>
      <c r="P595" s="6"/>
      <c r="Q595" s="6"/>
    </row>
    <row r="596" ht="15.75" customHeight="1">
      <c r="B596" s="6"/>
      <c r="F596" s="6"/>
      <c r="G596" s="6"/>
      <c r="L596" s="6"/>
      <c r="P596" s="6"/>
      <c r="Q596" s="6"/>
    </row>
    <row r="597" ht="15.75" customHeight="1">
      <c r="B597" s="6"/>
      <c r="F597" s="6"/>
      <c r="G597" s="6"/>
      <c r="L597" s="6"/>
      <c r="P597" s="6"/>
      <c r="Q597" s="6"/>
    </row>
    <row r="598" ht="15.75" customHeight="1">
      <c r="B598" s="6"/>
      <c r="F598" s="6"/>
      <c r="G598" s="6"/>
      <c r="L598" s="6"/>
      <c r="P598" s="6"/>
      <c r="Q598" s="6"/>
    </row>
    <row r="599" ht="15.75" customHeight="1">
      <c r="B599" s="6"/>
      <c r="F599" s="6"/>
      <c r="G599" s="6"/>
      <c r="L599" s="6"/>
      <c r="P599" s="6"/>
      <c r="Q599" s="6"/>
    </row>
    <row r="600" ht="15.75" customHeight="1">
      <c r="B600" s="6"/>
      <c r="F600" s="6"/>
      <c r="G600" s="6"/>
      <c r="L600" s="6"/>
      <c r="P600" s="6"/>
      <c r="Q600" s="6"/>
    </row>
    <row r="601" ht="15.75" customHeight="1">
      <c r="B601" s="6"/>
      <c r="F601" s="6"/>
      <c r="G601" s="6"/>
      <c r="L601" s="6"/>
      <c r="P601" s="6"/>
      <c r="Q601" s="6"/>
    </row>
    <row r="602" ht="15.75" customHeight="1">
      <c r="B602" s="6"/>
      <c r="F602" s="6"/>
      <c r="G602" s="6"/>
      <c r="L602" s="6"/>
      <c r="P602" s="6"/>
      <c r="Q602" s="6"/>
    </row>
    <row r="603" ht="15.75" customHeight="1">
      <c r="B603" s="6"/>
      <c r="F603" s="6"/>
      <c r="G603" s="6"/>
      <c r="L603" s="6"/>
      <c r="P603" s="6"/>
      <c r="Q603" s="6"/>
    </row>
    <row r="604" ht="15.75" customHeight="1">
      <c r="B604" s="6"/>
      <c r="F604" s="6"/>
      <c r="G604" s="6"/>
      <c r="L604" s="6"/>
      <c r="P604" s="6"/>
      <c r="Q604" s="6"/>
    </row>
    <row r="605" ht="15.75" customHeight="1">
      <c r="B605" s="6"/>
      <c r="F605" s="6"/>
      <c r="G605" s="6"/>
      <c r="L605" s="6"/>
      <c r="P605" s="6"/>
      <c r="Q605" s="6"/>
    </row>
    <row r="606" ht="15.75" customHeight="1">
      <c r="B606" s="6"/>
      <c r="F606" s="6"/>
      <c r="G606" s="6"/>
      <c r="L606" s="6"/>
      <c r="P606" s="6"/>
      <c r="Q606" s="6"/>
    </row>
    <row r="607" ht="15.75" customHeight="1">
      <c r="B607" s="6"/>
      <c r="F607" s="6"/>
      <c r="G607" s="6"/>
      <c r="L607" s="6"/>
      <c r="P607" s="6"/>
      <c r="Q607" s="6"/>
    </row>
    <row r="608" ht="15.75" customHeight="1">
      <c r="B608" s="6"/>
      <c r="F608" s="6"/>
      <c r="G608" s="6"/>
      <c r="L608" s="6"/>
      <c r="P608" s="6"/>
      <c r="Q608" s="6"/>
    </row>
    <row r="609" ht="15.75" customHeight="1">
      <c r="B609" s="6"/>
      <c r="F609" s="6"/>
      <c r="G609" s="6"/>
      <c r="L609" s="6"/>
      <c r="P609" s="6"/>
      <c r="Q609" s="6"/>
    </row>
    <row r="610" ht="15.75" customHeight="1">
      <c r="B610" s="6"/>
      <c r="F610" s="6"/>
      <c r="G610" s="6"/>
      <c r="L610" s="6"/>
      <c r="P610" s="6"/>
      <c r="Q610" s="6"/>
    </row>
    <row r="611" ht="15.75" customHeight="1">
      <c r="B611" s="6"/>
      <c r="F611" s="6"/>
      <c r="G611" s="6"/>
      <c r="L611" s="6"/>
      <c r="P611" s="6"/>
      <c r="Q611" s="6"/>
    </row>
    <row r="612" ht="15.75" customHeight="1">
      <c r="B612" s="6"/>
      <c r="F612" s="6"/>
      <c r="G612" s="6"/>
      <c r="L612" s="6"/>
      <c r="P612" s="6"/>
      <c r="Q612" s="6"/>
    </row>
    <row r="613" ht="15.75" customHeight="1">
      <c r="B613" s="6"/>
      <c r="F613" s="6"/>
      <c r="G613" s="6"/>
      <c r="L613" s="6"/>
      <c r="P613" s="6"/>
      <c r="Q613" s="6"/>
    </row>
    <row r="614" ht="15.75" customHeight="1">
      <c r="B614" s="6"/>
      <c r="F614" s="6"/>
      <c r="G614" s="6"/>
      <c r="L614" s="6"/>
      <c r="P614" s="6"/>
      <c r="Q614" s="6"/>
    </row>
    <row r="615" ht="15.75" customHeight="1">
      <c r="B615" s="6"/>
      <c r="F615" s="6"/>
      <c r="G615" s="6"/>
      <c r="L615" s="6"/>
      <c r="P615" s="6"/>
      <c r="Q615" s="6"/>
    </row>
    <row r="616" ht="15.75" customHeight="1">
      <c r="B616" s="6"/>
      <c r="F616" s="6"/>
      <c r="G616" s="6"/>
      <c r="L616" s="6"/>
      <c r="P616" s="6"/>
      <c r="Q616" s="6"/>
    </row>
    <row r="617" ht="15.75" customHeight="1">
      <c r="B617" s="6"/>
      <c r="F617" s="6"/>
      <c r="G617" s="6"/>
      <c r="L617" s="6"/>
      <c r="P617" s="6"/>
      <c r="Q617" s="6"/>
    </row>
    <row r="618" ht="15.75" customHeight="1">
      <c r="B618" s="6"/>
      <c r="F618" s="6"/>
      <c r="G618" s="6"/>
      <c r="L618" s="6"/>
      <c r="P618" s="6"/>
      <c r="Q618" s="6"/>
    </row>
    <row r="619" ht="15.75" customHeight="1">
      <c r="B619" s="6"/>
      <c r="F619" s="6"/>
      <c r="G619" s="6"/>
      <c r="L619" s="6"/>
      <c r="P619" s="6"/>
      <c r="Q619" s="6"/>
    </row>
    <row r="620" ht="15.75" customHeight="1">
      <c r="B620" s="6"/>
      <c r="F620" s="6"/>
      <c r="G620" s="6"/>
      <c r="L620" s="6"/>
      <c r="P620" s="6"/>
      <c r="Q620" s="6"/>
    </row>
    <row r="621" ht="15.75" customHeight="1">
      <c r="B621" s="6"/>
      <c r="F621" s="6"/>
      <c r="G621" s="6"/>
      <c r="L621" s="6"/>
      <c r="P621" s="6"/>
      <c r="Q621" s="6"/>
    </row>
    <row r="622" ht="15.75" customHeight="1">
      <c r="B622" s="6"/>
      <c r="F622" s="6"/>
      <c r="G622" s="6"/>
      <c r="L622" s="6"/>
      <c r="P622" s="6"/>
      <c r="Q622" s="6"/>
    </row>
    <row r="623" ht="15.75" customHeight="1">
      <c r="B623" s="6"/>
      <c r="F623" s="6"/>
      <c r="G623" s="6"/>
      <c r="L623" s="6"/>
      <c r="P623" s="6"/>
      <c r="Q623" s="6"/>
    </row>
    <row r="624" ht="15.75" customHeight="1">
      <c r="B624" s="6"/>
      <c r="F624" s="6"/>
      <c r="G624" s="6"/>
      <c r="L624" s="6"/>
      <c r="P624" s="6"/>
      <c r="Q624" s="6"/>
    </row>
    <row r="625" ht="15.75" customHeight="1">
      <c r="B625" s="6"/>
      <c r="F625" s="6"/>
      <c r="G625" s="6"/>
      <c r="L625" s="6"/>
      <c r="P625" s="6"/>
      <c r="Q625" s="6"/>
    </row>
    <row r="626" ht="15.75" customHeight="1">
      <c r="B626" s="6"/>
      <c r="F626" s="6"/>
      <c r="G626" s="6"/>
      <c r="L626" s="6"/>
      <c r="P626" s="6"/>
      <c r="Q626" s="6"/>
    </row>
    <row r="627" ht="15.75" customHeight="1">
      <c r="B627" s="6"/>
      <c r="F627" s="6"/>
      <c r="G627" s="6"/>
      <c r="L627" s="6"/>
      <c r="P627" s="6"/>
      <c r="Q627" s="6"/>
    </row>
    <row r="628" ht="15.75" customHeight="1">
      <c r="B628" s="6"/>
      <c r="F628" s="6"/>
      <c r="G628" s="6"/>
      <c r="L628" s="6"/>
      <c r="P628" s="6"/>
      <c r="Q628" s="6"/>
    </row>
    <row r="629" ht="15.75" customHeight="1">
      <c r="B629" s="6"/>
      <c r="F629" s="6"/>
      <c r="G629" s="6"/>
      <c r="L629" s="6"/>
      <c r="P629" s="6"/>
      <c r="Q629" s="6"/>
    </row>
    <row r="630" ht="15.75" customHeight="1">
      <c r="B630" s="6"/>
      <c r="F630" s="6"/>
      <c r="G630" s="6"/>
      <c r="L630" s="6"/>
      <c r="P630" s="6"/>
      <c r="Q630" s="6"/>
    </row>
    <row r="631" ht="15.75" customHeight="1">
      <c r="B631" s="6"/>
      <c r="F631" s="6"/>
      <c r="G631" s="6"/>
      <c r="L631" s="6"/>
      <c r="P631" s="6"/>
      <c r="Q631" s="6"/>
    </row>
    <row r="632" ht="15.75" customHeight="1">
      <c r="B632" s="6"/>
      <c r="F632" s="6"/>
      <c r="G632" s="6"/>
      <c r="L632" s="6"/>
      <c r="P632" s="6"/>
      <c r="Q632" s="6"/>
    </row>
    <row r="633" ht="15.75" customHeight="1">
      <c r="B633" s="6"/>
      <c r="F633" s="6"/>
      <c r="G633" s="6"/>
      <c r="L633" s="6"/>
      <c r="P633" s="6"/>
      <c r="Q633" s="6"/>
    </row>
    <row r="634" ht="15.75" customHeight="1">
      <c r="B634" s="6"/>
      <c r="F634" s="6"/>
      <c r="G634" s="6"/>
      <c r="L634" s="6"/>
      <c r="P634" s="6"/>
      <c r="Q634" s="6"/>
    </row>
    <row r="635" ht="15.75" customHeight="1">
      <c r="B635" s="6"/>
      <c r="F635" s="6"/>
      <c r="G635" s="6"/>
      <c r="L635" s="6"/>
      <c r="P635" s="6"/>
      <c r="Q635" s="6"/>
    </row>
    <row r="636" ht="15.75" customHeight="1">
      <c r="B636" s="6"/>
      <c r="F636" s="6"/>
      <c r="G636" s="6"/>
      <c r="L636" s="6"/>
      <c r="P636" s="6"/>
      <c r="Q636" s="6"/>
    </row>
    <row r="637" ht="15.75" customHeight="1">
      <c r="B637" s="6"/>
      <c r="F637" s="6"/>
      <c r="G637" s="6"/>
      <c r="L637" s="6"/>
      <c r="P637" s="6"/>
      <c r="Q637" s="6"/>
    </row>
    <row r="638" ht="15.75" customHeight="1">
      <c r="B638" s="6"/>
      <c r="F638" s="6"/>
      <c r="G638" s="6"/>
      <c r="L638" s="6"/>
      <c r="P638" s="6"/>
      <c r="Q638" s="6"/>
    </row>
    <row r="639" ht="15.75" customHeight="1">
      <c r="B639" s="6"/>
      <c r="F639" s="6"/>
      <c r="G639" s="6"/>
      <c r="L639" s="6"/>
      <c r="P639" s="6"/>
      <c r="Q639" s="6"/>
    </row>
    <row r="640" ht="15.75" customHeight="1">
      <c r="B640" s="6"/>
      <c r="F640" s="6"/>
      <c r="G640" s="6"/>
      <c r="L640" s="6"/>
      <c r="P640" s="6"/>
      <c r="Q640" s="6"/>
    </row>
    <row r="641" ht="15.75" customHeight="1">
      <c r="B641" s="6"/>
      <c r="F641" s="6"/>
      <c r="G641" s="6"/>
      <c r="L641" s="6"/>
      <c r="P641" s="6"/>
      <c r="Q641" s="6"/>
    </row>
    <row r="642" ht="15.75" customHeight="1">
      <c r="B642" s="6"/>
      <c r="F642" s="6"/>
      <c r="G642" s="6"/>
      <c r="L642" s="6"/>
      <c r="P642" s="6"/>
      <c r="Q642" s="6"/>
    </row>
    <row r="643" ht="15.75" customHeight="1">
      <c r="B643" s="6"/>
      <c r="F643" s="6"/>
      <c r="G643" s="6"/>
      <c r="L643" s="6"/>
      <c r="P643" s="6"/>
      <c r="Q643" s="6"/>
    </row>
    <row r="644" ht="15.75" customHeight="1">
      <c r="B644" s="6"/>
      <c r="F644" s="6"/>
      <c r="G644" s="6"/>
      <c r="L644" s="6"/>
      <c r="P644" s="6"/>
      <c r="Q644" s="6"/>
    </row>
    <row r="645" ht="15.75" customHeight="1">
      <c r="B645" s="6"/>
      <c r="F645" s="6"/>
      <c r="G645" s="6"/>
      <c r="L645" s="6"/>
      <c r="P645" s="6"/>
      <c r="Q645" s="6"/>
    </row>
    <row r="646" ht="15.75" customHeight="1">
      <c r="B646" s="6"/>
      <c r="F646" s="6"/>
      <c r="G646" s="6"/>
      <c r="L646" s="6"/>
      <c r="P646" s="6"/>
      <c r="Q646" s="6"/>
    </row>
    <row r="647" ht="15.75" customHeight="1">
      <c r="B647" s="6"/>
      <c r="F647" s="6"/>
      <c r="G647" s="6"/>
      <c r="L647" s="6"/>
      <c r="P647" s="6"/>
      <c r="Q647" s="6"/>
    </row>
    <row r="648" ht="15.75" customHeight="1">
      <c r="B648" s="6"/>
      <c r="F648" s="6"/>
      <c r="G648" s="6"/>
      <c r="L648" s="6"/>
      <c r="P648" s="6"/>
      <c r="Q648" s="6"/>
    </row>
    <row r="649" ht="15.75" customHeight="1">
      <c r="B649" s="6"/>
      <c r="F649" s="6"/>
      <c r="G649" s="6"/>
      <c r="L649" s="6"/>
      <c r="P649" s="6"/>
      <c r="Q649" s="6"/>
    </row>
    <row r="650" ht="15.75" customHeight="1">
      <c r="B650" s="6"/>
      <c r="F650" s="6"/>
      <c r="G650" s="6"/>
      <c r="L650" s="6"/>
      <c r="P650" s="6"/>
      <c r="Q650" s="6"/>
    </row>
    <row r="651" ht="15.75" customHeight="1">
      <c r="B651" s="6"/>
      <c r="F651" s="6"/>
      <c r="G651" s="6"/>
      <c r="L651" s="6"/>
      <c r="P651" s="6"/>
      <c r="Q651" s="6"/>
    </row>
    <row r="652" ht="15.75" customHeight="1">
      <c r="B652" s="6"/>
      <c r="F652" s="6"/>
      <c r="G652" s="6"/>
      <c r="L652" s="6"/>
      <c r="P652" s="6"/>
      <c r="Q652" s="6"/>
    </row>
    <row r="653" ht="15.75" customHeight="1">
      <c r="B653" s="6"/>
      <c r="F653" s="6"/>
      <c r="G653" s="6"/>
      <c r="L653" s="6"/>
      <c r="P653" s="6"/>
      <c r="Q653" s="6"/>
    </row>
    <row r="654" ht="15.75" customHeight="1">
      <c r="B654" s="6"/>
      <c r="F654" s="6"/>
      <c r="G654" s="6"/>
      <c r="L654" s="6"/>
      <c r="P654" s="6"/>
      <c r="Q654" s="6"/>
    </row>
    <row r="655" ht="15.75" customHeight="1">
      <c r="B655" s="6"/>
      <c r="F655" s="6"/>
      <c r="G655" s="6"/>
      <c r="L655" s="6"/>
      <c r="P655" s="6"/>
      <c r="Q655" s="6"/>
    </row>
    <row r="656" ht="15.75" customHeight="1">
      <c r="B656" s="6"/>
      <c r="F656" s="6"/>
      <c r="G656" s="6"/>
      <c r="L656" s="6"/>
      <c r="P656" s="6"/>
      <c r="Q656" s="6"/>
    </row>
    <row r="657" ht="15.75" customHeight="1">
      <c r="B657" s="6"/>
      <c r="F657" s="6"/>
      <c r="G657" s="6"/>
      <c r="L657" s="6"/>
      <c r="P657" s="6"/>
      <c r="Q657" s="6"/>
    </row>
    <row r="658" ht="15.75" customHeight="1">
      <c r="B658" s="6"/>
      <c r="F658" s="6"/>
      <c r="G658" s="6"/>
      <c r="L658" s="6"/>
      <c r="P658" s="6"/>
      <c r="Q658" s="6"/>
    </row>
    <row r="659" ht="15.75" customHeight="1">
      <c r="B659" s="6"/>
      <c r="F659" s="6"/>
      <c r="G659" s="6"/>
      <c r="L659" s="6"/>
      <c r="P659" s="6"/>
      <c r="Q659" s="6"/>
    </row>
    <row r="660" ht="15.75" customHeight="1">
      <c r="B660" s="6"/>
      <c r="F660" s="6"/>
      <c r="G660" s="6"/>
      <c r="L660" s="6"/>
      <c r="P660" s="6"/>
      <c r="Q660" s="6"/>
    </row>
    <row r="661" ht="15.75" customHeight="1">
      <c r="B661" s="6"/>
      <c r="F661" s="6"/>
      <c r="G661" s="6"/>
      <c r="L661" s="6"/>
      <c r="P661" s="6"/>
      <c r="Q661" s="6"/>
    </row>
    <row r="662" ht="15.75" customHeight="1">
      <c r="B662" s="6"/>
      <c r="F662" s="6"/>
      <c r="G662" s="6"/>
      <c r="L662" s="6"/>
      <c r="P662" s="6"/>
      <c r="Q662" s="6"/>
    </row>
    <row r="663" ht="15.75" customHeight="1">
      <c r="B663" s="6"/>
      <c r="F663" s="6"/>
      <c r="G663" s="6"/>
      <c r="L663" s="6"/>
      <c r="P663" s="6"/>
      <c r="Q663" s="6"/>
    </row>
    <row r="664" ht="15.75" customHeight="1">
      <c r="B664" s="6"/>
      <c r="F664" s="6"/>
      <c r="G664" s="6"/>
      <c r="L664" s="6"/>
      <c r="P664" s="6"/>
      <c r="Q664" s="6"/>
    </row>
    <row r="665" ht="15.75" customHeight="1">
      <c r="B665" s="6"/>
      <c r="F665" s="6"/>
      <c r="G665" s="6"/>
      <c r="L665" s="6"/>
      <c r="P665" s="6"/>
      <c r="Q665" s="6"/>
    </row>
    <row r="666" ht="15.75" customHeight="1">
      <c r="B666" s="6"/>
      <c r="F666" s="6"/>
      <c r="G666" s="6"/>
      <c r="L666" s="6"/>
      <c r="P666" s="6"/>
      <c r="Q666" s="6"/>
    </row>
    <row r="667" ht="15.75" customHeight="1">
      <c r="B667" s="6"/>
      <c r="F667" s="6"/>
      <c r="G667" s="6"/>
      <c r="L667" s="6"/>
      <c r="P667" s="6"/>
      <c r="Q667" s="6"/>
    </row>
    <row r="668" ht="15.75" customHeight="1">
      <c r="B668" s="6"/>
      <c r="F668" s="6"/>
      <c r="G668" s="6"/>
      <c r="L668" s="6"/>
      <c r="P668" s="6"/>
      <c r="Q668" s="6"/>
    </row>
    <row r="669" ht="15.75" customHeight="1">
      <c r="B669" s="6"/>
      <c r="F669" s="6"/>
      <c r="G669" s="6"/>
      <c r="L669" s="6"/>
      <c r="P669" s="6"/>
      <c r="Q669" s="6"/>
    </row>
    <row r="670" ht="15.75" customHeight="1">
      <c r="B670" s="6"/>
      <c r="F670" s="6"/>
      <c r="G670" s="6"/>
      <c r="L670" s="6"/>
      <c r="P670" s="6"/>
      <c r="Q670" s="6"/>
    </row>
    <row r="671" ht="15.75" customHeight="1">
      <c r="B671" s="6"/>
      <c r="F671" s="6"/>
      <c r="G671" s="6"/>
      <c r="L671" s="6"/>
      <c r="P671" s="6"/>
      <c r="Q671" s="6"/>
    </row>
    <row r="672" ht="15.75" customHeight="1">
      <c r="B672" s="6"/>
      <c r="F672" s="6"/>
      <c r="G672" s="6"/>
      <c r="L672" s="6"/>
      <c r="P672" s="6"/>
      <c r="Q672" s="6"/>
    </row>
    <row r="673" ht="15.75" customHeight="1">
      <c r="B673" s="6"/>
      <c r="F673" s="6"/>
      <c r="G673" s="6"/>
      <c r="L673" s="6"/>
      <c r="P673" s="6"/>
      <c r="Q673" s="6"/>
    </row>
    <row r="674" ht="15.75" customHeight="1">
      <c r="B674" s="6"/>
      <c r="F674" s="6"/>
      <c r="G674" s="6"/>
      <c r="L674" s="6"/>
      <c r="P674" s="6"/>
      <c r="Q674" s="6"/>
    </row>
    <row r="675" ht="15.75" customHeight="1">
      <c r="B675" s="6"/>
      <c r="F675" s="6"/>
      <c r="G675" s="6"/>
      <c r="L675" s="6"/>
      <c r="P675" s="6"/>
      <c r="Q675" s="6"/>
    </row>
    <row r="676" ht="15.75" customHeight="1">
      <c r="B676" s="6"/>
      <c r="F676" s="6"/>
      <c r="G676" s="6"/>
      <c r="L676" s="6"/>
      <c r="P676" s="6"/>
      <c r="Q676" s="6"/>
    </row>
    <row r="677" ht="15.75" customHeight="1">
      <c r="B677" s="6"/>
      <c r="F677" s="6"/>
      <c r="G677" s="6"/>
      <c r="L677" s="6"/>
      <c r="P677" s="6"/>
      <c r="Q677" s="6"/>
    </row>
    <row r="678" ht="15.75" customHeight="1">
      <c r="B678" s="6"/>
      <c r="F678" s="6"/>
      <c r="G678" s="6"/>
      <c r="L678" s="6"/>
      <c r="P678" s="6"/>
      <c r="Q678" s="6"/>
    </row>
    <row r="679" ht="15.75" customHeight="1">
      <c r="B679" s="6"/>
      <c r="F679" s="6"/>
      <c r="G679" s="6"/>
      <c r="L679" s="6"/>
      <c r="P679" s="6"/>
      <c r="Q679" s="6"/>
    </row>
    <row r="680" ht="15.75" customHeight="1">
      <c r="B680" s="6"/>
      <c r="F680" s="6"/>
      <c r="G680" s="6"/>
      <c r="L680" s="6"/>
      <c r="P680" s="6"/>
      <c r="Q680" s="6"/>
    </row>
    <row r="681" ht="15.75" customHeight="1">
      <c r="B681" s="6"/>
      <c r="F681" s="6"/>
      <c r="G681" s="6"/>
      <c r="L681" s="6"/>
      <c r="P681" s="6"/>
      <c r="Q681" s="6"/>
    </row>
    <row r="682" ht="15.75" customHeight="1">
      <c r="B682" s="6"/>
      <c r="F682" s="6"/>
      <c r="G682" s="6"/>
      <c r="L682" s="6"/>
      <c r="P682" s="6"/>
      <c r="Q682" s="6"/>
    </row>
    <row r="683" ht="15.75" customHeight="1">
      <c r="B683" s="6"/>
      <c r="F683" s="6"/>
      <c r="G683" s="6"/>
      <c r="L683" s="6"/>
      <c r="P683" s="6"/>
      <c r="Q683" s="6"/>
    </row>
    <row r="684" ht="15.75" customHeight="1">
      <c r="B684" s="6"/>
      <c r="F684" s="6"/>
      <c r="G684" s="6"/>
      <c r="L684" s="6"/>
      <c r="P684" s="6"/>
      <c r="Q684" s="6"/>
    </row>
    <row r="685" ht="15.75" customHeight="1">
      <c r="B685" s="6"/>
      <c r="F685" s="6"/>
      <c r="G685" s="6"/>
      <c r="L685" s="6"/>
      <c r="P685" s="6"/>
      <c r="Q685" s="6"/>
    </row>
    <row r="686" ht="15.75" customHeight="1">
      <c r="B686" s="6"/>
      <c r="F686" s="6"/>
      <c r="G686" s="6"/>
      <c r="L686" s="6"/>
      <c r="P686" s="6"/>
      <c r="Q686" s="6"/>
    </row>
    <row r="687" ht="15.75" customHeight="1">
      <c r="B687" s="6"/>
      <c r="F687" s="6"/>
      <c r="G687" s="6"/>
      <c r="L687" s="6"/>
      <c r="P687" s="6"/>
      <c r="Q687" s="6"/>
    </row>
    <row r="688" ht="15.75" customHeight="1">
      <c r="B688" s="6"/>
      <c r="F688" s="6"/>
      <c r="G688" s="6"/>
      <c r="L688" s="6"/>
      <c r="P688" s="6"/>
      <c r="Q688" s="6"/>
    </row>
    <row r="689" ht="15.75" customHeight="1">
      <c r="B689" s="6"/>
      <c r="F689" s="6"/>
      <c r="G689" s="6"/>
      <c r="L689" s="6"/>
      <c r="P689" s="6"/>
      <c r="Q689" s="6"/>
    </row>
    <row r="690" ht="15.75" customHeight="1">
      <c r="B690" s="6"/>
      <c r="F690" s="6"/>
      <c r="G690" s="6"/>
      <c r="L690" s="6"/>
      <c r="P690" s="6"/>
      <c r="Q690" s="6"/>
    </row>
    <row r="691" ht="15.75" customHeight="1">
      <c r="B691" s="6"/>
      <c r="F691" s="6"/>
      <c r="G691" s="6"/>
      <c r="L691" s="6"/>
      <c r="P691" s="6"/>
      <c r="Q691" s="6"/>
    </row>
    <row r="692" ht="15.75" customHeight="1">
      <c r="B692" s="6"/>
      <c r="F692" s="6"/>
      <c r="G692" s="6"/>
      <c r="L692" s="6"/>
      <c r="P692" s="6"/>
      <c r="Q692" s="6"/>
    </row>
    <row r="693" ht="15.75" customHeight="1">
      <c r="B693" s="6"/>
      <c r="F693" s="6"/>
      <c r="G693" s="6"/>
      <c r="L693" s="6"/>
      <c r="P693" s="6"/>
      <c r="Q693" s="6"/>
    </row>
    <row r="694" ht="15.75" customHeight="1">
      <c r="B694" s="6"/>
      <c r="F694" s="6"/>
      <c r="G694" s="6"/>
      <c r="L694" s="6"/>
      <c r="P694" s="6"/>
      <c r="Q694" s="6"/>
    </row>
    <row r="695" ht="15.75" customHeight="1">
      <c r="B695" s="6"/>
      <c r="F695" s="6"/>
      <c r="G695" s="6"/>
      <c r="L695" s="6"/>
      <c r="P695" s="6"/>
      <c r="Q695" s="6"/>
    </row>
    <row r="696" ht="15.75" customHeight="1">
      <c r="B696" s="6"/>
      <c r="F696" s="6"/>
      <c r="G696" s="6"/>
      <c r="L696" s="6"/>
      <c r="P696" s="6"/>
      <c r="Q696" s="6"/>
    </row>
    <row r="697" ht="15.75" customHeight="1">
      <c r="B697" s="6"/>
      <c r="F697" s="6"/>
      <c r="G697" s="6"/>
      <c r="L697" s="6"/>
      <c r="P697" s="6"/>
      <c r="Q697" s="6"/>
    </row>
    <row r="698" ht="15.75" customHeight="1">
      <c r="B698" s="6"/>
      <c r="F698" s="6"/>
      <c r="G698" s="6"/>
      <c r="L698" s="6"/>
      <c r="P698" s="6"/>
      <c r="Q698" s="6"/>
    </row>
    <row r="699" ht="15.75" customHeight="1">
      <c r="B699" s="6"/>
      <c r="F699" s="6"/>
      <c r="G699" s="6"/>
      <c r="L699" s="6"/>
      <c r="P699" s="6"/>
      <c r="Q699" s="6"/>
    </row>
    <row r="700" ht="15.75" customHeight="1">
      <c r="B700" s="6"/>
      <c r="F700" s="6"/>
      <c r="G700" s="6"/>
      <c r="L700" s="6"/>
      <c r="P700" s="6"/>
      <c r="Q700" s="6"/>
    </row>
    <row r="701" ht="15.75" customHeight="1">
      <c r="B701" s="6"/>
      <c r="F701" s="6"/>
      <c r="G701" s="6"/>
      <c r="L701" s="6"/>
      <c r="P701" s="6"/>
      <c r="Q701" s="6"/>
    </row>
    <row r="702" ht="15.75" customHeight="1">
      <c r="B702" s="6"/>
      <c r="F702" s="6"/>
      <c r="G702" s="6"/>
      <c r="L702" s="6"/>
      <c r="P702" s="6"/>
      <c r="Q702" s="6"/>
    </row>
    <row r="703" ht="15.75" customHeight="1">
      <c r="B703" s="6"/>
      <c r="F703" s="6"/>
      <c r="G703" s="6"/>
      <c r="L703" s="6"/>
      <c r="P703" s="6"/>
      <c r="Q703" s="6"/>
    </row>
    <row r="704" ht="15.75" customHeight="1">
      <c r="B704" s="6"/>
      <c r="F704" s="6"/>
      <c r="G704" s="6"/>
      <c r="L704" s="6"/>
      <c r="P704" s="6"/>
      <c r="Q704" s="6"/>
    </row>
    <row r="705" ht="15.75" customHeight="1">
      <c r="B705" s="6"/>
      <c r="F705" s="6"/>
      <c r="G705" s="6"/>
      <c r="L705" s="6"/>
      <c r="P705" s="6"/>
      <c r="Q705" s="6"/>
    </row>
    <row r="706" ht="15.75" customHeight="1">
      <c r="B706" s="6"/>
      <c r="F706" s="6"/>
      <c r="G706" s="6"/>
      <c r="L706" s="6"/>
      <c r="P706" s="6"/>
      <c r="Q706" s="6"/>
    </row>
    <row r="707" ht="15.75" customHeight="1">
      <c r="B707" s="6"/>
      <c r="F707" s="6"/>
      <c r="G707" s="6"/>
      <c r="L707" s="6"/>
      <c r="P707" s="6"/>
      <c r="Q707" s="6"/>
    </row>
    <row r="708" ht="15.75" customHeight="1">
      <c r="B708" s="6"/>
      <c r="F708" s="6"/>
      <c r="G708" s="6"/>
      <c r="L708" s="6"/>
      <c r="P708" s="6"/>
      <c r="Q708" s="6"/>
    </row>
    <row r="709" ht="15.75" customHeight="1">
      <c r="B709" s="6"/>
      <c r="F709" s="6"/>
      <c r="G709" s="6"/>
      <c r="L709" s="6"/>
      <c r="P709" s="6"/>
      <c r="Q709" s="6"/>
    </row>
    <row r="710" ht="15.75" customHeight="1">
      <c r="B710" s="6"/>
      <c r="F710" s="6"/>
      <c r="G710" s="6"/>
      <c r="L710" s="6"/>
      <c r="P710" s="6"/>
      <c r="Q710" s="6"/>
    </row>
    <row r="711" ht="15.75" customHeight="1">
      <c r="B711" s="6"/>
      <c r="F711" s="6"/>
      <c r="G711" s="6"/>
      <c r="L711" s="6"/>
      <c r="P711" s="6"/>
      <c r="Q711" s="6"/>
    </row>
    <row r="712" ht="15.75" customHeight="1">
      <c r="B712" s="6"/>
      <c r="F712" s="6"/>
      <c r="G712" s="6"/>
      <c r="L712" s="6"/>
      <c r="P712" s="6"/>
      <c r="Q712" s="6"/>
    </row>
    <row r="713" ht="15.75" customHeight="1">
      <c r="B713" s="6"/>
      <c r="F713" s="6"/>
      <c r="G713" s="6"/>
      <c r="L713" s="6"/>
      <c r="P713" s="6"/>
      <c r="Q713" s="6"/>
    </row>
    <row r="714" ht="15.75" customHeight="1">
      <c r="B714" s="6"/>
      <c r="F714" s="6"/>
      <c r="G714" s="6"/>
      <c r="L714" s="6"/>
      <c r="P714" s="6"/>
      <c r="Q714" s="6"/>
    </row>
    <row r="715" ht="15.75" customHeight="1">
      <c r="B715" s="6"/>
      <c r="F715" s="6"/>
      <c r="G715" s="6"/>
      <c r="L715" s="6"/>
      <c r="P715" s="6"/>
      <c r="Q715" s="6"/>
    </row>
    <row r="716" ht="15.75" customHeight="1">
      <c r="B716" s="6"/>
      <c r="F716" s="6"/>
      <c r="G716" s="6"/>
      <c r="L716" s="6"/>
      <c r="P716" s="6"/>
      <c r="Q716" s="6"/>
    </row>
    <row r="717" ht="15.75" customHeight="1">
      <c r="B717" s="6"/>
      <c r="F717" s="6"/>
      <c r="G717" s="6"/>
      <c r="L717" s="6"/>
      <c r="P717" s="6"/>
      <c r="Q717" s="6"/>
    </row>
    <row r="718" ht="15.75" customHeight="1">
      <c r="B718" s="6"/>
      <c r="F718" s="6"/>
      <c r="G718" s="6"/>
      <c r="L718" s="6"/>
      <c r="P718" s="6"/>
      <c r="Q718" s="6"/>
    </row>
    <row r="719" ht="15.75" customHeight="1">
      <c r="B719" s="6"/>
      <c r="F719" s="6"/>
      <c r="G719" s="6"/>
      <c r="L719" s="6"/>
      <c r="P719" s="6"/>
      <c r="Q719" s="6"/>
    </row>
    <row r="720" ht="15.75" customHeight="1">
      <c r="B720" s="6"/>
      <c r="F720" s="6"/>
      <c r="G720" s="6"/>
      <c r="L720" s="6"/>
      <c r="P720" s="6"/>
      <c r="Q720" s="6"/>
    </row>
    <row r="721" ht="15.75" customHeight="1">
      <c r="B721" s="6"/>
      <c r="F721" s="6"/>
      <c r="G721" s="6"/>
      <c r="L721" s="6"/>
      <c r="P721" s="6"/>
      <c r="Q721" s="6"/>
    </row>
    <row r="722" ht="15.75" customHeight="1">
      <c r="B722" s="6"/>
      <c r="F722" s="6"/>
      <c r="G722" s="6"/>
      <c r="L722" s="6"/>
      <c r="P722" s="6"/>
      <c r="Q722" s="6"/>
    </row>
    <row r="723" ht="15.75" customHeight="1">
      <c r="B723" s="6"/>
      <c r="F723" s="6"/>
      <c r="G723" s="6"/>
      <c r="L723" s="6"/>
      <c r="P723" s="6"/>
      <c r="Q723" s="6"/>
    </row>
    <row r="724" ht="15.75" customHeight="1">
      <c r="B724" s="6"/>
      <c r="F724" s="6"/>
      <c r="G724" s="6"/>
      <c r="L724" s="6"/>
      <c r="P724" s="6"/>
      <c r="Q724" s="6"/>
    </row>
    <row r="725" ht="15.75" customHeight="1">
      <c r="B725" s="6"/>
      <c r="F725" s="6"/>
      <c r="G725" s="6"/>
      <c r="L725" s="6"/>
      <c r="P725" s="6"/>
      <c r="Q725" s="6"/>
    </row>
    <row r="726" ht="15.75" customHeight="1">
      <c r="B726" s="6"/>
      <c r="F726" s="6"/>
      <c r="G726" s="6"/>
      <c r="L726" s="6"/>
      <c r="P726" s="6"/>
      <c r="Q726" s="6"/>
    </row>
    <row r="727" ht="15.75" customHeight="1">
      <c r="B727" s="6"/>
      <c r="F727" s="6"/>
      <c r="G727" s="6"/>
      <c r="L727" s="6"/>
      <c r="P727" s="6"/>
      <c r="Q727" s="6"/>
    </row>
    <row r="728" ht="15.75" customHeight="1">
      <c r="B728" s="6"/>
      <c r="F728" s="6"/>
      <c r="G728" s="6"/>
      <c r="L728" s="6"/>
      <c r="P728" s="6"/>
      <c r="Q728" s="6"/>
    </row>
    <row r="729" ht="15.75" customHeight="1">
      <c r="B729" s="6"/>
      <c r="F729" s="6"/>
      <c r="G729" s="6"/>
      <c r="L729" s="6"/>
      <c r="P729" s="6"/>
      <c r="Q729" s="6"/>
    </row>
    <row r="730" ht="15.75" customHeight="1">
      <c r="B730" s="6"/>
      <c r="F730" s="6"/>
      <c r="G730" s="6"/>
      <c r="L730" s="6"/>
      <c r="P730" s="6"/>
      <c r="Q730" s="6"/>
    </row>
    <row r="731" ht="15.75" customHeight="1">
      <c r="B731" s="6"/>
      <c r="F731" s="6"/>
      <c r="G731" s="6"/>
      <c r="L731" s="6"/>
      <c r="P731" s="6"/>
      <c r="Q731" s="6"/>
    </row>
    <row r="732" ht="15.75" customHeight="1">
      <c r="B732" s="6"/>
      <c r="F732" s="6"/>
      <c r="G732" s="6"/>
      <c r="L732" s="6"/>
      <c r="P732" s="6"/>
      <c r="Q732" s="6"/>
    </row>
    <row r="733" ht="15.75" customHeight="1">
      <c r="B733" s="6"/>
      <c r="F733" s="6"/>
      <c r="G733" s="6"/>
      <c r="L733" s="6"/>
      <c r="P733" s="6"/>
      <c r="Q733" s="6"/>
    </row>
    <row r="734" ht="15.75" customHeight="1">
      <c r="B734" s="6"/>
      <c r="F734" s="6"/>
      <c r="G734" s="6"/>
      <c r="L734" s="6"/>
      <c r="P734" s="6"/>
      <c r="Q734" s="6"/>
    </row>
    <row r="735" ht="15.75" customHeight="1">
      <c r="B735" s="6"/>
      <c r="F735" s="6"/>
      <c r="G735" s="6"/>
      <c r="L735" s="6"/>
      <c r="P735" s="6"/>
      <c r="Q735" s="6"/>
    </row>
    <row r="736" ht="15.75" customHeight="1">
      <c r="B736" s="6"/>
      <c r="F736" s="6"/>
      <c r="G736" s="6"/>
      <c r="L736" s="6"/>
      <c r="P736" s="6"/>
      <c r="Q736" s="6"/>
    </row>
    <row r="737" ht="15.75" customHeight="1">
      <c r="B737" s="6"/>
      <c r="F737" s="6"/>
      <c r="G737" s="6"/>
      <c r="L737" s="6"/>
      <c r="P737" s="6"/>
      <c r="Q737" s="6"/>
    </row>
    <row r="738" ht="15.75" customHeight="1">
      <c r="B738" s="6"/>
      <c r="F738" s="6"/>
      <c r="G738" s="6"/>
      <c r="L738" s="6"/>
      <c r="P738" s="6"/>
      <c r="Q738" s="6"/>
    </row>
    <row r="739" ht="15.75" customHeight="1">
      <c r="B739" s="6"/>
      <c r="F739" s="6"/>
      <c r="G739" s="6"/>
      <c r="L739" s="6"/>
      <c r="P739" s="6"/>
      <c r="Q739" s="6"/>
    </row>
    <row r="740" ht="15.75" customHeight="1">
      <c r="B740" s="6"/>
      <c r="F740" s="6"/>
      <c r="G740" s="6"/>
      <c r="L740" s="6"/>
      <c r="P740" s="6"/>
      <c r="Q740" s="6"/>
    </row>
    <row r="741" ht="15.75" customHeight="1">
      <c r="B741" s="6"/>
      <c r="F741" s="6"/>
      <c r="G741" s="6"/>
      <c r="L741" s="6"/>
      <c r="P741" s="6"/>
      <c r="Q741" s="6"/>
    </row>
    <row r="742" ht="15.75" customHeight="1">
      <c r="B742" s="6"/>
      <c r="F742" s="6"/>
      <c r="G742" s="6"/>
      <c r="L742" s="6"/>
      <c r="P742" s="6"/>
      <c r="Q742" s="6"/>
    </row>
    <row r="743" ht="15.75" customHeight="1">
      <c r="B743" s="6"/>
      <c r="F743" s="6"/>
      <c r="G743" s="6"/>
      <c r="L743" s="6"/>
      <c r="P743" s="6"/>
      <c r="Q743" s="6"/>
    </row>
    <row r="744" ht="15.75" customHeight="1">
      <c r="B744" s="6"/>
      <c r="F744" s="6"/>
      <c r="G744" s="6"/>
      <c r="L744" s="6"/>
      <c r="P744" s="6"/>
      <c r="Q744" s="6"/>
    </row>
    <row r="745" ht="15.75" customHeight="1">
      <c r="B745" s="6"/>
      <c r="F745" s="6"/>
      <c r="G745" s="6"/>
      <c r="L745" s="6"/>
      <c r="P745" s="6"/>
      <c r="Q745" s="6"/>
    </row>
    <row r="746" ht="15.75" customHeight="1">
      <c r="B746" s="6"/>
      <c r="F746" s="6"/>
      <c r="G746" s="6"/>
      <c r="L746" s="6"/>
      <c r="P746" s="6"/>
      <c r="Q746" s="6"/>
    </row>
    <row r="747" ht="15.75" customHeight="1">
      <c r="B747" s="6"/>
      <c r="F747" s="6"/>
      <c r="G747" s="6"/>
      <c r="L747" s="6"/>
      <c r="P747" s="6"/>
      <c r="Q747" s="6"/>
    </row>
    <row r="748" ht="15.75" customHeight="1">
      <c r="B748" s="6"/>
      <c r="F748" s="6"/>
      <c r="G748" s="6"/>
      <c r="L748" s="6"/>
      <c r="P748" s="6"/>
      <c r="Q748" s="6"/>
    </row>
    <row r="749" ht="15.75" customHeight="1">
      <c r="B749" s="6"/>
      <c r="F749" s="6"/>
      <c r="G749" s="6"/>
      <c r="L749" s="6"/>
      <c r="P749" s="6"/>
      <c r="Q749" s="6"/>
    </row>
    <row r="750" ht="15.75" customHeight="1">
      <c r="B750" s="6"/>
      <c r="F750" s="6"/>
      <c r="G750" s="6"/>
      <c r="L750" s="6"/>
      <c r="P750" s="6"/>
      <c r="Q750" s="6"/>
    </row>
    <row r="751" ht="15.75" customHeight="1">
      <c r="B751" s="6"/>
      <c r="F751" s="6"/>
      <c r="G751" s="6"/>
      <c r="L751" s="6"/>
      <c r="P751" s="6"/>
      <c r="Q751" s="6"/>
    </row>
    <row r="752" ht="15.75" customHeight="1">
      <c r="B752" s="6"/>
      <c r="F752" s="6"/>
      <c r="G752" s="6"/>
      <c r="L752" s="6"/>
      <c r="P752" s="6"/>
      <c r="Q752" s="6"/>
    </row>
    <row r="753" ht="15.75" customHeight="1">
      <c r="B753" s="6"/>
      <c r="F753" s="6"/>
      <c r="G753" s="6"/>
      <c r="L753" s="6"/>
      <c r="P753" s="6"/>
      <c r="Q753" s="6"/>
    </row>
    <row r="754" ht="15.75" customHeight="1">
      <c r="B754" s="6"/>
      <c r="F754" s="6"/>
      <c r="G754" s="6"/>
      <c r="L754" s="6"/>
      <c r="P754" s="6"/>
      <c r="Q754" s="6"/>
    </row>
    <row r="755" ht="15.75" customHeight="1">
      <c r="B755" s="6"/>
      <c r="F755" s="6"/>
      <c r="G755" s="6"/>
      <c r="L755" s="6"/>
      <c r="P755" s="6"/>
      <c r="Q755" s="6"/>
    </row>
    <row r="756" ht="15.75" customHeight="1">
      <c r="B756" s="6"/>
      <c r="F756" s="6"/>
      <c r="G756" s="6"/>
      <c r="L756" s="6"/>
      <c r="P756" s="6"/>
      <c r="Q756" s="6"/>
    </row>
    <row r="757" ht="15.75" customHeight="1">
      <c r="B757" s="6"/>
      <c r="F757" s="6"/>
      <c r="G757" s="6"/>
      <c r="L757" s="6"/>
      <c r="P757" s="6"/>
      <c r="Q757" s="6"/>
    </row>
    <row r="758" ht="15.75" customHeight="1">
      <c r="B758" s="6"/>
      <c r="F758" s="6"/>
      <c r="G758" s="6"/>
      <c r="L758" s="6"/>
      <c r="P758" s="6"/>
      <c r="Q758" s="6"/>
    </row>
    <row r="759" ht="15.75" customHeight="1">
      <c r="B759" s="6"/>
      <c r="F759" s="6"/>
      <c r="G759" s="6"/>
      <c r="L759" s="6"/>
      <c r="P759" s="6"/>
      <c r="Q759" s="6"/>
    </row>
    <row r="760" ht="15.75" customHeight="1">
      <c r="B760" s="6"/>
      <c r="F760" s="6"/>
      <c r="G760" s="6"/>
      <c r="L760" s="6"/>
      <c r="P760" s="6"/>
      <c r="Q760" s="6"/>
    </row>
    <row r="761" ht="15.75" customHeight="1">
      <c r="B761" s="6"/>
      <c r="F761" s="6"/>
      <c r="G761" s="6"/>
      <c r="L761" s="6"/>
      <c r="P761" s="6"/>
      <c r="Q761" s="6"/>
    </row>
    <row r="762" ht="15.75" customHeight="1">
      <c r="B762" s="6"/>
      <c r="F762" s="6"/>
      <c r="G762" s="6"/>
      <c r="L762" s="6"/>
      <c r="P762" s="6"/>
      <c r="Q762" s="6"/>
    </row>
    <row r="763" ht="15.75" customHeight="1">
      <c r="B763" s="6"/>
      <c r="F763" s="6"/>
      <c r="G763" s="6"/>
      <c r="L763" s="6"/>
      <c r="P763" s="6"/>
      <c r="Q763" s="6"/>
    </row>
    <row r="764" ht="15.75" customHeight="1">
      <c r="B764" s="6"/>
      <c r="F764" s="6"/>
      <c r="G764" s="6"/>
      <c r="L764" s="6"/>
      <c r="P764" s="6"/>
      <c r="Q764" s="6"/>
    </row>
    <row r="765" ht="15.75" customHeight="1">
      <c r="B765" s="6"/>
      <c r="F765" s="6"/>
      <c r="G765" s="6"/>
      <c r="L765" s="6"/>
      <c r="P765" s="6"/>
      <c r="Q765" s="6"/>
    </row>
    <row r="766" ht="15.75" customHeight="1">
      <c r="B766" s="6"/>
      <c r="F766" s="6"/>
      <c r="G766" s="6"/>
      <c r="L766" s="6"/>
      <c r="P766" s="6"/>
      <c r="Q766" s="6"/>
    </row>
    <row r="767" ht="15.75" customHeight="1">
      <c r="B767" s="6"/>
      <c r="F767" s="6"/>
      <c r="G767" s="6"/>
      <c r="L767" s="6"/>
      <c r="P767" s="6"/>
      <c r="Q767" s="6"/>
    </row>
    <row r="768" ht="15.75" customHeight="1">
      <c r="B768" s="6"/>
      <c r="F768" s="6"/>
      <c r="G768" s="6"/>
      <c r="L768" s="6"/>
      <c r="P768" s="6"/>
      <c r="Q768" s="6"/>
    </row>
    <row r="769" ht="15.75" customHeight="1">
      <c r="B769" s="6"/>
      <c r="F769" s="6"/>
      <c r="G769" s="6"/>
      <c r="L769" s="6"/>
      <c r="P769" s="6"/>
      <c r="Q769" s="6"/>
    </row>
    <row r="770" ht="15.75" customHeight="1">
      <c r="B770" s="6"/>
      <c r="F770" s="6"/>
      <c r="G770" s="6"/>
      <c r="L770" s="6"/>
      <c r="P770" s="6"/>
      <c r="Q770" s="6"/>
    </row>
    <row r="771" ht="15.75" customHeight="1">
      <c r="B771" s="6"/>
      <c r="F771" s="6"/>
      <c r="G771" s="6"/>
      <c r="L771" s="6"/>
      <c r="P771" s="6"/>
      <c r="Q771" s="6"/>
    </row>
    <row r="772" ht="15.75" customHeight="1">
      <c r="B772" s="6"/>
      <c r="F772" s="6"/>
      <c r="G772" s="6"/>
      <c r="L772" s="6"/>
      <c r="P772" s="6"/>
      <c r="Q772" s="6"/>
    </row>
    <row r="773" ht="15.75" customHeight="1">
      <c r="B773" s="6"/>
      <c r="F773" s="6"/>
      <c r="G773" s="6"/>
      <c r="L773" s="6"/>
      <c r="P773" s="6"/>
      <c r="Q773" s="6"/>
    </row>
    <row r="774" ht="15.75" customHeight="1">
      <c r="B774" s="6"/>
      <c r="F774" s="6"/>
      <c r="G774" s="6"/>
      <c r="L774" s="6"/>
      <c r="P774" s="6"/>
      <c r="Q774" s="6"/>
    </row>
    <row r="775" ht="15.75" customHeight="1">
      <c r="B775" s="6"/>
      <c r="F775" s="6"/>
      <c r="G775" s="6"/>
      <c r="L775" s="6"/>
      <c r="P775" s="6"/>
      <c r="Q775" s="6"/>
    </row>
    <row r="776" ht="15.75" customHeight="1">
      <c r="B776" s="6"/>
      <c r="F776" s="6"/>
      <c r="G776" s="6"/>
      <c r="L776" s="6"/>
      <c r="P776" s="6"/>
      <c r="Q776" s="6"/>
    </row>
    <row r="777" ht="15.75" customHeight="1">
      <c r="B777" s="6"/>
      <c r="F777" s="6"/>
      <c r="G777" s="6"/>
      <c r="L777" s="6"/>
      <c r="P777" s="6"/>
      <c r="Q777" s="6"/>
    </row>
    <row r="778" ht="15.75" customHeight="1">
      <c r="B778" s="6"/>
      <c r="F778" s="6"/>
      <c r="G778" s="6"/>
      <c r="L778" s="6"/>
      <c r="P778" s="6"/>
      <c r="Q778" s="6"/>
    </row>
    <row r="779" ht="15.75" customHeight="1">
      <c r="B779" s="6"/>
      <c r="F779" s="6"/>
      <c r="G779" s="6"/>
      <c r="L779" s="6"/>
      <c r="P779" s="6"/>
      <c r="Q779" s="6"/>
    </row>
    <row r="780" ht="15.75" customHeight="1">
      <c r="B780" s="6"/>
      <c r="F780" s="6"/>
      <c r="G780" s="6"/>
      <c r="L780" s="6"/>
      <c r="P780" s="6"/>
      <c r="Q780" s="6"/>
    </row>
    <row r="781" ht="15.75" customHeight="1">
      <c r="B781" s="6"/>
      <c r="F781" s="6"/>
      <c r="G781" s="6"/>
      <c r="L781" s="6"/>
      <c r="P781" s="6"/>
      <c r="Q781" s="6"/>
    </row>
    <row r="782" ht="15.75" customHeight="1">
      <c r="B782" s="6"/>
      <c r="F782" s="6"/>
      <c r="G782" s="6"/>
      <c r="L782" s="6"/>
      <c r="P782" s="6"/>
      <c r="Q782" s="6"/>
    </row>
    <row r="783" ht="15.75" customHeight="1">
      <c r="B783" s="6"/>
      <c r="F783" s="6"/>
      <c r="G783" s="6"/>
      <c r="L783" s="6"/>
      <c r="P783" s="6"/>
      <c r="Q783" s="6"/>
    </row>
    <row r="784" ht="15.75" customHeight="1">
      <c r="B784" s="6"/>
      <c r="F784" s="6"/>
      <c r="G784" s="6"/>
      <c r="L784" s="6"/>
      <c r="P784" s="6"/>
      <c r="Q784" s="6"/>
    </row>
    <row r="785" ht="15.75" customHeight="1">
      <c r="B785" s="6"/>
      <c r="F785" s="6"/>
      <c r="G785" s="6"/>
      <c r="L785" s="6"/>
      <c r="P785" s="6"/>
      <c r="Q785" s="6"/>
    </row>
    <row r="786" ht="15.75" customHeight="1">
      <c r="B786" s="6"/>
      <c r="F786" s="6"/>
      <c r="G786" s="6"/>
      <c r="L786" s="6"/>
      <c r="P786" s="6"/>
      <c r="Q786" s="6"/>
    </row>
    <row r="787" ht="15.75" customHeight="1">
      <c r="B787" s="6"/>
      <c r="F787" s="6"/>
      <c r="G787" s="6"/>
      <c r="L787" s="6"/>
      <c r="P787" s="6"/>
      <c r="Q787" s="6"/>
    </row>
    <row r="788" ht="15.75" customHeight="1">
      <c r="B788" s="6"/>
      <c r="F788" s="6"/>
      <c r="G788" s="6"/>
      <c r="L788" s="6"/>
      <c r="P788" s="6"/>
      <c r="Q788" s="6"/>
    </row>
    <row r="789" ht="15.75" customHeight="1">
      <c r="B789" s="6"/>
      <c r="F789" s="6"/>
      <c r="G789" s="6"/>
      <c r="L789" s="6"/>
      <c r="P789" s="6"/>
      <c r="Q789" s="6"/>
    </row>
    <row r="790" ht="15.75" customHeight="1">
      <c r="B790" s="6"/>
      <c r="F790" s="6"/>
      <c r="G790" s="6"/>
      <c r="L790" s="6"/>
      <c r="P790" s="6"/>
      <c r="Q790" s="6"/>
    </row>
    <row r="791" ht="15.75" customHeight="1">
      <c r="B791" s="6"/>
      <c r="F791" s="6"/>
      <c r="G791" s="6"/>
      <c r="L791" s="6"/>
      <c r="P791" s="6"/>
      <c r="Q791" s="6"/>
    </row>
    <row r="792" ht="15.75" customHeight="1">
      <c r="B792" s="6"/>
      <c r="F792" s="6"/>
      <c r="G792" s="6"/>
      <c r="L792" s="6"/>
      <c r="P792" s="6"/>
      <c r="Q792" s="6"/>
    </row>
    <row r="793" ht="15.75" customHeight="1">
      <c r="B793" s="6"/>
      <c r="F793" s="6"/>
      <c r="G793" s="6"/>
      <c r="L793" s="6"/>
      <c r="P793" s="6"/>
      <c r="Q793" s="6"/>
    </row>
    <row r="794" ht="15.75" customHeight="1">
      <c r="B794" s="6"/>
      <c r="F794" s="6"/>
      <c r="G794" s="6"/>
      <c r="L794" s="6"/>
      <c r="P794" s="6"/>
      <c r="Q794" s="6"/>
    </row>
    <row r="795" ht="15.75" customHeight="1">
      <c r="B795" s="6"/>
      <c r="F795" s="6"/>
      <c r="G795" s="6"/>
      <c r="L795" s="6"/>
      <c r="P795" s="6"/>
      <c r="Q795" s="6"/>
    </row>
    <row r="796" ht="15.75" customHeight="1">
      <c r="B796" s="6"/>
      <c r="F796" s="6"/>
      <c r="G796" s="6"/>
      <c r="L796" s="6"/>
      <c r="P796" s="6"/>
      <c r="Q796" s="6"/>
    </row>
    <row r="797" ht="15.75" customHeight="1">
      <c r="B797" s="6"/>
      <c r="F797" s="6"/>
      <c r="G797" s="6"/>
      <c r="L797" s="6"/>
      <c r="P797" s="6"/>
      <c r="Q797" s="6"/>
    </row>
    <row r="798" ht="15.75" customHeight="1">
      <c r="B798" s="6"/>
      <c r="F798" s="6"/>
      <c r="G798" s="6"/>
      <c r="L798" s="6"/>
      <c r="P798" s="6"/>
      <c r="Q798" s="6"/>
    </row>
    <row r="799" ht="15.75" customHeight="1">
      <c r="B799" s="6"/>
      <c r="F799" s="6"/>
      <c r="G799" s="6"/>
      <c r="L799" s="6"/>
      <c r="P799" s="6"/>
      <c r="Q799" s="6"/>
    </row>
    <row r="800" ht="15.75" customHeight="1">
      <c r="B800" s="6"/>
      <c r="F800" s="6"/>
      <c r="G800" s="6"/>
      <c r="L800" s="6"/>
      <c r="P800" s="6"/>
      <c r="Q800" s="6"/>
    </row>
    <row r="801" ht="15.75" customHeight="1">
      <c r="B801" s="6"/>
      <c r="F801" s="6"/>
      <c r="G801" s="6"/>
      <c r="L801" s="6"/>
      <c r="P801" s="6"/>
      <c r="Q801" s="6"/>
    </row>
    <row r="802" ht="15.75" customHeight="1">
      <c r="B802" s="6"/>
      <c r="F802" s="6"/>
      <c r="G802" s="6"/>
      <c r="L802" s="6"/>
      <c r="P802" s="6"/>
      <c r="Q802" s="6"/>
    </row>
    <row r="803" ht="15.75" customHeight="1">
      <c r="B803" s="6"/>
      <c r="F803" s="6"/>
      <c r="G803" s="6"/>
      <c r="L803" s="6"/>
      <c r="P803" s="6"/>
      <c r="Q803" s="6"/>
    </row>
    <row r="804" ht="15.75" customHeight="1">
      <c r="B804" s="6"/>
      <c r="F804" s="6"/>
      <c r="G804" s="6"/>
      <c r="L804" s="6"/>
      <c r="P804" s="6"/>
      <c r="Q804" s="6"/>
    </row>
    <row r="805" ht="15.75" customHeight="1">
      <c r="B805" s="6"/>
      <c r="F805" s="6"/>
      <c r="G805" s="6"/>
      <c r="L805" s="6"/>
      <c r="P805" s="6"/>
      <c r="Q805" s="6"/>
    </row>
    <row r="806" ht="15.75" customHeight="1">
      <c r="B806" s="6"/>
      <c r="F806" s="6"/>
      <c r="G806" s="6"/>
      <c r="L806" s="6"/>
      <c r="P806" s="6"/>
      <c r="Q806" s="6"/>
    </row>
    <row r="807" ht="15.75" customHeight="1">
      <c r="B807" s="6"/>
      <c r="F807" s="6"/>
      <c r="G807" s="6"/>
      <c r="L807" s="6"/>
      <c r="P807" s="6"/>
      <c r="Q807" s="6"/>
    </row>
    <row r="808" ht="15.75" customHeight="1">
      <c r="B808" s="6"/>
      <c r="F808" s="6"/>
      <c r="G808" s="6"/>
      <c r="L808" s="6"/>
      <c r="P808" s="6"/>
      <c r="Q808" s="6"/>
    </row>
    <row r="809" ht="15.75" customHeight="1">
      <c r="B809" s="6"/>
      <c r="F809" s="6"/>
      <c r="G809" s="6"/>
      <c r="L809" s="6"/>
      <c r="P809" s="6"/>
      <c r="Q809" s="6"/>
    </row>
    <row r="810" ht="15.75" customHeight="1">
      <c r="B810" s="6"/>
      <c r="F810" s="6"/>
      <c r="G810" s="6"/>
      <c r="L810" s="6"/>
      <c r="P810" s="6"/>
      <c r="Q810" s="6"/>
    </row>
    <row r="811" ht="15.75" customHeight="1">
      <c r="B811" s="6"/>
      <c r="F811" s="6"/>
      <c r="G811" s="6"/>
      <c r="L811" s="6"/>
      <c r="P811" s="6"/>
      <c r="Q811" s="6"/>
    </row>
    <row r="812" ht="15.75" customHeight="1">
      <c r="B812" s="6"/>
      <c r="F812" s="6"/>
      <c r="G812" s="6"/>
      <c r="L812" s="6"/>
      <c r="P812" s="6"/>
      <c r="Q812" s="6"/>
    </row>
    <row r="813" ht="15.75" customHeight="1">
      <c r="B813" s="6"/>
      <c r="F813" s="6"/>
      <c r="G813" s="6"/>
      <c r="L813" s="6"/>
      <c r="P813" s="6"/>
      <c r="Q813" s="6"/>
    </row>
    <row r="814" ht="15.75" customHeight="1">
      <c r="B814" s="6"/>
      <c r="F814" s="6"/>
      <c r="G814" s="6"/>
      <c r="L814" s="6"/>
      <c r="P814" s="6"/>
      <c r="Q814" s="6"/>
    </row>
    <row r="815" ht="15.75" customHeight="1">
      <c r="B815" s="6"/>
      <c r="F815" s="6"/>
      <c r="G815" s="6"/>
      <c r="L815" s="6"/>
      <c r="P815" s="6"/>
      <c r="Q815" s="6"/>
    </row>
    <row r="816" ht="15.75" customHeight="1">
      <c r="B816" s="6"/>
      <c r="F816" s="6"/>
      <c r="G816" s="6"/>
      <c r="L816" s="6"/>
      <c r="P816" s="6"/>
      <c r="Q816" s="6"/>
    </row>
    <row r="817" ht="15.75" customHeight="1">
      <c r="B817" s="6"/>
      <c r="F817" s="6"/>
      <c r="G817" s="6"/>
      <c r="L817" s="6"/>
      <c r="P817" s="6"/>
      <c r="Q817" s="6"/>
    </row>
    <row r="818" ht="15.75" customHeight="1">
      <c r="B818" s="6"/>
      <c r="F818" s="6"/>
      <c r="G818" s="6"/>
      <c r="L818" s="6"/>
      <c r="P818" s="6"/>
      <c r="Q818" s="6"/>
    </row>
    <row r="819" ht="15.75" customHeight="1">
      <c r="B819" s="6"/>
      <c r="F819" s="6"/>
      <c r="G819" s="6"/>
      <c r="L819" s="6"/>
      <c r="P819" s="6"/>
      <c r="Q819" s="6"/>
    </row>
    <row r="820" ht="15.75" customHeight="1">
      <c r="B820" s="6"/>
      <c r="F820" s="6"/>
      <c r="G820" s="6"/>
      <c r="L820" s="6"/>
      <c r="P820" s="6"/>
      <c r="Q820" s="6"/>
    </row>
    <row r="821" ht="15.75" customHeight="1">
      <c r="B821" s="6"/>
      <c r="F821" s="6"/>
      <c r="G821" s="6"/>
      <c r="L821" s="6"/>
      <c r="P821" s="6"/>
      <c r="Q821" s="6"/>
    </row>
    <row r="822" ht="15.75" customHeight="1">
      <c r="B822" s="6"/>
      <c r="F822" s="6"/>
      <c r="G822" s="6"/>
      <c r="L822" s="6"/>
      <c r="P822" s="6"/>
      <c r="Q822" s="6"/>
    </row>
    <row r="823" ht="15.75" customHeight="1">
      <c r="B823" s="6"/>
      <c r="F823" s="6"/>
      <c r="G823" s="6"/>
      <c r="L823" s="6"/>
      <c r="P823" s="6"/>
      <c r="Q823" s="6"/>
    </row>
    <row r="824" ht="15.75" customHeight="1">
      <c r="B824" s="6"/>
      <c r="F824" s="6"/>
      <c r="G824" s="6"/>
      <c r="L824" s="6"/>
      <c r="P824" s="6"/>
      <c r="Q824" s="6"/>
    </row>
    <row r="825" ht="15.75" customHeight="1">
      <c r="B825" s="6"/>
      <c r="F825" s="6"/>
      <c r="G825" s="6"/>
      <c r="L825" s="6"/>
      <c r="P825" s="6"/>
      <c r="Q825" s="6"/>
    </row>
    <row r="826" ht="15.75" customHeight="1">
      <c r="B826" s="6"/>
      <c r="F826" s="6"/>
      <c r="G826" s="6"/>
      <c r="L826" s="6"/>
      <c r="P826" s="6"/>
      <c r="Q826" s="6"/>
    </row>
    <row r="827" ht="15.75" customHeight="1">
      <c r="B827" s="6"/>
      <c r="F827" s="6"/>
      <c r="G827" s="6"/>
      <c r="L827" s="6"/>
      <c r="P827" s="6"/>
      <c r="Q827" s="6"/>
    </row>
    <row r="828" ht="15.75" customHeight="1">
      <c r="B828" s="6"/>
      <c r="F828" s="6"/>
      <c r="G828" s="6"/>
      <c r="L828" s="6"/>
      <c r="P828" s="6"/>
      <c r="Q828" s="6"/>
    </row>
    <row r="829" ht="15.75" customHeight="1">
      <c r="B829" s="6"/>
      <c r="F829" s="6"/>
      <c r="G829" s="6"/>
      <c r="L829" s="6"/>
      <c r="P829" s="6"/>
      <c r="Q829" s="6"/>
    </row>
    <row r="830" ht="15.75" customHeight="1">
      <c r="B830" s="6"/>
      <c r="F830" s="6"/>
      <c r="G830" s="6"/>
      <c r="L830" s="6"/>
      <c r="P830" s="6"/>
      <c r="Q830" s="6"/>
    </row>
    <row r="831" ht="15.75" customHeight="1">
      <c r="B831" s="6"/>
      <c r="F831" s="6"/>
      <c r="G831" s="6"/>
      <c r="L831" s="6"/>
      <c r="P831" s="6"/>
      <c r="Q831" s="6"/>
    </row>
    <row r="832" ht="15.75" customHeight="1">
      <c r="B832" s="6"/>
      <c r="F832" s="6"/>
      <c r="G832" s="6"/>
      <c r="L832" s="6"/>
      <c r="P832" s="6"/>
      <c r="Q832" s="6"/>
    </row>
    <row r="833" ht="15.75" customHeight="1">
      <c r="B833" s="6"/>
      <c r="F833" s="6"/>
      <c r="G833" s="6"/>
      <c r="L833" s="6"/>
      <c r="P833" s="6"/>
      <c r="Q833" s="6"/>
    </row>
    <row r="834" ht="15.75" customHeight="1">
      <c r="B834" s="6"/>
      <c r="F834" s="6"/>
      <c r="G834" s="6"/>
      <c r="L834" s="6"/>
      <c r="P834" s="6"/>
      <c r="Q834" s="6"/>
    </row>
    <row r="835" ht="15.75" customHeight="1">
      <c r="B835" s="6"/>
      <c r="F835" s="6"/>
      <c r="G835" s="6"/>
      <c r="L835" s="6"/>
      <c r="P835" s="6"/>
      <c r="Q835" s="6"/>
    </row>
    <row r="836" ht="15.75" customHeight="1">
      <c r="B836" s="6"/>
      <c r="F836" s="6"/>
      <c r="G836" s="6"/>
      <c r="L836" s="6"/>
      <c r="P836" s="6"/>
      <c r="Q836" s="6"/>
    </row>
    <row r="837" ht="15.75" customHeight="1">
      <c r="B837" s="6"/>
      <c r="F837" s="6"/>
      <c r="G837" s="6"/>
      <c r="L837" s="6"/>
      <c r="P837" s="6"/>
      <c r="Q837" s="6"/>
    </row>
    <row r="838" ht="15.75" customHeight="1">
      <c r="B838" s="6"/>
      <c r="F838" s="6"/>
      <c r="G838" s="6"/>
      <c r="L838" s="6"/>
      <c r="P838" s="6"/>
      <c r="Q838" s="6"/>
    </row>
    <row r="839" ht="15.75" customHeight="1">
      <c r="B839" s="6"/>
      <c r="F839" s="6"/>
      <c r="G839" s="6"/>
      <c r="L839" s="6"/>
      <c r="P839" s="6"/>
      <c r="Q839" s="6"/>
    </row>
    <row r="840" ht="15.75" customHeight="1">
      <c r="B840" s="6"/>
      <c r="F840" s="6"/>
      <c r="G840" s="6"/>
      <c r="L840" s="6"/>
      <c r="P840" s="6"/>
      <c r="Q840" s="6"/>
    </row>
    <row r="841" ht="15.75" customHeight="1">
      <c r="B841" s="6"/>
      <c r="F841" s="6"/>
      <c r="G841" s="6"/>
      <c r="L841" s="6"/>
      <c r="P841" s="6"/>
      <c r="Q841" s="6"/>
    </row>
    <row r="842" ht="15.75" customHeight="1">
      <c r="B842" s="6"/>
      <c r="F842" s="6"/>
      <c r="G842" s="6"/>
      <c r="L842" s="6"/>
      <c r="P842" s="6"/>
      <c r="Q842" s="6"/>
    </row>
    <row r="843" ht="15.75" customHeight="1">
      <c r="B843" s="6"/>
      <c r="F843" s="6"/>
      <c r="G843" s="6"/>
      <c r="L843" s="6"/>
      <c r="P843" s="6"/>
      <c r="Q843" s="6"/>
    </row>
    <row r="844" ht="15.75" customHeight="1">
      <c r="B844" s="6"/>
      <c r="F844" s="6"/>
      <c r="G844" s="6"/>
      <c r="L844" s="6"/>
      <c r="P844" s="6"/>
      <c r="Q844" s="6"/>
    </row>
    <row r="845" ht="15.75" customHeight="1">
      <c r="B845" s="6"/>
      <c r="F845" s="6"/>
      <c r="G845" s="6"/>
      <c r="L845" s="6"/>
      <c r="P845" s="6"/>
      <c r="Q845" s="6"/>
    </row>
    <row r="846" ht="15.75" customHeight="1">
      <c r="B846" s="6"/>
      <c r="F846" s="6"/>
      <c r="G846" s="6"/>
      <c r="L846" s="6"/>
      <c r="P846" s="6"/>
      <c r="Q846" s="6"/>
    </row>
    <row r="847" ht="15.75" customHeight="1">
      <c r="B847" s="6"/>
      <c r="F847" s="6"/>
      <c r="G847" s="6"/>
      <c r="L847" s="6"/>
      <c r="P847" s="6"/>
      <c r="Q847" s="6"/>
    </row>
    <row r="848" ht="15.75" customHeight="1">
      <c r="B848" s="6"/>
      <c r="F848" s="6"/>
      <c r="G848" s="6"/>
      <c r="L848" s="6"/>
      <c r="P848" s="6"/>
      <c r="Q848" s="6"/>
    </row>
    <row r="849" ht="15.75" customHeight="1">
      <c r="B849" s="6"/>
      <c r="F849" s="6"/>
      <c r="G849" s="6"/>
      <c r="L849" s="6"/>
      <c r="P849" s="6"/>
      <c r="Q849" s="6"/>
    </row>
    <row r="850" ht="15.75" customHeight="1">
      <c r="B850" s="6"/>
      <c r="F850" s="6"/>
      <c r="G850" s="6"/>
      <c r="L850" s="6"/>
      <c r="P850" s="6"/>
      <c r="Q850" s="6"/>
    </row>
    <row r="851" ht="15.75" customHeight="1">
      <c r="B851" s="6"/>
      <c r="F851" s="6"/>
      <c r="G851" s="6"/>
      <c r="L851" s="6"/>
      <c r="P851" s="6"/>
      <c r="Q851" s="6"/>
    </row>
    <row r="852" ht="15.75" customHeight="1">
      <c r="B852" s="6"/>
      <c r="F852" s="6"/>
      <c r="G852" s="6"/>
      <c r="L852" s="6"/>
      <c r="P852" s="6"/>
      <c r="Q852" s="6"/>
    </row>
    <row r="853" ht="15.75" customHeight="1">
      <c r="B853" s="6"/>
      <c r="F853" s="6"/>
      <c r="G853" s="6"/>
      <c r="L853" s="6"/>
      <c r="P853" s="6"/>
      <c r="Q853" s="6"/>
    </row>
    <row r="854" ht="15.75" customHeight="1">
      <c r="B854" s="6"/>
      <c r="F854" s="6"/>
      <c r="G854" s="6"/>
      <c r="L854" s="6"/>
      <c r="P854" s="6"/>
      <c r="Q854" s="6"/>
    </row>
    <row r="855" ht="15.75" customHeight="1">
      <c r="B855" s="6"/>
      <c r="F855" s="6"/>
      <c r="G855" s="6"/>
      <c r="L855" s="6"/>
      <c r="P855" s="6"/>
      <c r="Q855" s="6"/>
    </row>
    <row r="856" ht="15.75" customHeight="1">
      <c r="B856" s="6"/>
      <c r="F856" s="6"/>
      <c r="G856" s="6"/>
      <c r="L856" s="6"/>
      <c r="P856" s="6"/>
      <c r="Q856" s="6"/>
    </row>
    <row r="857" ht="15.75" customHeight="1">
      <c r="B857" s="6"/>
      <c r="F857" s="6"/>
      <c r="G857" s="6"/>
      <c r="L857" s="6"/>
      <c r="P857" s="6"/>
      <c r="Q857" s="6"/>
    </row>
    <row r="858" ht="15.75" customHeight="1">
      <c r="B858" s="6"/>
      <c r="F858" s="6"/>
      <c r="G858" s="6"/>
      <c r="L858" s="6"/>
      <c r="P858" s="6"/>
      <c r="Q858" s="6"/>
    </row>
    <row r="859" ht="15.75" customHeight="1">
      <c r="B859" s="6"/>
      <c r="F859" s="6"/>
      <c r="G859" s="6"/>
      <c r="L859" s="6"/>
      <c r="P859" s="6"/>
      <c r="Q859" s="6"/>
    </row>
    <row r="860" ht="15.75" customHeight="1">
      <c r="B860" s="6"/>
      <c r="F860" s="6"/>
      <c r="G860" s="6"/>
      <c r="L860" s="6"/>
      <c r="P860" s="6"/>
      <c r="Q860" s="6"/>
    </row>
    <row r="861" ht="15.75" customHeight="1">
      <c r="B861" s="6"/>
      <c r="F861" s="6"/>
      <c r="G861" s="6"/>
      <c r="L861" s="6"/>
      <c r="P861" s="6"/>
      <c r="Q861" s="6"/>
    </row>
    <row r="862" ht="15.75" customHeight="1">
      <c r="B862" s="6"/>
      <c r="F862" s="6"/>
      <c r="G862" s="6"/>
      <c r="L862" s="6"/>
      <c r="P862" s="6"/>
      <c r="Q862" s="6"/>
    </row>
    <row r="863" ht="15.75" customHeight="1">
      <c r="B863" s="6"/>
      <c r="F863" s="6"/>
      <c r="G863" s="6"/>
      <c r="L863" s="6"/>
      <c r="P863" s="6"/>
      <c r="Q863" s="6"/>
    </row>
    <row r="864" ht="15.75" customHeight="1">
      <c r="B864" s="6"/>
      <c r="F864" s="6"/>
      <c r="G864" s="6"/>
      <c r="L864" s="6"/>
      <c r="P864" s="6"/>
      <c r="Q864" s="6"/>
    </row>
    <row r="865" ht="15.75" customHeight="1">
      <c r="B865" s="6"/>
      <c r="F865" s="6"/>
      <c r="G865" s="6"/>
      <c r="L865" s="6"/>
      <c r="P865" s="6"/>
      <c r="Q865" s="6"/>
    </row>
    <row r="866" ht="15.75" customHeight="1">
      <c r="B866" s="6"/>
      <c r="F866" s="6"/>
      <c r="G866" s="6"/>
      <c r="L866" s="6"/>
      <c r="P866" s="6"/>
      <c r="Q866" s="6"/>
    </row>
    <row r="867" ht="15.75" customHeight="1">
      <c r="B867" s="6"/>
      <c r="F867" s="6"/>
      <c r="G867" s="6"/>
      <c r="L867" s="6"/>
      <c r="P867" s="6"/>
      <c r="Q867" s="6"/>
    </row>
    <row r="868" ht="15.75" customHeight="1">
      <c r="B868" s="6"/>
      <c r="F868" s="6"/>
      <c r="G868" s="6"/>
      <c r="L868" s="6"/>
      <c r="P868" s="6"/>
      <c r="Q868" s="6"/>
    </row>
    <row r="869" ht="15.75" customHeight="1">
      <c r="B869" s="6"/>
      <c r="F869" s="6"/>
      <c r="G869" s="6"/>
      <c r="L869" s="6"/>
      <c r="P869" s="6"/>
      <c r="Q869" s="6"/>
    </row>
    <row r="870" ht="15.75" customHeight="1">
      <c r="B870" s="6"/>
      <c r="F870" s="6"/>
      <c r="G870" s="6"/>
      <c r="L870" s="6"/>
      <c r="P870" s="6"/>
      <c r="Q870" s="6"/>
    </row>
    <row r="871" ht="15.75" customHeight="1">
      <c r="B871" s="6"/>
      <c r="F871" s="6"/>
      <c r="G871" s="6"/>
      <c r="L871" s="6"/>
      <c r="P871" s="6"/>
      <c r="Q871" s="6"/>
    </row>
    <row r="872" ht="15.75" customHeight="1">
      <c r="B872" s="6"/>
      <c r="F872" s="6"/>
      <c r="G872" s="6"/>
      <c r="L872" s="6"/>
      <c r="P872" s="6"/>
      <c r="Q872" s="6"/>
    </row>
    <row r="873" ht="15.75" customHeight="1">
      <c r="B873" s="6"/>
      <c r="F873" s="6"/>
      <c r="G873" s="6"/>
      <c r="L873" s="6"/>
      <c r="P873" s="6"/>
      <c r="Q873" s="6"/>
    </row>
    <row r="874" ht="15.75" customHeight="1">
      <c r="B874" s="6"/>
      <c r="F874" s="6"/>
      <c r="G874" s="6"/>
      <c r="L874" s="6"/>
      <c r="P874" s="6"/>
      <c r="Q874" s="6"/>
    </row>
    <row r="875" ht="15.75" customHeight="1">
      <c r="B875" s="6"/>
      <c r="F875" s="6"/>
      <c r="G875" s="6"/>
      <c r="L875" s="6"/>
      <c r="P875" s="6"/>
      <c r="Q875" s="6"/>
    </row>
    <row r="876" ht="15.75" customHeight="1">
      <c r="B876" s="6"/>
      <c r="F876" s="6"/>
      <c r="G876" s="6"/>
      <c r="L876" s="6"/>
      <c r="P876" s="6"/>
      <c r="Q876" s="6"/>
    </row>
    <row r="877" ht="15.75" customHeight="1">
      <c r="B877" s="6"/>
      <c r="F877" s="6"/>
      <c r="G877" s="6"/>
      <c r="L877" s="6"/>
      <c r="P877" s="6"/>
      <c r="Q877" s="6"/>
    </row>
    <row r="878" ht="15.75" customHeight="1">
      <c r="B878" s="6"/>
      <c r="F878" s="6"/>
      <c r="G878" s="6"/>
      <c r="L878" s="6"/>
      <c r="P878" s="6"/>
      <c r="Q878" s="6"/>
    </row>
    <row r="879" ht="15.75" customHeight="1">
      <c r="B879" s="6"/>
      <c r="F879" s="6"/>
      <c r="G879" s="6"/>
      <c r="L879" s="6"/>
      <c r="P879" s="6"/>
      <c r="Q879" s="6"/>
    </row>
    <row r="880" ht="15.75" customHeight="1">
      <c r="B880" s="6"/>
      <c r="F880" s="6"/>
      <c r="G880" s="6"/>
      <c r="L880" s="6"/>
      <c r="P880" s="6"/>
      <c r="Q880" s="6"/>
    </row>
    <row r="881" ht="15.75" customHeight="1">
      <c r="B881" s="6"/>
      <c r="F881" s="6"/>
      <c r="G881" s="6"/>
      <c r="L881" s="6"/>
      <c r="P881" s="6"/>
      <c r="Q881" s="6"/>
    </row>
    <row r="882" ht="15.75" customHeight="1">
      <c r="B882" s="6"/>
      <c r="F882" s="6"/>
      <c r="G882" s="6"/>
      <c r="L882" s="6"/>
      <c r="P882" s="6"/>
      <c r="Q882" s="6"/>
    </row>
    <row r="883" ht="15.75" customHeight="1">
      <c r="B883" s="6"/>
      <c r="F883" s="6"/>
      <c r="G883" s="6"/>
      <c r="L883" s="6"/>
      <c r="P883" s="6"/>
      <c r="Q883" s="6"/>
    </row>
    <row r="884" ht="15.75" customHeight="1">
      <c r="B884" s="6"/>
      <c r="F884" s="6"/>
      <c r="G884" s="6"/>
      <c r="L884" s="6"/>
      <c r="P884" s="6"/>
      <c r="Q884" s="6"/>
    </row>
    <row r="885" ht="15.75" customHeight="1">
      <c r="B885" s="6"/>
      <c r="F885" s="6"/>
      <c r="G885" s="6"/>
      <c r="L885" s="6"/>
      <c r="P885" s="6"/>
      <c r="Q885" s="6"/>
    </row>
    <row r="886" ht="15.75" customHeight="1">
      <c r="B886" s="6"/>
      <c r="F886" s="6"/>
      <c r="G886" s="6"/>
      <c r="L886" s="6"/>
      <c r="P886" s="6"/>
      <c r="Q886" s="6"/>
    </row>
    <row r="887" ht="15.75" customHeight="1">
      <c r="B887" s="6"/>
      <c r="F887" s="6"/>
      <c r="G887" s="6"/>
      <c r="L887" s="6"/>
      <c r="P887" s="6"/>
      <c r="Q887" s="6"/>
    </row>
    <row r="888" ht="15.75" customHeight="1">
      <c r="B888" s="6"/>
      <c r="F888" s="6"/>
      <c r="G888" s="6"/>
      <c r="L888" s="6"/>
      <c r="P888" s="6"/>
      <c r="Q888" s="6"/>
    </row>
    <row r="889" ht="15.75" customHeight="1">
      <c r="B889" s="6"/>
      <c r="F889" s="6"/>
      <c r="G889" s="6"/>
      <c r="L889" s="6"/>
      <c r="P889" s="6"/>
      <c r="Q889" s="6"/>
    </row>
    <row r="890" ht="15.75" customHeight="1">
      <c r="B890" s="6"/>
      <c r="F890" s="6"/>
      <c r="G890" s="6"/>
      <c r="L890" s="6"/>
      <c r="P890" s="6"/>
      <c r="Q890" s="6"/>
    </row>
    <row r="891" ht="15.75" customHeight="1">
      <c r="B891" s="6"/>
      <c r="F891" s="6"/>
      <c r="G891" s="6"/>
      <c r="L891" s="6"/>
      <c r="P891" s="6"/>
      <c r="Q891" s="6"/>
    </row>
    <row r="892" ht="15.75" customHeight="1">
      <c r="B892" s="6"/>
      <c r="F892" s="6"/>
      <c r="G892" s="6"/>
      <c r="L892" s="6"/>
      <c r="P892" s="6"/>
      <c r="Q892" s="6"/>
    </row>
    <row r="893" ht="15.75" customHeight="1">
      <c r="B893" s="6"/>
      <c r="F893" s="6"/>
      <c r="G893" s="6"/>
      <c r="L893" s="6"/>
      <c r="P893" s="6"/>
      <c r="Q893" s="6"/>
    </row>
    <row r="894" ht="15.75" customHeight="1">
      <c r="B894" s="6"/>
      <c r="F894" s="6"/>
      <c r="G894" s="6"/>
      <c r="L894" s="6"/>
      <c r="P894" s="6"/>
      <c r="Q894" s="6"/>
    </row>
    <row r="895" ht="15.75" customHeight="1">
      <c r="B895" s="6"/>
      <c r="F895" s="6"/>
      <c r="G895" s="6"/>
      <c r="L895" s="6"/>
      <c r="P895" s="6"/>
      <c r="Q895" s="6"/>
    </row>
    <row r="896" ht="15.75" customHeight="1">
      <c r="B896" s="6"/>
      <c r="F896" s="6"/>
      <c r="G896" s="6"/>
      <c r="L896" s="6"/>
      <c r="P896" s="6"/>
      <c r="Q896" s="6"/>
    </row>
    <row r="897" ht="15.75" customHeight="1">
      <c r="B897" s="6"/>
      <c r="F897" s="6"/>
      <c r="G897" s="6"/>
      <c r="L897" s="6"/>
      <c r="P897" s="6"/>
      <c r="Q897" s="6"/>
    </row>
    <row r="898" ht="15.75" customHeight="1">
      <c r="B898" s="6"/>
      <c r="F898" s="6"/>
      <c r="G898" s="6"/>
      <c r="L898" s="6"/>
      <c r="P898" s="6"/>
      <c r="Q898" s="6"/>
    </row>
    <row r="899" ht="15.75" customHeight="1">
      <c r="B899" s="6"/>
      <c r="F899" s="6"/>
      <c r="G899" s="6"/>
      <c r="L899" s="6"/>
      <c r="P899" s="6"/>
      <c r="Q899" s="6"/>
    </row>
    <row r="900" ht="15.75" customHeight="1">
      <c r="B900" s="6"/>
      <c r="F900" s="6"/>
      <c r="G900" s="6"/>
      <c r="L900" s="6"/>
      <c r="P900" s="6"/>
      <c r="Q900" s="6"/>
    </row>
    <row r="901" ht="15.75" customHeight="1">
      <c r="B901" s="6"/>
      <c r="F901" s="6"/>
      <c r="G901" s="6"/>
      <c r="L901" s="6"/>
      <c r="P901" s="6"/>
      <c r="Q901" s="6"/>
    </row>
    <row r="902" ht="15.75" customHeight="1">
      <c r="B902" s="6"/>
      <c r="F902" s="6"/>
      <c r="G902" s="6"/>
      <c r="L902" s="6"/>
      <c r="P902" s="6"/>
      <c r="Q902" s="6"/>
    </row>
    <row r="903" ht="15.75" customHeight="1">
      <c r="B903" s="6"/>
      <c r="F903" s="6"/>
      <c r="G903" s="6"/>
      <c r="L903" s="6"/>
      <c r="P903" s="6"/>
      <c r="Q903" s="6"/>
    </row>
    <row r="904" ht="15.75" customHeight="1">
      <c r="B904" s="6"/>
      <c r="F904" s="6"/>
      <c r="G904" s="6"/>
      <c r="L904" s="6"/>
      <c r="P904" s="6"/>
      <c r="Q904" s="6"/>
    </row>
    <row r="905" ht="15.75" customHeight="1">
      <c r="B905" s="6"/>
      <c r="F905" s="6"/>
      <c r="G905" s="6"/>
      <c r="L905" s="6"/>
      <c r="P905" s="6"/>
      <c r="Q905" s="6"/>
    </row>
    <row r="906" ht="15.75" customHeight="1">
      <c r="B906" s="6"/>
      <c r="F906" s="6"/>
      <c r="G906" s="6"/>
      <c r="L906" s="6"/>
      <c r="P906" s="6"/>
      <c r="Q906" s="6"/>
    </row>
    <row r="907" ht="15.75" customHeight="1">
      <c r="B907" s="6"/>
      <c r="F907" s="6"/>
      <c r="G907" s="6"/>
      <c r="L907" s="6"/>
      <c r="P907" s="6"/>
      <c r="Q907" s="6"/>
    </row>
    <row r="908" ht="15.75" customHeight="1">
      <c r="B908" s="6"/>
      <c r="F908" s="6"/>
      <c r="G908" s="6"/>
      <c r="L908" s="6"/>
      <c r="P908" s="6"/>
      <c r="Q908" s="6"/>
    </row>
    <row r="909" ht="15.75" customHeight="1">
      <c r="B909" s="6"/>
      <c r="F909" s="6"/>
      <c r="G909" s="6"/>
      <c r="L909" s="6"/>
      <c r="P909" s="6"/>
      <c r="Q909" s="6"/>
    </row>
    <row r="910" ht="15.75" customHeight="1">
      <c r="B910" s="6"/>
      <c r="F910" s="6"/>
      <c r="G910" s="6"/>
      <c r="L910" s="6"/>
      <c r="P910" s="6"/>
      <c r="Q910" s="6"/>
    </row>
    <row r="911" ht="15.75" customHeight="1">
      <c r="B911" s="6"/>
      <c r="F911" s="6"/>
      <c r="G911" s="6"/>
      <c r="L911" s="6"/>
      <c r="P911" s="6"/>
      <c r="Q911" s="6"/>
    </row>
    <row r="912" ht="15.75" customHeight="1">
      <c r="B912" s="6"/>
      <c r="F912" s="6"/>
      <c r="G912" s="6"/>
      <c r="L912" s="6"/>
      <c r="P912" s="6"/>
      <c r="Q912" s="6"/>
    </row>
    <row r="913" ht="15.75" customHeight="1">
      <c r="B913" s="6"/>
      <c r="F913" s="6"/>
      <c r="G913" s="6"/>
      <c r="L913" s="6"/>
      <c r="P913" s="6"/>
      <c r="Q913" s="6"/>
    </row>
    <row r="914" ht="15.75" customHeight="1">
      <c r="B914" s="6"/>
      <c r="F914" s="6"/>
      <c r="G914" s="6"/>
      <c r="L914" s="6"/>
      <c r="P914" s="6"/>
      <c r="Q914" s="6"/>
    </row>
    <row r="915" ht="15.75" customHeight="1">
      <c r="B915" s="6"/>
      <c r="F915" s="6"/>
      <c r="G915" s="6"/>
      <c r="L915" s="6"/>
      <c r="P915" s="6"/>
      <c r="Q915" s="6"/>
    </row>
    <row r="916" ht="15.75" customHeight="1">
      <c r="B916" s="6"/>
      <c r="F916" s="6"/>
      <c r="G916" s="6"/>
      <c r="L916" s="6"/>
      <c r="P916" s="6"/>
      <c r="Q916" s="6"/>
    </row>
    <row r="917" ht="15.75" customHeight="1">
      <c r="B917" s="6"/>
      <c r="F917" s="6"/>
      <c r="G917" s="6"/>
      <c r="L917" s="6"/>
      <c r="P917" s="6"/>
      <c r="Q917" s="6"/>
    </row>
    <row r="918" ht="15.75" customHeight="1">
      <c r="B918" s="6"/>
      <c r="F918" s="6"/>
      <c r="G918" s="6"/>
      <c r="L918" s="6"/>
      <c r="P918" s="6"/>
      <c r="Q918" s="6"/>
    </row>
    <row r="919" ht="15.75" customHeight="1">
      <c r="B919" s="6"/>
      <c r="F919" s="6"/>
      <c r="G919" s="6"/>
      <c r="L919" s="6"/>
      <c r="P919" s="6"/>
      <c r="Q919" s="6"/>
    </row>
    <row r="920" ht="15.75" customHeight="1">
      <c r="B920" s="6"/>
      <c r="F920" s="6"/>
      <c r="G920" s="6"/>
      <c r="L920" s="6"/>
      <c r="P920" s="6"/>
      <c r="Q920" s="6"/>
    </row>
    <row r="921" ht="15.75" customHeight="1">
      <c r="B921" s="6"/>
      <c r="F921" s="6"/>
      <c r="G921" s="6"/>
      <c r="L921" s="6"/>
      <c r="P921" s="6"/>
      <c r="Q921" s="6"/>
    </row>
    <row r="922" ht="15.75" customHeight="1">
      <c r="B922" s="6"/>
      <c r="F922" s="6"/>
      <c r="G922" s="6"/>
      <c r="L922" s="6"/>
      <c r="P922" s="6"/>
      <c r="Q922" s="6"/>
    </row>
    <row r="923" ht="15.75" customHeight="1">
      <c r="B923" s="6"/>
      <c r="F923" s="6"/>
      <c r="G923" s="6"/>
      <c r="L923" s="6"/>
      <c r="P923" s="6"/>
      <c r="Q923" s="6"/>
    </row>
    <row r="924" ht="15.75" customHeight="1">
      <c r="B924" s="6"/>
      <c r="F924" s="6"/>
      <c r="G924" s="6"/>
      <c r="L924" s="6"/>
      <c r="P924" s="6"/>
      <c r="Q924" s="6"/>
    </row>
    <row r="925" ht="15.75" customHeight="1">
      <c r="B925" s="6"/>
      <c r="F925" s="6"/>
      <c r="G925" s="6"/>
      <c r="L925" s="6"/>
      <c r="P925" s="6"/>
      <c r="Q925" s="6"/>
    </row>
    <row r="926" ht="15.75" customHeight="1">
      <c r="B926" s="6"/>
      <c r="F926" s="6"/>
      <c r="G926" s="6"/>
      <c r="L926" s="6"/>
      <c r="P926" s="6"/>
      <c r="Q926" s="6"/>
    </row>
    <row r="927" ht="15.75" customHeight="1">
      <c r="B927" s="6"/>
      <c r="F927" s="6"/>
      <c r="G927" s="6"/>
      <c r="L927" s="6"/>
      <c r="P927" s="6"/>
      <c r="Q927" s="6"/>
    </row>
    <row r="928" ht="15.75" customHeight="1">
      <c r="B928" s="6"/>
      <c r="F928" s="6"/>
      <c r="G928" s="6"/>
      <c r="L928" s="6"/>
      <c r="P928" s="6"/>
      <c r="Q928" s="6"/>
    </row>
    <row r="929" ht="15.75" customHeight="1">
      <c r="B929" s="6"/>
      <c r="F929" s="6"/>
      <c r="G929" s="6"/>
      <c r="L929" s="6"/>
      <c r="P929" s="6"/>
      <c r="Q929" s="6"/>
    </row>
    <row r="930" ht="15.75" customHeight="1">
      <c r="B930" s="6"/>
      <c r="F930" s="6"/>
      <c r="G930" s="6"/>
      <c r="L930" s="6"/>
      <c r="P930" s="6"/>
      <c r="Q930" s="6"/>
    </row>
    <row r="931" ht="15.75" customHeight="1">
      <c r="B931" s="6"/>
      <c r="F931" s="6"/>
      <c r="G931" s="6"/>
      <c r="L931" s="6"/>
      <c r="P931" s="6"/>
      <c r="Q931" s="6"/>
    </row>
    <row r="932" ht="15.75" customHeight="1">
      <c r="B932" s="6"/>
      <c r="F932" s="6"/>
      <c r="G932" s="6"/>
      <c r="L932" s="6"/>
      <c r="P932" s="6"/>
      <c r="Q932" s="6"/>
    </row>
    <row r="933" ht="15.75" customHeight="1">
      <c r="B933" s="6"/>
      <c r="F933" s="6"/>
      <c r="G933" s="6"/>
      <c r="L933" s="6"/>
      <c r="P933" s="6"/>
      <c r="Q933" s="6"/>
    </row>
    <row r="934" ht="15.75" customHeight="1">
      <c r="B934" s="6"/>
      <c r="F934" s="6"/>
      <c r="G934" s="6"/>
      <c r="L934" s="6"/>
      <c r="P934" s="6"/>
      <c r="Q934" s="6"/>
    </row>
    <row r="935" ht="15.75" customHeight="1">
      <c r="B935" s="6"/>
      <c r="F935" s="6"/>
      <c r="G935" s="6"/>
      <c r="L935" s="6"/>
      <c r="P935" s="6"/>
      <c r="Q935" s="6"/>
    </row>
    <row r="936" ht="15.75" customHeight="1">
      <c r="B936" s="6"/>
      <c r="F936" s="6"/>
      <c r="G936" s="6"/>
      <c r="L936" s="6"/>
      <c r="P936" s="6"/>
      <c r="Q936" s="6"/>
    </row>
    <row r="937" ht="15.75" customHeight="1">
      <c r="B937" s="6"/>
      <c r="F937" s="6"/>
      <c r="G937" s="6"/>
      <c r="L937" s="6"/>
      <c r="P937" s="6"/>
      <c r="Q937" s="6"/>
    </row>
    <row r="938" ht="15.75" customHeight="1">
      <c r="B938" s="6"/>
      <c r="F938" s="6"/>
      <c r="G938" s="6"/>
      <c r="L938" s="6"/>
      <c r="P938" s="6"/>
      <c r="Q938" s="6"/>
    </row>
    <row r="939" ht="15.75" customHeight="1">
      <c r="B939" s="6"/>
      <c r="F939" s="6"/>
      <c r="G939" s="6"/>
      <c r="L939" s="6"/>
      <c r="P939" s="6"/>
      <c r="Q939" s="6"/>
    </row>
    <row r="940" ht="15.75" customHeight="1">
      <c r="B940" s="6"/>
      <c r="F940" s="6"/>
      <c r="G940" s="6"/>
      <c r="L940" s="6"/>
      <c r="P940" s="6"/>
      <c r="Q940" s="6"/>
    </row>
    <row r="941" ht="15.75" customHeight="1">
      <c r="B941" s="6"/>
      <c r="F941" s="6"/>
      <c r="G941" s="6"/>
      <c r="L941" s="6"/>
      <c r="P941" s="6"/>
      <c r="Q941" s="6"/>
    </row>
    <row r="942" ht="15.75" customHeight="1">
      <c r="B942" s="6"/>
      <c r="F942" s="6"/>
      <c r="G942" s="6"/>
      <c r="L942" s="6"/>
      <c r="P942" s="6"/>
      <c r="Q942" s="6"/>
    </row>
    <row r="943" ht="15.75" customHeight="1">
      <c r="B943" s="6"/>
      <c r="F943" s="6"/>
      <c r="G943" s="6"/>
      <c r="L943" s="6"/>
      <c r="P943" s="6"/>
      <c r="Q943" s="6"/>
    </row>
    <row r="944" ht="15.75" customHeight="1">
      <c r="B944" s="6"/>
      <c r="F944" s="6"/>
      <c r="G944" s="6"/>
      <c r="L944" s="6"/>
      <c r="P944" s="6"/>
      <c r="Q944" s="6"/>
    </row>
    <row r="945" ht="15.75" customHeight="1">
      <c r="B945" s="6"/>
      <c r="F945" s="6"/>
      <c r="G945" s="6"/>
      <c r="L945" s="6"/>
      <c r="P945" s="6"/>
      <c r="Q945" s="6"/>
    </row>
    <row r="946" ht="15.75" customHeight="1">
      <c r="B946" s="6"/>
      <c r="F946" s="6"/>
      <c r="G946" s="6"/>
      <c r="L946" s="6"/>
      <c r="P946" s="6"/>
      <c r="Q946" s="6"/>
    </row>
    <row r="947" ht="15.75" customHeight="1">
      <c r="B947" s="6"/>
      <c r="F947" s="6"/>
      <c r="G947" s="6"/>
      <c r="L947" s="6"/>
      <c r="P947" s="6"/>
      <c r="Q947" s="6"/>
    </row>
    <row r="948" ht="15.75" customHeight="1">
      <c r="B948" s="6"/>
      <c r="F948" s="6"/>
      <c r="G948" s="6"/>
      <c r="L948" s="6"/>
      <c r="P948" s="6"/>
      <c r="Q948" s="6"/>
    </row>
    <row r="949" ht="15.75" customHeight="1">
      <c r="B949" s="6"/>
      <c r="F949" s="6"/>
      <c r="G949" s="6"/>
      <c r="L949" s="6"/>
      <c r="P949" s="6"/>
      <c r="Q949" s="6"/>
    </row>
    <row r="950" ht="15.75" customHeight="1">
      <c r="B950" s="6"/>
      <c r="F950" s="6"/>
      <c r="G950" s="6"/>
      <c r="L950" s="6"/>
      <c r="P950" s="6"/>
      <c r="Q950" s="6"/>
    </row>
    <row r="951" ht="15.75" customHeight="1">
      <c r="B951" s="6"/>
      <c r="F951" s="6"/>
      <c r="G951" s="6"/>
      <c r="L951" s="6"/>
      <c r="P951" s="6"/>
      <c r="Q951" s="6"/>
    </row>
    <row r="952" ht="15.75" customHeight="1">
      <c r="B952" s="6"/>
      <c r="F952" s="6"/>
      <c r="G952" s="6"/>
      <c r="L952" s="6"/>
      <c r="P952" s="6"/>
      <c r="Q952" s="6"/>
    </row>
    <row r="953" ht="15.75" customHeight="1">
      <c r="B953" s="6"/>
      <c r="F953" s="6"/>
      <c r="G953" s="6"/>
      <c r="L953" s="6"/>
      <c r="P953" s="6"/>
      <c r="Q953" s="6"/>
    </row>
    <row r="954" ht="15.75" customHeight="1">
      <c r="B954" s="6"/>
      <c r="F954" s="6"/>
      <c r="G954" s="6"/>
      <c r="L954" s="6"/>
      <c r="P954" s="6"/>
      <c r="Q954" s="6"/>
    </row>
    <row r="955" ht="15.75" customHeight="1">
      <c r="B955" s="6"/>
      <c r="F955" s="6"/>
      <c r="G955" s="6"/>
      <c r="L955" s="6"/>
      <c r="P955" s="6"/>
      <c r="Q955" s="6"/>
    </row>
    <row r="956" ht="15.75" customHeight="1">
      <c r="B956" s="6"/>
      <c r="F956" s="6"/>
      <c r="G956" s="6"/>
      <c r="L956" s="6"/>
      <c r="P956" s="6"/>
      <c r="Q956" s="6"/>
    </row>
    <row r="957" ht="15.75" customHeight="1">
      <c r="B957" s="6"/>
      <c r="F957" s="6"/>
      <c r="G957" s="6"/>
      <c r="L957" s="6"/>
      <c r="P957" s="6"/>
      <c r="Q957" s="6"/>
    </row>
    <row r="958" ht="15.75" customHeight="1">
      <c r="B958" s="6"/>
      <c r="F958" s="6"/>
      <c r="G958" s="6"/>
      <c r="L958" s="6"/>
      <c r="P958" s="6"/>
      <c r="Q958" s="6"/>
    </row>
    <row r="959" ht="15.75" customHeight="1">
      <c r="B959" s="6"/>
      <c r="F959" s="6"/>
      <c r="G959" s="6"/>
      <c r="L959" s="6"/>
      <c r="P959" s="6"/>
      <c r="Q959" s="6"/>
    </row>
    <row r="960" ht="15.75" customHeight="1">
      <c r="B960" s="6"/>
      <c r="F960" s="6"/>
      <c r="G960" s="6"/>
      <c r="L960" s="6"/>
      <c r="P960" s="6"/>
      <c r="Q960" s="6"/>
    </row>
    <row r="961" ht="15.75" customHeight="1">
      <c r="B961" s="6"/>
      <c r="F961" s="6"/>
      <c r="G961" s="6"/>
      <c r="L961" s="6"/>
      <c r="P961" s="6"/>
      <c r="Q961" s="6"/>
    </row>
    <row r="962" ht="15.75" customHeight="1">
      <c r="B962" s="6"/>
      <c r="F962" s="6"/>
      <c r="G962" s="6"/>
      <c r="L962" s="6"/>
      <c r="P962" s="6"/>
      <c r="Q962" s="6"/>
    </row>
    <row r="963" ht="15.75" customHeight="1">
      <c r="B963" s="6"/>
      <c r="F963" s="6"/>
      <c r="G963" s="6"/>
      <c r="L963" s="6"/>
      <c r="P963" s="6"/>
      <c r="Q963" s="6"/>
    </row>
    <row r="964" ht="15.75" customHeight="1">
      <c r="B964" s="6"/>
      <c r="F964" s="6"/>
      <c r="G964" s="6"/>
      <c r="L964" s="6"/>
      <c r="P964" s="6"/>
      <c r="Q964" s="6"/>
    </row>
    <row r="965" ht="15.75" customHeight="1">
      <c r="B965" s="6"/>
      <c r="F965" s="6"/>
      <c r="G965" s="6"/>
      <c r="L965" s="6"/>
      <c r="P965" s="6"/>
      <c r="Q965" s="6"/>
    </row>
    <row r="966" ht="15.75" customHeight="1">
      <c r="B966" s="6"/>
      <c r="F966" s="6"/>
      <c r="G966" s="6"/>
      <c r="L966" s="6"/>
      <c r="P966" s="6"/>
      <c r="Q966" s="6"/>
    </row>
    <row r="967" ht="15.75" customHeight="1">
      <c r="B967" s="6"/>
      <c r="F967" s="6"/>
      <c r="G967" s="6"/>
      <c r="L967" s="6"/>
      <c r="P967" s="6"/>
      <c r="Q967" s="6"/>
    </row>
    <row r="968" ht="15.75" customHeight="1">
      <c r="B968" s="6"/>
      <c r="F968" s="6"/>
      <c r="G968" s="6"/>
      <c r="L968" s="6"/>
      <c r="P968" s="6"/>
      <c r="Q968" s="6"/>
    </row>
    <row r="969" ht="15.75" customHeight="1">
      <c r="B969" s="6"/>
      <c r="F969" s="6"/>
      <c r="G969" s="6"/>
      <c r="L969" s="6"/>
      <c r="P969" s="6"/>
      <c r="Q969" s="6"/>
    </row>
    <row r="970" ht="15.75" customHeight="1">
      <c r="B970" s="6"/>
      <c r="F970" s="6"/>
      <c r="G970" s="6"/>
      <c r="L970" s="6"/>
      <c r="P970" s="6"/>
      <c r="Q970" s="6"/>
    </row>
    <row r="971" ht="15.75" customHeight="1">
      <c r="B971" s="6"/>
      <c r="F971" s="6"/>
      <c r="G971" s="6"/>
      <c r="L971" s="6"/>
      <c r="P971" s="6"/>
      <c r="Q971" s="6"/>
    </row>
    <row r="972" ht="15.75" customHeight="1">
      <c r="B972" s="6"/>
      <c r="F972" s="6"/>
      <c r="G972" s="6"/>
      <c r="L972" s="6"/>
      <c r="P972" s="6"/>
      <c r="Q972" s="6"/>
    </row>
    <row r="973" ht="15.75" customHeight="1">
      <c r="B973" s="6"/>
      <c r="F973" s="6"/>
      <c r="G973" s="6"/>
      <c r="L973" s="6"/>
      <c r="P973" s="6"/>
      <c r="Q973" s="6"/>
    </row>
    <row r="974" ht="15.75" customHeight="1">
      <c r="B974" s="6"/>
      <c r="F974" s="6"/>
      <c r="G974" s="6"/>
      <c r="L974" s="6"/>
      <c r="P974" s="6"/>
      <c r="Q974" s="6"/>
    </row>
    <row r="975" ht="15.75" customHeight="1">
      <c r="B975" s="6"/>
      <c r="F975" s="6"/>
      <c r="G975" s="6"/>
      <c r="L975" s="6"/>
      <c r="P975" s="6"/>
      <c r="Q975" s="6"/>
    </row>
    <row r="976" ht="15.75" customHeight="1">
      <c r="B976" s="6"/>
      <c r="F976" s="6"/>
      <c r="G976" s="6"/>
      <c r="L976" s="6"/>
      <c r="P976" s="6"/>
      <c r="Q976" s="6"/>
    </row>
    <row r="977" ht="15.75" customHeight="1">
      <c r="B977" s="6"/>
      <c r="F977" s="6"/>
      <c r="G977" s="6"/>
      <c r="L977" s="6"/>
      <c r="P977" s="6"/>
      <c r="Q977" s="6"/>
    </row>
    <row r="978" ht="15.75" customHeight="1">
      <c r="B978" s="6"/>
      <c r="F978" s="6"/>
      <c r="G978" s="6"/>
      <c r="L978" s="6"/>
      <c r="P978" s="6"/>
      <c r="Q978" s="6"/>
    </row>
    <row r="979" ht="15.75" customHeight="1">
      <c r="B979" s="6"/>
      <c r="F979" s="6"/>
      <c r="G979" s="6"/>
      <c r="L979" s="6"/>
      <c r="P979" s="6"/>
      <c r="Q979" s="6"/>
    </row>
    <row r="980" ht="15.75" customHeight="1">
      <c r="B980" s="6"/>
      <c r="F980" s="6"/>
      <c r="G980" s="6"/>
      <c r="L980" s="6"/>
      <c r="P980" s="6"/>
      <c r="Q980" s="6"/>
    </row>
    <row r="981" ht="15.75" customHeight="1">
      <c r="B981" s="6"/>
      <c r="F981" s="6"/>
      <c r="G981" s="6"/>
      <c r="L981" s="6"/>
      <c r="P981" s="6"/>
      <c r="Q981" s="6"/>
    </row>
    <row r="982" ht="15.75" customHeight="1">
      <c r="B982" s="6"/>
      <c r="F982" s="6"/>
      <c r="G982" s="6"/>
      <c r="L982" s="6"/>
      <c r="P982" s="6"/>
      <c r="Q982" s="6"/>
    </row>
    <row r="983" ht="15.75" customHeight="1">
      <c r="B983" s="6"/>
      <c r="F983" s="6"/>
      <c r="G983" s="6"/>
      <c r="L983" s="6"/>
      <c r="P983" s="6"/>
      <c r="Q983" s="6"/>
    </row>
    <row r="984" ht="15.75" customHeight="1">
      <c r="B984" s="6"/>
      <c r="F984" s="6"/>
      <c r="G984" s="6"/>
      <c r="L984" s="6"/>
      <c r="P984" s="6"/>
      <c r="Q984" s="6"/>
    </row>
    <row r="985" ht="15.75" customHeight="1">
      <c r="B985" s="6"/>
      <c r="F985" s="6"/>
      <c r="G985" s="6"/>
      <c r="L985" s="6"/>
      <c r="P985" s="6"/>
      <c r="Q985" s="6"/>
    </row>
    <row r="986" ht="15.75" customHeight="1">
      <c r="B986" s="6"/>
      <c r="F986" s="6"/>
      <c r="G986" s="6"/>
      <c r="L986" s="6"/>
      <c r="P986" s="6"/>
      <c r="Q986" s="6"/>
    </row>
    <row r="987" ht="15.75" customHeight="1">
      <c r="B987" s="6"/>
      <c r="F987" s="6"/>
      <c r="G987" s="6"/>
      <c r="L987" s="6"/>
      <c r="P987" s="6"/>
      <c r="Q987" s="6"/>
    </row>
    <row r="988" ht="15.75" customHeight="1">
      <c r="B988" s="6"/>
      <c r="F988" s="6"/>
      <c r="G988" s="6"/>
      <c r="L988" s="6"/>
      <c r="P988" s="6"/>
      <c r="Q988" s="6"/>
    </row>
    <row r="989" ht="15.75" customHeight="1">
      <c r="B989" s="6"/>
      <c r="F989" s="6"/>
      <c r="G989" s="6"/>
      <c r="L989" s="6"/>
      <c r="P989" s="6"/>
      <c r="Q989" s="6"/>
    </row>
    <row r="990" ht="15.75" customHeight="1">
      <c r="B990" s="6"/>
      <c r="F990" s="6"/>
      <c r="G990" s="6"/>
      <c r="L990" s="6"/>
      <c r="P990" s="6"/>
      <c r="Q990" s="6"/>
    </row>
    <row r="991" ht="15.75" customHeight="1">
      <c r="B991" s="6"/>
      <c r="F991" s="6"/>
      <c r="G991" s="6"/>
      <c r="L991" s="6"/>
      <c r="P991" s="6"/>
      <c r="Q991" s="6"/>
    </row>
    <row r="992" ht="15.75" customHeight="1">
      <c r="B992" s="6"/>
      <c r="F992" s="6"/>
      <c r="G992" s="6"/>
      <c r="L992" s="6"/>
      <c r="P992" s="6"/>
      <c r="Q992" s="6"/>
    </row>
    <row r="993" ht="15.75" customHeight="1">
      <c r="B993" s="6"/>
      <c r="F993" s="6"/>
      <c r="G993" s="6"/>
      <c r="L993" s="6"/>
      <c r="P993" s="6"/>
      <c r="Q993" s="6"/>
    </row>
    <row r="994" ht="15.75" customHeight="1">
      <c r="B994" s="6"/>
      <c r="F994" s="6"/>
      <c r="G994" s="6"/>
      <c r="L994" s="6"/>
      <c r="P994" s="6"/>
      <c r="Q994" s="6"/>
    </row>
    <row r="995" ht="15.75" customHeight="1">
      <c r="B995" s="6"/>
      <c r="F995" s="6"/>
      <c r="G995" s="6"/>
      <c r="L995" s="6"/>
      <c r="P995" s="6"/>
      <c r="Q995" s="6"/>
    </row>
    <row r="996" ht="15.75" customHeight="1">
      <c r="B996" s="6"/>
      <c r="F996" s="6"/>
      <c r="G996" s="6"/>
      <c r="L996" s="6"/>
      <c r="P996" s="6"/>
      <c r="Q996" s="6"/>
    </row>
    <row r="997" ht="15.75" customHeight="1">
      <c r="B997" s="6"/>
      <c r="F997" s="6"/>
      <c r="G997" s="6"/>
      <c r="L997" s="6"/>
      <c r="P997" s="6"/>
      <c r="Q997" s="6"/>
    </row>
    <row r="998" ht="15.75" customHeight="1">
      <c r="B998" s="6"/>
      <c r="F998" s="6"/>
      <c r="G998" s="6"/>
      <c r="L998" s="6"/>
      <c r="P998" s="6"/>
      <c r="Q998" s="6"/>
    </row>
    <row r="999" ht="15.75" customHeight="1">
      <c r="B999" s="6"/>
      <c r="F999" s="6"/>
      <c r="G999" s="6"/>
      <c r="L999" s="6"/>
      <c r="P999" s="6"/>
      <c r="Q999" s="6"/>
    </row>
    <row r="1000" ht="15.75" customHeight="1">
      <c r="B1000" s="6"/>
      <c r="F1000" s="6"/>
      <c r="G1000" s="6"/>
      <c r="L1000" s="6"/>
      <c r="P1000" s="6"/>
      <c r="Q1000" s="6"/>
    </row>
  </sheetData>
  <autoFilter ref="$A$1:$Q$35"/>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2.0"/>
    <col customWidth="1" min="2" max="3" width="13.0"/>
    <col customWidth="1" min="4" max="4" width="40.0"/>
    <col customWidth="1" min="5" max="26" width="8.71"/>
  </cols>
  <sheetData>
    <row r="1" ht="17.25" customHeight="1">
      <c r="A1" s="4" t="s">
        <v>2</v>
      </c>
      <c r="B1" s="6"/>
      <c r="C1" s="6"/>
      <c r="D1" s="6"/>
    </row>
    <row r="2" ht="15.0" customHeight="1">
      <c r="A2" s="7" t="s">
        <v>29</v>
      </c>
      <c r="B2" s="6"/>
      <c r="C2" s="6"/>
      <c r="D2" s="6"/>
    </row>
    <row r="3">
      <c r="A3" s="6"/>
      <c r="B3" s="6"/>
      <c r="C3" s="6"/>
      <c r="D3" s="6"/>
    </row>
    <row r="4" ht="15.0" customHeight="1">
      <c r="A4" s="5" t="s">
        <v>38</v>
      </c>
      <c r="B4" s="6"/>
      <c r="C4" s="6"/>
      <c r="D4" s="6"/>
    </row>
    <row r="5" ht="15.0" customHeight="1">
      <c r="A5" s="7" t="s">
        <v>43</v>
      </c>
      <c r="B5" s="6"/>
      <c r="C5" s="6"/>
      <c r="D5" s="6"/>
    </row>
    <row r="6" ht="15.0" customHeight="1">
      <c r="A6" s="11" t="s">
        <v>51</v>
      </c>
      <c r="B6" s="14" t="s">
        <v>62</v>
      </c>
      <c r="C6" s="14" t="s">
        <v>68</v>
      </c>
      <c r="D6" s="6"/>
    </row>
    <row r="7" ht="15.0" customHeight="1">
      <c r="A7" s="15" t="s">
        <v>76</v>
      </c>
      <c r="B7" s="16">
        <f>COUNTA(Companies!$B$2:$B$186)</f>
        <v>185</v>
      </c>
      <c r="C7" s="17" t="s">
        <v>160</v>
      </c>
      <c r="D7" s="6"/>
    </row>
    <row r="8" ht="15.0" customHeight="1">
      <c r="A8" s="18" t="s">
        <v>171</v>
      </c>
      <c r="B8" s="19">
        <f>COUNTIF(Companies!$D$2:$D$186,TRUE())</f>
        <v>34</v>
      </c>
      <c r="C8" s="17" t="s">
        <v>193</v>
      </c>
      <c r="D8" s="6"/>
    </row>
    <row r="9" ht="15.0" customHeight="1">
      <c r="A9" s="20" t="s">
        <v>195</v>
      </c>
      <c r="B9" s="21">
        <f>COUNTIF(Companies!$D$2:$D$186,FALSE())</f>
        <v>151</v>
      </c>
      <c r="C9" s="17" t="s">
        <v>209</v>
      </c>
      <c r="D9" s="6"/>
    </row>
    <row r="10" ht="15.0" customHeight="1">
      <c r="A10" s="20" t="s">
        <v>210</v>
      </c>
      <c r="B10" s="21">
        <f>COUNTIF(Companies!$N$2:$N$186,TRUE())</f>
        <v>15</v>
      </c>
      <c r="C10" s="6"/>
      <c r="D10" s="6"/>
    </row>
    <row r="11" ht="15.0" customHeight="1">
      <c r="A11" s="20" t="s">
        <v>222</v>
      </c>
      <c r="B11" s="21">
        <f>COUNTIF(Companies!$R$2:$R$186,TRUE())</f>
        <v>6</v>
      </c>
      <c r="C11" s="6"/>
      <c r="D11" s="6"/>
    </row>
    <row r="12">
      <c r="A12" s="6"/>
      <c r="B12" s="6"/>
      <c r="C12" s="6"/>
      <c r="D12" s="6"/>
    </row>
    <row r="13">
      <c r="A13" s="6"/>
      <c r="B13" s="6"/>
      <c r="C13" s="6"/>
      <c r="D13" s="6"/>
    </row>
    <row r="14" ht="15.0" customHeight="1">
      <c r="A14" s="5" t="s">
        <v>237</v>
      </c>
      <c r="B14" s="6"/>
      <c r="C14" s="6"/>
      <c r="D14" s="6"/>
    </row>
    <row r="15" ht="15.0" customHeight="1">
      <c r="A15" s="7" t="s">
        <v>239</v>
      </c>
      <c r="B15" s="6"/>
      <c r="C15" s="6"/>
      <c r="D15" s="6"/>
    </row>
    <row r="16" ht="15.0" customHeight="1">
      <c r="A16" s="11" t="s">
        <v>241</v>
      </c>
      <c r="B16" s="14" t="s">
        <v>242</v>
      </c>
      <c r="C16" s="14" t="s">
        <v>68</v>
      </c>
      <c r="D16" s="6"/>
    </row>
    <row r="17" ht="15.0" customHeight="1">
      <c r="A17" s="20" t="s">
        <v>143</v>
      </c>
      <c r="B17" s="21">
        <f>COUNTIFS(Companies!$N$2:$N$186,TRUE(),Companies!$AC$2:$AC$186,"Massachusetts")</f>
        <v>5</v>
      </c>
      <c r="C17" s="6"/>
      <c r="D17" s="6"/>
    </row>
    <row r="18" ht="15.0" customHeight="1">
      <c r="A18" s="20" t="s">
        <v>166</v>
      </c>
      <c r="B18" s="21">
        <f>COUNTIFS(Companies!$N$2:$N$186,TRUE(),Companies!$AC$2:$AC$186,"California")</f>
        <v>2</v>
      </c>
      <c r="C18" s="6"/>
      <c r="D18" s="6"/>
    </row>
    <row r="19" ht="15.0" customHeight="1">
      <c r="A19" s="20" t="s">
        <v>103</v>
      </c>
      <c r="B19" s="21">
        <f>COUNTIFS(Companies!$N$2:$N$186,TRUE(),Companies!$AC$2:$AC$186,"North Carolina")</f>
        <v>2</v>
      </c>
      <c r="C19" s="6"/>
      <c r="D19" s="6"/>
    </row>
    <row r="20" ht="15.0" customHeight="1">
      <c r="A20" s="20" t="s">
        <v>86</v>
      </c>
      <c r="B20" s="21">
        <f>COUNTIFS(Companies!$N$2:$N$186,TRUE(),Companies!$AC$2:$AC$186,"Pennsylvania")</f>
        <v>2</v>
      </c>
      <c r="C20" s="6"/>
      <c r="D20" s="6"/>
    </row>
    <row r="21" ht="15.0" customHeight="1">
      <c r="A21" s="20" t="s">
        <v>253</v>
      </c>
      <c r="B21" s="21">
        <f>COUNTIFS(Companies!$N$2:$N$186,TRUE(),Companies!$AC$2:$AC$186,"Connecticut")</f>
        <v>1</v>
      </c>
      <c r="C21" s="6"/>
      <c r="D21" s="6"/>
    </row>
    <row r="22" ht="15.0" customHeight="1">
      <c r="A22" s="20" t="s">
        <v>70</v>
      </c>
      <c r="B22" s="21">
        <f>COUNTIFS(Companies!$N$2:$N$186,TRUE(),Companies!$AC$2:$AC$186,"England")</f>
        <v>2</v>
      </c>
      <c r="C22" s="6"/>
      <c r="D22" s="6"/>
    </row>
    <row r="23" ht="15.0" customHeight="1">
      <c r="A23" s="20" t="s">
        <v>247</v>
      </c>
      <c r="B23" s="21">
        <f>COUNTIFS(Companies!$N$2:$N$186,TRUE(),Companies!$AC$2:$AC$186,"New York")</f>
        <v>0</v>
      </c>
      <c r="C23" s="6"/>
      <c r="D23" s="6"/>
    </row>
    <row r="24" ht="15.0" customHeight="1">
      <c r="A24" s="20" t="s">
        <v>316</v>
      </c>
      <c r="B24" s="21">
        <f>COUNTIFS(Companies!$N$2:$N$186,TRUE(),Companies!$AC$2:$AC$186,"Texas")</f>
        <v>0</v>
      </c>
      <c r="C24" s="6"/>
      <c r="D24" s="6"/>
    </row>
    <row r="25" ht="15.0" customHeight="1">
      <c r="A25" s="20" t="s">
        <v>322</v>
      </c>
      <c r="B25" s="21">
        <f>COUNTIFS(Companies!$N$2:$N$186,TRUE(),Companies!$AC$2:$AC$186,"Washington")</f>
        <v>0</v>
      </c>
      <c r="C25" s="6"/>
      <c r="D25" s="6"/>
    </row>
    <row r="26" ht="15.0" customHeight="1">
      <c r="A26" s="20" t="s">
        <v>324</v>
      </c>
      <c r="B26" s="21">
        <f>COUNTIFS(Companies!$N$2:$N$186,TRUE(),Companies!$AC$2:$AC$186,"Colorado")</f>
        <v>0</v>
      </c>
      <c r="C26" s="6"/>
      <c r="D26" s="6"/>
    </row>
    <row r="27" ht="15.0" customHeight="1">
      <c r="A27" s="23" t="s">
        <v>327</v>
      </c>
      <c r="B27" s="24">
        <f>COUNTIFS(Companies!$N$2:$N$186,TRUE(),Companies!$AC$2:$AC$186,"")</f>
        <v>1</v>
      </c>
      <c r="C27" s="17" t="s">
        <v>331</v>
      </c>
      <c r="D27" s="6"/>
    </row>
    <row r="28" ht="15.0" customHeight="1">
      <c r="A28" s="25" t="s">
        <v>332</v>
      </c>
      <c r="B28" s="26">
        <f>SUM(B17:B27)</f>
        <v>15</v>
      </c>
      <c r="C28" s="6"/>
      <c r="D28" s="6"/>
    </row>
    <row r="29" ht="15.0" customHeight="1">
      <c r="A29" s="25" t="s">
        <v>335</v>
      </c>
      <c r="B29" s="26" t="str">
        <f>IF(SUM(B17:B27)=COUNTIF(Companies!$N$2:$N$186,TRUE()),"OK","MISMATCH - add a state row")</f>
        <v>OK</v>
      </c>
      <c r="C29" s="6"/>
      <c r="D29" s="6"/>
    </row>
    <row r="30" ht="15.0" customHeight="1">
      <c r="A30" s="20" t="s">
        <v>342</v>
      </c>
      <c r="B30" s="27">
        <f>IF(COUNTIF(Companies!$N$2:$N$186,TRUE())=0,"n/a",1-COUNTIFS(Companies!$N$2:$N$186,TRUE(),Companies!$AC$2:$AC$186,"")/COUNTIF(Companies!$N$2:$N$186,TRUE()))</f>
        <v>0.9333333333</v>
      </c>
      <c r="C30" s="17" t="s">
        <v>345</v>
      </c>
      <c r="D30" s="6"/>
    </row>
    <row r="31" ht="15.75" customHeight="1">
      <c r="A31" s="6"/>
      <c r="B31" s="6"/>
      <c r="C31" s="6"/>
      <c r="D31" s="6"/>
    </row>
    <row r="32" ht="15.75" customHeight="1">
      <c r="A32" s="6"/>
      <c r="B32" s="6"/>
      <c r="C32" s="6"/>
      <c r="D32" s="6"/>
    </row>
    <row r="33" ht="15.0" customHeight="1">
      <c r="A33" s="5" t="s">
        <v>346</v>
      </c>
      <c r="B33" s="6"/>
      <c r="C33" s="6"/>
      <c r="D33" s="6"/>
    </row>
    <row r="34" ht="15.0" customHeight="1">
      <c r="A34" s="11" t="s">
        <v>350</v>
      </c>
      <c r="B34" s="14" t="s">
        <v>242</v>
      </c>
      <c r="C34" s="14" t="s">
        <v>68</v>
      </c>
      <c r="D34" s="6"/>
    </row>
    <row r="35" ht="15.0" customHeight="1">
      <c r="A35" s="20" t="s">
        <v>87</v>
      </c>
      <c r="B35" s="21">
        <f>COUNTIFS(Companies!$N$2:$N$186,TRUE(),Companies!$AD$2:$AD$186,"United States")</f>
        <v>12</v>
      </c>
      <c r="C35" s="6"/>
      <c r="D35" s="6"/>
    </row>
    <row r="36" ht="15.0" customHeight="1">
      <c r="A36" s="20" t="s">
        <v>71</v>
      </c>
      <c r="B36" s="21">
        <f>COUNTIFS(Companies!$N$2:$N$186,TRUE(),Companies!$AD$2:$AD$186,"United Kingdom")</f>
        <v>2</v>
      </c>
      <c r="C36" s="6"/>
      <c r="D36" s="6"/>
    </row>
    <row r="37" ht="15.0" customHeight="1">
      <c r="A37" s="20" t="s">
        <v>355</v>
      </c>
      <c r="B37" s="21">
        <f>COUNTIFS(Companies!$N$2:$N$186,TRUE(),Companies!$AD$2:$AD$186,"Canada")</f>
        <v>0</v>
      </c>
      <c r="C37" s="6"/>
      <c r="D37" s="6"/>
    </row>
    <row r="38" ht="15.0" customHeight="1">
      <c r="A38" s="20" t="s">
        <v>356</v>
      </c>
      <c r="B38" s="21">
        <f>COUNTIFS(Companies!$N$2:$N$186,TRUE(),Companies!$AD$2:$AD$186,"Germany")</f>
        <v>0</v>
      </c>
      <c r="C38" s="6"/>
      <c r="D38" s="6"/>
    </row>
    <row r="39" ht="15.0" customHeight="1">
      <c r="A39" s="20" t="s">
        <v>359</v>
      </c>
      <c r="B39" s="21">
        <f>COUNTIFS(Companies!$N$2:$N$186,TRUE(),Companies!$AD$2:$AD$186,"Switzerland")</f>
        <v>0</v>
      </c>
      <c r="C39" s="6"/>
      <c r="D39" s="6"/>
    </row>
    <row r="40" ht="15.0" customHeight="1">
      <c r="A40" s="20" t="s">
        <v>361</v>
      </c>
      <c r="B40" s="21">
        <f>COUNTIFS(Companies!$N$2:$N$186,TRUE(),Companies!$AD$2:$AD$186,"Israel")</f>
        <v>0</v>
      </c>
      <c r="C40" s="6"/>
      <c r="D40" s="6"/>
    </row>
    <row r="41" ht="15.0" customHeight="1">
      <c r="A41" s="20" t="s">
        <v>364</v>
      </c>
      <c r="B41" s="21">
        <f>COUNTIFS(Companies!$N$2:$N$186,TRUE(),Companies!$AD$2:$AD$186,"France")</f>
        <v>0</v>
      </c>
      <c r="C41" s="6"/>
      <c r="D41" s="6"/>
    </row>
    <row r="42" ht="15.0" customHeight="1">
      <c r="A42" s="23" t="s">
        <v>367</v>
      </c>
      <c r="B42" s="24">
        <f>COUNTIFS(Companies!$N$2:$N$186,TRUE(),Companies!$AD$2:$AD$186,"")</f>
        <v>1</v>
      </c>
      <c r="C42" s="6"/>
      <c r="D42" s="6"/>
    </row>
    <row r="43" ht="15.0" customHeight="1">
      <c r="A43" s="25" t="s">
        <v>332</v>
      </c>
      <c r="B43" s="26">
        <f>SUM(B35:B42)</f>
        <v>15</v>
      </c>
      <c r="C43" s="6"/>
      <c r="D43" s="6"/>
    </row>
    <row r="44" ht="15.75" customHeight="1">
      <c r="A44" s="6"/>
      <c r="B44" s="6"/>
      <c r="C44" s="6"/>
      <c r="D44" s="6"/>
    </row>
    <row r="45" ht="15.75" customHeight="1">
      <c r="A45" s="6"/>
      <c r="B45" s="6"/>
      <c r="C45" s="6"/>
      <c r="D45" s="6"/>
    </row>
    <row r="46" ht="15.0" customHeight="1">
      <c r="A46" s="5" t="s">
        <v>368</v>
      </c>
      <c r="B46" s="6"/>
      <c r="C46" s="6"/>
      <c r="D46" s="6"/>
    </row>
    <row r="47" ht="15.0" customHeight="1">
      <c r="A47" s="7" t="s">
        <v>372</v>
      </c>
      <c r="B47" s="6"/>
      <c r="C47" s="6"/>
      <c r="D47" s="6"/>
    </row>
    <row r="48" ht="15.0" customHeight="1">
      <c r="A48" s="11" t="s">
        <v>373</v>
      </c>
      <c r="B48" s="14" t="s">
        <v>242</v>
      </c>
      <c r="C48" s="14" t="s">
        <v>374</v>
      </c>
      <c r="D48" s="14" t="s">
        <v>68</v>
      </c>
    </row>
    <row r="49" ht="15.0" customHeight="1">
      <c r="A49" s="20" t="s">
        <v>281</v>
      </c>
      <c r="B49" s="21">
        <f>COUNTIF(Companies!$Z$2:$Z$186,"Preseed")</f>
        <v>14</v>
      </c>
      <c r="C49" s="27">
        <f t="shared" ref="C49:C53" si="1">IF(($B$55-$B$54)=0,"",B49/($B$55-$B$54))</f>
        <v>0.128440367</v>
      </c>
      <c r="D49" s="6"/>
    </row>
    <row r="50" ht="15.0" customHeight="1">
      <c r="A50" s="20" t="s">
        <v>119</v>
      </c>
      <c r="B50" s="21">
        <f>COUNTIF(Companies!$Z$2:$Z$186,"Seed")</f>
        <v>67</v>
      </c>
      <c r="C50" s="27">
        <f t="shared" si="1"/>
        <v>0.6146788991</v>
      </c>
      <c r="D50" s="6"/>
    </row>
    <row r="51" ht="15.0" customHeight="1">
      <c r="A51" s="20" t="s">
        <v>56</v>
      </c>
      <c r="B51" s="21">
        <f>COUNTIF(Companies!$Z$2:$Z$186,"Series A")</f>
        <v>23</v>
      </c>
      <c r="C51" s="27">
        <f t="shared" si="1"/>
        <v>0.2110091743</v>
      </c>
      <c r="D51" s="6"/>
    </row>
    <row r="52" ht="15.0" customHeight="1">
      <c r="A52" s="20" t="s">
        <v>265</v>
      </c>
      <c r="B52" s="21">
        <f>COUNTIF(Companies!$Z$2:$Z$186,"Series B")</f>
        <v>5</v>
      </c>
      <c r="C52" s="27">
        <f t="shared" si="1"/>
        <v>0.04587155963</v>
      </c>
      <c r="D52" s="6"/>
    </row>
    <row r="53" ht="15.0" customHeight="1">
      <c r="A53" s="20" t="s">
        <v>380</v>
      </c>
      <c r="B53" s="21">
        <f>COUNTIF(Companies!$Z$2:$Z$186,"Series C")</f>
        <v>0</v>
      </c>
      <c r="C53" s="27">
        <f t="shared" si="1"/>
        <v>0</v>
      </c>
      <c r="D53" s="6"/>
    </row>
    <row r="54" ht="15.0" customHeight="1">
      <c r="A54" s="23" t="s">
        <v>381</v>
      </c>
      <c r="B54" s="24">
        <f>COUNTIF(Companies!$Z$2:$Z$186,"")</f>
        <v>76</v>
      </c>
      <c r="C54" s="17" t="s">
        <v>385</v>
      </c>
      <c r="D54" s="6"/>
    </row>
    <row r="55" ht="15.0" customHeight="1">
      <c r="A55" s="25" t="s">
        <v>386</v>
      </c>
      <c r="B55" s="26">
        <f>COUNTA(Companies!$B$2:$B$186)</f>
        <v>185</v>
      </c>
      <c r="C55" s="6"/>
      <c r="D55" s="6"/>
    </row>
    <row r="56" ht="15.0" customHeight="1">
      <c r="A56" s="20" t="s">
        <v>387</v>
      </c>
      <c r="B56" s="27">
        <f>1-COUNTIF(Companies!$Z$2:$Z$186,"")/COUNTA(Companies!$B$2:$B$186)</f>
        <v>0.5891891892</v>
      </c>
      <c r="C56" s="17" t="s">
        <v>390</v>
      </c>
      <c r="D56" s="6"/>
    </row>
    <row r="57" ht="15.75" customHeight="1">
      <c r="A57" s="6"/>
      <c r="B57" s="6"/>
      <c r="C57" s="6"/>
      <c r="D57" s="6"/>
    </row>
    <row r="58" ht="15.75" customHeight="1">
      <c r="A58" s="6"/>
      <c r="B58" s="6"/>
      <c r="C58" s="6"/>
      <c r="D58" s="6"/>
    </row>
    <row r="59" ht="15.0" customHeight="1">
      <c r="A59" s="5" t="s">
        <v>391</v>
      </c>
      <c r="B59" s="6"/>
      <c r="C59" s="6"/>
      <c r="D59" s="6"/>
    </row>
    <row r="60" ht="15.0" customHeight="1">
      <c r="A60" s="7" t="s">
        <v>392</v>
      </c>
      <c r="B60" s="6"/>
      <c r="C60" s="6"/>
      <c r="D60" s="6"/>
    </row>
    <row r="61" ht="15.0" customHeight="1">
      <c r="A61" s="11" t="s">
        <v>373</v>
      </c>
      <c r="B61" s="14" t="s">
        <v>242</v>
      </c>
      <c r="C61" s="14" t="s">
        <v>374</v>
      </c>
      <c r="D61" s="14" t="s">
        <v>68</v>
      </c>
    </row>
    <row r="62" ht="15.0" customHeight="1">
      <c r="A62" s="20" t="s">
        <v>281</v>
      </c>
      <c r="B62" s="21">
        <f>COUNTIFS(Companies!$D$2:$D$186,TRUE(),Companies!$Z$2:$Z$186,"Preseed")</f>
        <v>2</v>
      </c>
      <c r="C62" s="27">
        <f>IF((COUNTIF(Companies!$D$2:$D$186,TRUE())-COUNTIFS(Companies!$D$2:$D$186,TRUE(),Companies!$Z$2:$Z$186,""))=0,"",B62/(COUNTIF(Companies!$D$2:$D$186,TRUE())-COUNTIFS(Companies!$D$2:$D$186,TRUE(),Companies!$Z$2:$Z$186,"")))</f>
        <v>0.06060606061</v>
      </c>
      <c r="D62" s="6"/>
    </row>
    <row r="63" ht="15.0" customHeight="1">
      <c r="A63" s="20" t="s">
        <v>119</v>
      </c>
      <c r="B63" s="21">
        <f>COUNTIFS(Companies!$D$2:$D$186,TRUE(),Companies!$Z$2:$Z$186,"Seed")</f>
        <v>20</v>
      </c>
      <c r="C63" s="27">
        <f>IF((COUNTIF(Companies!$D$2:$D$186,TRUE())-COUNTIFS(Companies!$D$2:$D$186,TRUE(),Companies!$Z$2:$Z$186,""))=0,"",B63/(COUNTIF(Companies!$D$2:$D$186,TRUE())-COUNTIFS(Companies!$D$2:$D$186,TRUE(),Companies!$Z$2:$Z$186,"")))</f>
        <v>0.6060606061</v>
      </c>
      <c r="D63" s="6"/>
    </row>
    <row r="64" ht="15.0" customHeight="1">
      <c r="A64" s="20" t="s">
        <v>56</v>
      </c>
      <c r="B64" s="21">
        <f>COUNTIFS(Companies!$D$2:$D$186,TRUE(),Companies!$Z$2:$Z$186,"Series A")</f>
        <v>9</v>
      </c>
      <c r="C64" s="27">
        <f>IF((COUNTIF(Companies!$D$2:$D$186,TRUE())-COUNTIFS(Companies!$D$2:$D$186,TRUE(),Companies!$Z$2:$Z$186,""))=0,"",B64/(COUNTIF(Companies!$D$2:$D$186,TRUE())-COUNTIFS(Companies!$D$2:$D$186,TRUE(),Companies!$Z$2:$Z$186,"")))</f>
        <v>0.2727272727</v>
      </c>
      <c r="D64" s="6"/>
    </row>
    <row r="65" ht="15.0" customHeight="1">
      <c r="A65" s="20" t="s">
        <v>265</v>
      </c>
      <c r="B65" s="21">
        <f>COUNTIFS(Companies!$D$2:$D$186,TRUE(),Companies!$Z$2:$Z$186,"Series B")</f>
        <v>2</v>
      </c>
      <c r="C65" s="27">
        <f>IF((COUNTIF(Companies!$D$2:$D$186,TRUE())-COUNTIFS(Companies!$D$2:$D$186,TRUE(),Companies!$Z$2:$Z$186,""))=0,"",B65/(COUNTIF(Companies!$D$2:$D$186,TRUE())-COUNTIFS(Companies!$D$2:$D$186,TRUE(),Companies!$Z$2:$Z$186,"")))</f>
        <v>0.06060606061</v>
      </c>
      <c r="D65" s="6"/>
    </row>
    <row r="66" ht="15.0" customHeight="1">
      <c r="A66" s="20" t="s">
        <v>380</v>
      </c>
      <c r="B66" s="21">
        <f>COUNTIFS(Companies!$D$2:$D$186,TRUE(),Companies!$Z$2:$Z$186,"Series C")</f>
        <v>0</v>
      </c>
      <c r="C66" s="27">
        <f>IF((COUNTIF(Companies!$D$2:$D$186,TRUE())-COUNTIFS(Companies!$D$2:$D$186,TRUE(),Companies!$Z$2:$Z$186,""))=0,"",B66/(COUNTIF(Companies!$D$2:$D$186,TRUE())-COUNTIFS(Companies!$D$2:$D$186,TRUE(),Companies!$Z$2:$Z$186,"")))</f>
        <v>0</v>
      </c>
      <c r="D66" s="6"/>
    </row>
    <row r="67" ht="15.0" customHeight="1">
      <c r="A67" s="23" t="s">
        <v>367</v>
      </c>
      <c r="B67" s="24">
        <f>COUNTIFS(Companies!$D$2:$D$186,TRUE(),Companies!$Z$2:$Z$186,"")</f>
        <v>1</v>
      </c>
      <c r="C67" s="6"/>
      <c r="D67" s="6"/>
    </row>
    <row r="68" ht="15.0" customHeight="1">
      <c r="A68" s="25" t="s">
        <v>411</v>
      </c>
      <c r="B68" s="26">
        <f>COUNTIF(Companies!$D$2:$D$186,TRUE())</f>
        <v>34</v>
      </c>
      <c r="C68" s="6"/>
      <c r="D68" s="6"/>
    </row>
    <row r="69" ht="15.0" customHeight="1">
      <c r="A69" s="20" t="s">
        <v>418</v>
      </c>
      <c r="B69" s="27">
        <f>1-COUNTIFS(Companies!$D$2:$D$186,TRUE(),Companies!$Z$2:$Z$186,"")/COUNTIF(Companies!$D$2:$D$186,TRUE())</f>
        <v>0.9705882353</v>
      </c>
      <c r="C69" s="6"/>
      <c r="D69" s="6"/>
    </row>
    <row r="70" ht="15.75" customHeight="1">
      <c r="A70" s="6"/>
      <c r="B70" s="6"/>
      <c r="C70" s="6"/>
      <c r="D70" s="6"/>
    </row>
    <row r="71" ht="15.75" customHeight="1">
      <c r="A71" s="6"/>
      <c r="B71" s="6"/>
      <c r="C71" s="6"/>
      <c r="D71" s="6"/>
    </row>
    <row r="72" ht="15.0" customHeight="1">
      <c r="A72" s="5" t="s">
        <v>419</v>
      </c>
      <c r="B72" s="6"/>
      <c r="C72" s="6"/>
      <c r="D72" s="6"/>
    </row>
    <row r="73" ht="15.0" customHeight="1">
      <c r="A73" s="7" t="s">
        <v>420</v>
      </c>
      <c r="B73" s="6"/>
      <c r="C73" s="6"/>
      <c r="D73" s="6"/>
    </row>
    <row r="74" ht="23.25" customHeight="1">
      <c r="A74" s="11" t="s">
        <v>421</v>
      </c>
      <c r="B74" s="14" t="s">
        <v>242</v>
      </c>
      <c r="C74" s="14" t="s">
        <v>423</v>
      </c>
      <c r="D74" s="14" t="s">
        <v>68</v>
      </c>
    </row>
    <row r="75" ht="15.0" customHeight="1">
      <c r="A75" s="20" t="s">
        <v>54</v>
      </c>
      <c r="B75" s="21">
        <f>COUNTIF(Companies!$I$2:$I$186,"Legal Diligence / Def Docs")</f>
        <v>6</v>
      </c>
      <c r="C75" s="21">
        <f>COUNTIFS(Companies!$I$2:$I$186,"Legal Diligence / Def Docs",Companies!$D$2:$D$186,TRUE())</f>
        <v>6</v>
      </c>
      <c r="D75" s="6"/>
    </row>
    <row r="76" ht="15.0" customHeight="1">
      <c r="A76" s="20" t="s">
        <v>428</v>
      </c>
      <c r="B76" s="21">
        <f>COUNTIF(Companies!$I$2:$I$186,"Negotiate / Offer")</f>
        <v>0</v>
      </c>
      <c r="C76" s="21">
        <f>COUNTIFS(Companies!$I$2:$I$186,"Negotiate / Offer",Companies!$D$2:$D$186,TRUE())</f>
        <v>0</v>
      </c>
      <c r="D76" s="6"/>
    </row>
    <row r="77" ht="15.0" customHeight="1">
      <c r="A77" s="20" t="s">
        <v>116</v>
      </c>
      <c r="B77" s="21">
        <f>COUNTIF(Companies!$I$2:$I$186,"Deep Diligence")</f>
        <v>10</v>
      </c>
      <c r="C77" s="21">
        <f>COUNTIFS(Companies!$I$2:$I$186,"Deep Diligence",Companies!$D$2:$D$186,TRUE())</f>
        <v>10</v>
      </c>
      <c r="D77" s="6"/>
    </row>
    <row r="78" ht="15.0" customHeight="1">
      <c r="A78" s="20" t="s">
        <v>167</v>
      </c>
      <c r="B78" s="21">
        <f>COUNTIF(Companies!$I$2:$I$186,"Preliminary Diligence")</f>
        <v>169</v>
      </c>
      <c r="C78" s="21">
        <f>COUNTIFS(Companies!$I$2:$I$186,"Preliminary Diligence",Companies!$D$2:$D$186,TRUE())</f>
        <v>18</v>
      </c>
      <c r="D78" s="6"/>
    </row>
    <row r="79" ht="15.0" customHeight="1">
      <c r="A79" s="20" t="s">
        <v>435</v>
      </c>
      <c r="B79" s="21">
        <f>COUNTIF(Companies!$I$2:$I$186,"NewCo / Fellows")</f>
        <v>0</v>
      </c>
      <c r="C79" s="21">
        <f>COUNTIFS(Companies!$I$2:$I$186,"NewCo / Fellows",Companies!$D$2:$D$186,TRUE())</f>
        <v>0</v>
      </c>
      <c r="D79" s="6"/>
    </row>
    <row r="80" ht="15.0" customHeight="1">
      <c r="A80" s="20" t="s">
        <v>313</v>
      </c>
      <c r="B80" s="21">
        <f>COUNTIF(Companies!$I$2:$I$186,"Hold / Nurture")</f>
        <v>0</v>
      </c>
      <c r="C80" s="21">
        <f>COUNTIFS(Companies!$I$2:$I$186,"Hold / Nurture",Companies!$D$2:$D$186,TRUE())</f>
        <v>0</v>
      </c>
      <c r="D80" s="6"/>
    </row>
    <row r="81" ht="15.0" customHeight="1">
      <c r="A81" s="20" t="s">
        <v>377</v>
      </c>
      <c r="B81" s="21">
        <f>COUNTIF(Companies!$I$2:$I$186,"Meetings This Week")</f>
        <v>0</v>
      </c>
      <c r="C81" s="21">
        <f>COUNTIFS(Companies!$I$2:$I$186,"Meetings This Week",Companies!$D$2:$D$186,TRUE())</f>
        <v>0</v>
      </c>
      <c r="D81" s="6"/>
    </row>
    <row r="82" ht="15.0" customHeight="1">
      <c r="A82" s="25" t="s">
        <v>332</v>
      </c>
      <c r="B82" s="26">
        <f>SUM(B75:B81)</f>
        <v>185</v>
      </c>
      <c r="C82" s="6"/>
      <c r="D82" s="6"/>
    </row>
    <row r="83" ht="15.0" customHeight="1">
      <c r="A83" s="25" t="s">
        <v>438</v>
      </c>
      <c r="B83" s="26" t="str">
        <f>IF(SUM(B75:B81)=COUNTA(Companies!$B$2:$B$186),"OK","MISMATCH")</f>
        <v>OK</v>
      </c>
      <c r="C83" s="6"/>
      <c r="D83" s="6"/>
    </row>
    <row r="84" ht="15.75" customHeight="1">
      <c r="A84" s="6"/>
      <c r="B84" s="6"/>
      <c r="C84" s="6"/>
      <c r="D84" s="6"/>
    </row>
    <row r="85" ht="15.75" customHeight="1">
      <c r="A85" s="6"/>
      <c r="B85" s="6"/>
      <c r="C85" s="6"/>
      <c r="D85" s="6"/>
    </row>
    <row r="86" ht="15.0" customHeight="1">
      <c r="A86" s="5" t="s">
        <v>441</v>
      </c>
      <c r="B86" s="6"/>
      <c r="C86" s="6"/>
      <c r="D86" s="6"/>
    </row>
    <row r="87" ht="15.0" customHeight="1">
      <c r="A87" s="7" t="s">
        <v>442</v>
      </c>
      <c r="B87" s="6"/>
      <c r="C87" s="6"/>
      <c r="D87" s="6"/>
    </row>
    <row r="88" ht="15.0" customHeight="1">
      <c r="A88" s="11" t="s">
        <v>443</v>
      </c>
      <c r="B88" s="14" t="s">
        <v>242</v>
      </c>
      <c r="C88" s="14" t="s">
        <v>68</v>
      </c>
      <c r="D88" s="6"/>
    </row>
    <row r="89" ht="15.0" customHeight="1">
      <c r="A89" s="20" t="s">
        <v>140</v>
      </c>
      <c r="B89" s="21">
        <f>COUNTIFS(Companies!$N$2:$N$186,TRUE(),Companies!$W$2:$W$186,"Health")</f>
        <v>5</v>
      </c>
      <c r="C89" s="6"/>
      <c r="D89" s="6"/>
    </row>
    <row r="90" ht="15.0" customHeight="1">
      <c r="A90" s="20" t="s">
        <v>121</v>
      </c>
      <c r="B90" s="21">
        <f>COUNTIFS(Companies!$N$2:$N$186,TRUE(),Companies!$W$2:$W$186,"Systems")</f>
        <v>3</v>
      </c>
      <c r="C90" s="6"/>
      <c r="D90" s="6"/>
    </row>
    <row r="91" ht="15.0" customHeight="1">
      <c r="A91" s="20" t="s">
        <v>83</v>
      </c>
      <c r="B91" s="21">
        <f>COUNTIFS(Companies!$N$2:$N$186,TRUE(),Companies!$W$2:$W$186,"Climate")</f>
        <v>4</v>
      </c>
      <c r="C91" s="6"/>
      <c r="D91" s="6"/>
    </row>
    <row r="92" ht="15.0" customHeight="1">
      <c r="A92" s="20" t="s">
        <v>449</v>
      </c>
      <c r="B92" s="21">
        <f>COUNTIFS(Companies!$N$2:$N$186,TRUE(),Companies!$W$2:$W$186,"Scale-Up")</f>
        <v>0</v>
      </c>
      <c r="C92" s="6"/>
      <c r="D92" s="6"/>
    </row>
    <row r="93" ht="15.0" customHeight="1">
      <c r="A93" s="20" t="s">
        <v>360</v>
      </c>
      <c r="B93" s="21">
        <f>COUNTIFS(Companies!$N$2:$N$186,TRUE(),Companies!$W$2:$W$186,"AI for Science")</f>
        <v>0</v>
      </c>
      <c r="C93" s="6"/>
      <c r="D93" s="6"/>
    </row>
    <row r="94" ht="15.0" customHeight="1">
      <c r="A94" s="23" t="s">
        <v>367</v>
      </c>
      <c r="B94" s="24">
        <f>COUNTIFS(Companies!$N$2:$N$186,TRUE(),Companies!$W$2:$W$186,"")</f>
        <v>1</v>
      </c>
      <c r="C94" s="6"/>
      <c r="D94" s="6"/>
    </row>
    <row r="95" ht="15.0" customHeight="1">
      <c r="A95" s="23" t="s">
        <v>451</v>
      </c>
      <c r="B95" s="24">
        <f>COUNTIF(Companies!$N$2:$N$186,TRUE())-SUM(B89:B94)</f>
        <v>2</v>
      </c>
      <c r="C95" s="17" t="s">
        <v>452</v>
      </c>
      <c r="D95" s="6"/>
    </row>
    <row r="96" ht="15.75" customHeight="1">
      <c r="A96" s="6"/>
      <c r="B96" s="6"/>
      <c r="C96" s="6"/>
      <c r="D96" s="6"/>
    </row>
    <row r="97" ht="15.75" customHeight="1">
      <c r="A97" s="6"/>
      <c r="B97" s="6"/>
      <c r="C97" s="6"/>
      <c r="D97" s="6"/>
    </row>
    <row r="98" ht="15.0" customHeight="1">
      <c r="A98" s="5" t="s">
        <v>453</v>
      </c>
      <c r="B98" s="6"/>
      <c r="C98" s="6"/>
      <c r="D98" s="6"/>
    </row>
    <row r="99" ht="21.75" customHeight="1">
      <c r="A99" s="29" t="s">
        <v>455</v>
      </c>
      <c r="B99" s="6"/>
      <c r="C99" s="6"/>
      <c r="D99" s="6"/>
    </row>
    <row r="100" ht="32.25" customHeight="1">
      <c r="A100" s="29" t="s">
        <v>459</v>
      </c>
      <c r="B100" s="6"/>
      <c r="C100" s="6"/>
      <c r="D100" s="6"/>
    </row>
    <row r="101" ht="32.25" customHeight="1">
      <c r="A101" s="29" t="s">
        <v>461</v>
      </c>
      <c r="B101" s="6"/>
      <c r="C101" s="6"/>
      <c r="D101" s="6"/>
    </row>
    <row r="102" ht="32.25" customHeight="1">
      <c r="A102" s="29" t="s">
        <v>464</v>
      </c>
      <c r="B102" s="6"/>
      <c r="C102" s="6"/>
      <c r="D102" s="6"/>
    </row>
    <row r="103" ht="21.75" customHeight="1">
      <c r="A103" s="29" t="s">
        <v>465</v>
      </c>
      <c r="B103" s="6"/>
      <c r="C103" s="6"/>
      <c r="D103" s="6"/>
    </row>
    <row r="104" ht="15.75" customHeight="1">
      <c r="A104" s="6" t="s">
        <v>466</v>
      </c>
      <c r="B104" s="6"/>
      <c r="C104" s="6"/>
      <c r="D104" s="6"/>
    </row>
    <row r="105" ht="15.75" customHeight="1">
      <c r="A105" s="6"/>
      <c r="B105" s="6"/>
      <c r="C105" s="6"/>
      <c r="D105" s="6"/>
    </row>
    <row r="106" ht="15.75" customHeight="1">
      <c r="A106" s="6"/>
      <c r="B106" s="6"/>
      <c r="C106" s="6"/>
      <c r="D106" s="6"/>
    </row>
    <row r="107" ht="15.75" customHeight="1">
      <c r="A107" s="6"/>
      <c r="B107" s="6"/>
      <c r="C107" s="6"/>
      <c r="D107" s="6"/>
    </row>
    <row r="108" ht="15.75" customHeight="1">
      <c r="A108" s="6"/>
      <c r="B108" s="6"/>
      <c r="C108" s="6"/>
      <c r="D108" s="6"/>
    </row>
    <row r="109" ht="15.75" customHeight="1">
      <c r="A109" s="6"/>
      <c r="B109" s="6"/>
      <c r="C109" s="6"/>
      <c r="D109" s="6"/>
    </row>
    <row r="110" ht="15.75" customHeight="1">
      <c r="A110" s="6"/>
      <c r="B110" s="6"/>
      <c r="C110" s="6"/>
      <c r="D110" s="6"/>
    </row>
    <row r="111" ht="15.75" customHeight="1">
      <c r="A111" s="6"/>
      <c r="B111" s="6"/>
      <c r="C111" s="6"/>
      <c r="D111" s="6"/>
    </row>
    <row r="112" ht="15.75" customHeight="1">
      <c r="A112" s="6"/>
      <c r="B112" s="6"/>
      <c r="C112" s="6"/>
      <c r="D112" s="6"/>
    </row>
    <row r="113" ht="15.75" customHeight="1">
      <c r="A113" s="6"/>
      <c r="B113" s="6"/>
      <c r="C113" s="6"/>
      <c r="D113" s="6"/>
    </row>
    <row r="114" ht="15.75" customHeight="1">
      <c r="A114" s="6"/>
      <c r="B114" s="6"/>
      <c r="C114" s="6"/>
      <c r="D114" s="6"/>
    </row>
    <row r="115" ht="15.75" customHeight="1">
      <c r="A115" s="6"/>
      <c r="B115" s="6"/>
      <c r="C115" s="6"/>
      <c r="D115" s="6"/>
    </row>
    <row r="116" ht="15.75" customHeight="1">
      <c r="A116" s="6"/>
      <c r="B116" s="6"/>
      <c r="C116" s="6"/>
      <c r="D116" s="6"/>
    </row>
    <row r="117" ht="15.75" customHeight="1">
      <c r="A117" s="6"/>
      <c r="B117" s="6"/>
      <c r="C117" s="6"/>
      <c r="D117" s="6"/>
    </row>
    <row r="118" ht="15.75" customHeight="1">
      <c r="A118" s="6"/>
      <c r="B118" s="6"/>
      <c r="C118" s="6"/>
      <c r="D118" s="6"/>
    </row>
    <row r="119" ht="15.75" customHeight="1">
      <c r="A119" s="6"/>
      <c r="B119" s="6"/>
      <c r="C119" s="6"/>
      <c r="D119" s="6"/>
    </row>
    <row r="120" ht="15.75" customHeight="1">
      <c r="A120" s="6"/>
      <c r="B120" s="6"/>
      <c r="C120" s="6"/>
      <c r="D120" s="6"/>
    </row>
    <row r="121" ht="15.75" customHeight="1">
      <c r="A121" s="6"/>
      <c r="B121" s="6"/>
      <c r="C121" s="6"/>
      <c r="D121" s="6"/>
    </row>
    <row r="122" ht="15.75" customHeight="1">
      <c r="A122" s="6"/>
      <c r="B122" s="6"/>
      <c r="C122" s="6"/>
      <c r="D122" s="6"/>
    </row>
    <row r="123" ht="15.75" customHeight="1">
      <c r="A123" s="6"/>
      <c r="B123" s="6"/>
      <c r="C123" s="6"/>
      <c r="D123" s="6"/>
    </row>
    <row r="124" ht="15.75" customHeight="1">
      <c r="A124" s="6"/>
      <c r="B124" s="6"/>
      <c r="C124" s="6"/>
      <c r="D124" s="6"/>
    </row>
    <row r="125" ht="15.75" customHeight="1">
      <c r="A125" s="6"/>
      <c r="B125" s="6"/>
      <c r="C125" s="6"/>
      <c r="D125" s="6"/>
    </row>
    <row r="126" ht="15.75" customHeight="1">
      <c r="A126" s="6"/>
      <c r="B126" s="6"/>
      <c r="C126" s="6"/>
      <c r="D126" s="6"/>
    </row>
    <row r="127" ht="15.75" customHeight="1">
      <c r="A127" s="6"/>
      <c r="B127" s="6"/>
      <c r="C127" s="6"/>
      <c r="D127" s="6"/>
    </row>
    <row r="128" ht="15.75" customHeight="1">
      <c r="A128" s="6"/>
      <c r="B128" s="6"/>
      <c r="C128" s="6"/>
      <c r="D128" s="6"/>
    </row>
    <row r="129" ht="15.75" customHeight="1">
      <c r="A129" s="6"/>
      <c r="B129" s="6"/>
      <c r="C129" s="6"/>
      <c r="D129" s="6"/>
    </row>
    <row r="130" ht="15.75" customHeight="1">
      <c r="A130" s="6"/>
      <c r="B130" s="6"/>
      <c r="C130" s="6"/>
      <c r="D130" s="6"/>
    </row>
    <row r="131" ht="15.75" customHeight="1">
      <c r="A131" s="6"/>
      <c r="B131" s="6"/>
      <c r="C131" s="6"/>
      <c r="D131" s="6"/>
    </row>
    <row r="132" ht="15.75" customHeight="1">
      <c r="A132" s="6"/>
      <c r="B132" s="6"/>
      <c r="C132" s="6"/>
      <c r="D132" s="6"/>
    </row>
    <row r="133" ht="15.75" customHeight="1">
      <c r="A133" s="6"/>
      <c r="B133" s="6"/>
      <c r="C133" s="6"/>
      <c r="D133" s="6"/>
    </row>
    <row r="134" ht="15.75" customHeight="1">
      <c r="A134" s="6"/>
      <c r="B134" s="6"/>
      <c r="C134" s="6"/>
      <c r="D134" s="6"/>
    </row>
    <row r="135" ht="15.75" customHeight="1">
      <c r="A135" s="6"/>
      <c r="B135" s="6"/>
      <c r="C135" s="6"/>
      <c r="D135" s="6"/>
    </row>
    <row r="136" ht="15.75" customHeight="1">
      <c r="A136" s="6"/>
      <c r="B136" s="6"/>
      <c r="C136" s="6"/>
      <c r="D136" s="6"/>
    </row>
    <row r="137" ht="15.75" customHeight="1">
      <c r="A137" s="6"/>
      <c r="B137" s="6"/>
      <c r="C137" s="6"/>
      <c r="D137" s="6"/>
    </row>
    <row r="138" ht="15.75" customHeight="1">
      <c r="A138" s="6"/>
      <c r="B138" s="6"/>
      <c r="C138" s="6"/>
      <c r="D138" s="6"/>
    </row>
    <row r="139" ht="15.75" customHeight="1">
      <c r="A139" s="6"/>
      <c r="B139" s="6"/>
      <c r="C139" s="6"/>
      <c r="D139" s="6"/>
    </row>
    <row r="140" ht="15.75" customHeight="1">
      <c r="A140" s="6"/>
      <c r="B140" s="6"/>
      <c r="C140" s="6"/>
      <c r="D140" s="6"/>
    </row>
    <row r="141" ht="15.75" customHeight="1">
      <c r="A141" s="6"/>
      <c r="B141" s="6"/>
      <c r="C141" s="6"/>
      <c r="D141" s="6"/>
    </row>
    <row r="142" ht="15.75" customHeight="1">
      <c r="A142" s="6"/>
      <c r="B142" s="6"/>
      <c r="C142" s="6"/>
      <c r="D142" s="6"/>
    </row>
    <row r="143" ht="15.75" customHeight="1">
      <c r="A143" s="6"/>
      <c r="B143" s="6"/>
      <c r="C143" s="6"/>
      <c r="D143" s="6"/>
    </row>
    <row r="144" ht="15.75" customHeight="1">
      <c r="A144" s="6"/>
      <c r="B144" s="6"/>
      <c r="C144" s="6"/>
      <c r="D144" s="6"/>
    </row>
    <row r="145" ht="15.75" customHeight="1">
      <c r="A145" s="6"/>
      <c r="B145" s="6"/>
      <c r="C145" s="6"/>
      <c r="D145" s="6"/>
    </row>
    <row r="146" ht="15.75" customHeight="1">
      <c r="A146" s="6"/>
      <c r="B146" s="6"/>
      <c r="C146" s="6"/>
      <c r="D146" s="6"/>
    </row>
    <row r="147" ht="15.75" customHeight="1">
      <c r="A147" s="6"/>
      <c r="B147" s="6"/>
      <c r="C147" s="6"/>
      <c r="D147" s="6"/>
    </row>
    <row r="148" ht="15.75" customHeight="1">
      <c r="A148" s="6"/>
      <c r="B148" s="6"/>
      <c r="C148" s="6"/>
      <c r="D148" s="6"/>
    </row>
    <row r="149" ht="15.75" customHeight="1">
      <c r="A149" s="6"/>
      <c r="B149" s="6"/>
      <c r="C149" s="6"/>
      <c r="D149" s="6"/>
    </row>
    <row r="150" ht="15.75" customHeight="1">
      <c r="A150" s="6"/>
      <c r="B150" s="6"/>
      <c r="C150" s="6"/>
      <c r="D150" s="6"/>
    </row>
    <row r="151" ht="15.75" customHeight="1">
      <c r="A151" s="6"/>
      <c r="B151" s="6"/>
      <c r="C151" s="6"/>
      <c r="D151" s="6"/>
    </row>
    <row r="152" ht="15.75" customHeight="1">
      <c r="A152" s="6"/>
      <c r="B152" s="6"/>
      <c r="C152" s="6"/>
      <c r="D152" s="6"/>
    </row>
    <row r="153" ht="15.75" customHeight="1">
      <c r="A153" s="6"/>
      <c r="B153" s="6"/>
      <c r="C153" s="6"/>
      <c r="D153" s="6"/>
    </row>
    <row r="154" ht="15.75" customHeight="1">
      <c r="A154" s="6"/>
      <c r="B154" s="6"/>
      <c r="C154" s="6"/>
      <c r="D154" s="6"/>
    </row>
    <row r="155" ht="15.75" customHeight="1">
      <c r="A155" s="6"/>
      <c r="B155" s="6"/>
      <c r="C155" s="6"/>
      <c r="D155" s="6"/>
    </row>
    <row r="156" ht="15.75" customHeight="1">
      <c r="A156" s="6"/>
      <c r="B156" s="6"/>
      <c r="C156" s="6"/>
      <c r="D156" s="6"/>
    </row>
    <row r="157" ht="15.75" customHeight="1">
      <c r="A157" s="6"/>
      <c r="B157" s="6"/>
      <c r="C157" s="6"/>
      <c r="D157" s="6"/>
    </row>
    <row r="158" ht="15.75" customHeight="1">
      <c r="A158" s="6"/>
      <c r="B158" s="6"/>
      <c r="C158" s="6"/>
      <c r="D158" s="6"/>
    </row>
    <row r="159" ht="15.75" customHeight="1">
      <c r="A159" s="6"/>
      <c r="B159" s="6"/>
      <c r="C159" s="6"/>
      <c r="D159" s="6"/>
    </row>
    <row r="160" ht="15.75" customHeight="1">
      <c r="A160" s="6"/>
      <c r="B160" s="6"/>
      <c r="C160" s="6"/>
      <c r="D160" s="6"/>
    </row>
    <row r="161" ht="15.75" customHeight="1">
      <c r="A161" s="6"/>
      <c r="B161" s="6"/>
      <c r="C161" s="6"/>
      <c r="D161" s="6"/>
    </row>
    <row r="162" ht="15.75" customHeight="1">
      <c r="A162" s="6"/>
      <c r="B162" s="6"/>
      <c r="C162" s="6"/>
      <c r="D162" s="6"/>
    </row>
    <row r="163" ht="15.75" customHeight="1">
      <c r="A163" s="6"/>
      <c r="B163" s="6"/>
      <c r="C163" s="6"/>
      <c r="D163" s="6"/>
    </row>
    <row r="164" ht="15.75" customHeight="1">
      <c r="A164" s="6"/>
      <c r="B164" s="6"/>
      <c r="C164" s="6"/>
      <c r="D164" s="6"/>
    </row>
    <row r="165" ht="15.75" customHeight="1">
      <c r="A165" s="6"/>
      <c r="B165" s="6"/>
      <c r="C165" s="6"/>
      <c r="D165" s="6"/>
    </row>
    <row r="166" ht="15.75" customHeight="1">
      <c r="A166" s="6"/>
      <c r="B166" s="6"/>
      <c r="C166" s="6"/>
      <c r="D166" s="6"/>
    </row>
    <row r="167" ht="15.75" customHeight="1">
      <c r="A167" s="6"/>
      <c r="B167" s="6"/>
      <c r="C167" s="6"/>
      <c r="D167" s="6"/>
    </row>
    <row r="168" ht="15.75" customHeight="1">
      <c r="A168" s="6"/>
      <c r="B168" s="6"/>
      <c r="C168" s="6"/>
      <c r="D168" s="6"/>
    </row>
    <row r="169" ht="15.75" customHeight="1">
      <c r="A169" s="6"/>
      <c r="B169" s="6"/>
      <c r="C169" s="6"/>
      <c r="D169" s="6"/>
    </row>
    <row r="170" ht="15.75" customHeight="1">
      <c r="A170" s="6"/>
      <c r="B170" s="6"/>
      <c r="C170" s="6"/>
      <c r="D170" s="6"/>
    </row>
    <row r="171" ht="15.75" customHeight="1">
      <c r="A171" s="6"/>
      <c r="B171" s="6"/>
      <c r="C171" s="6"/>
      <c r="D171" s="6"/>
    </row>
    <row r="172" ht="15.75" customHeight="1">
      <c r="A172" s="6"/>
      <c r="B172" s="6"/>
      <c r="C172" s="6"/>
      <c r="D172" s="6"/>
    </row>
    <row r="173" ht="15.75" customHeight="1">
      <c r="A173" s="6"/>
      <c r="B173" s="6"/>
      <c r="C173" s="6"/>
      <c r="D173" s="6"/>
    </row>
    <row r="174" ht="15.75" customHeight="1">
      <c r="A174" s="6"/>
      <c r="B174" s="6"/>
      <c r="C174" s="6"/>
      <c r="D174" s="6"/>
    </row>
    <row r="175" ht="15.75" customHeight="1">
      <c r="A175" s="6"/>
      <c r="B175" s="6"/>
      <c r="C175" s="6"/>
      <c r="D175" s="6"/>
    </row>
    <row r="176" ht="15.75" customHeight="1">
      <c r="A176" s="6"/>
      <c r="B176" s="6"/>
      <c r="C176" s="6"/>
      <c r="D176" s="6"/>
    </row>
    <row r="177" ht="15.75" customHeight="1">
      <c r="A177" s="6"/>
      <c r="B177" s="6"/>
      <c r="C177" s="6"/>
      <c r="D177" s="6"/>
    </row>
    <row r="178" ht="15.75" customHeight="1">
      <c r="A178" s="6"/>
      <c r="B178" s="6"/>
      <c r="C178" s="6"/>
      <c r="D178" s="6"/>
    </row>
    <row r="179" ht="15.75" customHeight="1">
      <c r="A179" s="6"/>
      <c r="B179" s="6"/>
      <c r="C179" s="6"/>
      <c r="D179" s="6"/>
    </row>
    <row r="180" ht="15.75" customHeight="1">
      <c r="A180" s="6"/>
      <c r="B180" s="6"/>
      <c r="C180" s="6"/>
      <c r="D180" s="6"/>
    </row>
    <row r="181" ht="15.75" customHeight="1">
      <c r="A181" s="6"/>
      <c r="B181" s="6"/>
      <c r="C181" s="6"/>
      <c r="D181" s="6"/>
    </row>
    <row r="182" ht="15.75" customHeight="1">
      <c r="A182" s="6"/>
      <c r="B182" s="6"/>
      <c r="C182" s="6"/>
      <c r="D182" s="6"/>
    </row>
    <row r="183" ht="15.75" customHeight="1">
      <c r="A183" s="6"/>
      <c r="B183" s="6"/>
      <c r="C183" s="6"/>
      <c r="D183" s="6"/>
    </row>
    <row r="184" ht="15.75" customHeight="1">
      <c r="A184" s="6"/>
      <c r="B184" s="6"/>
      <c r="C184" s="6"/>
      <c r="D184" s="6"/>
    </row>
    <row r="185" ht="15.75" customHeight="1">
      <c r="A185" s="6"/>
      <c r="B185" s="6"/>
      <c r="C185" s="6"/>
      <c r="D185" s="6"/>
    </row>
    <row r="186" ht="15.75" customHeight="1">
      <c r="A186" s="6"/>
      <c r="B186" s="6"/>
      <c r="C186" s="6"/>
      <c r="D186" s="6"/>
    </row>
    <row r="187" ht="15.75" customHeight="1">
      <c r="A187" s="6"/>
      <c r="B187" s="6"/>
      <c r="C187" s="6"/>
      <c r="D187" s="6"/>
    </row>
    <row r="188" ht="15.75" customHeight="1">
      <c r="A188" s="6"/>
      <c r="B188" s="6"/>
      <c r="C188" s="6"/>
      <c r="D188" s="6"/>
    </row>
    <row r="189" ht="15.75" customHeight="1">
      <c r="A189" s="6"/>
      <c r="B189" s="6"/>
      <c r="C189" s="6"/>
      <c r="D189" s="6"/>
    </row>
    <row r="190" ht="15.75" customHeight="1">
      <c r="A190" s="6"/>
      <c r="B190" s="6"/>
      <c r="C190" s="6"/>
      <c r="D190" s="6"/>
    </row>
    <row r="191" ht="15.75" customHeight="1">
      <c r="A191" s="6"/>
      <c r="B191" s="6"/>
      <c r="C191" s="6"/>
      <c r="D191" s="6"/>
    </row>
    <row r="192" ht="15.75" customHeight="1">
      <c r="A192" s="6"/>
      <c r="B192" s="6"/>
      <c r="C192" s="6"/>
      <c r="D192" s="6"/>
    </row>
    <row r="193" ht="15.75" customHeight="1">
      <c r="A193" s="6"/>
      <c r="B193" s="6"/>
      <c r="C193" s="6"/>
      <c r="D193" s="6"/>
    </row>
    <row r="194" ht="15.75" customHeight="1">
      <c r="A194" s="6"/>
      <c r="B194" s="6"/>
      <c r="C194" s="6"/>
      <c r="D194" s="6"/>
    </row>
    <row r="195" ht="15.75" customHeight="1">
      <c r="A195" s="6"/>
      <c r="B195" s="6"/>
      <c r="C195" s="6"/>
      <c r="D195" s="6"/>
    </row>
    <row r="196" ht="15.75" customHeight="1">
      <c r="A196" s="6"/>
      <c r="B196" s="6"/>
      <c r="C196" s="6"/>
      <c r="D196" s="6"/>
    </row>
    <row r="197" ht="15.75" customHeight="1">
      <c r="A197" s="6"/>
      <c r="B197" s="6"/>
      <c r="C197" s="6"/>
      <c r="D197" s="6"/>
    </row>
    <row r="198" ht="15.75" customHeight="1">
      <c r="A198" s="6"/>
      <c r="B198" s="6"/>
      <c r="C198" s="6"/>
      <c r="D198" s="6"/>
    </row>
    <row r="199" ht="15.75" customHeight="1">
      <c r="A199" s="6"/>
      <c r="B199" s="6"/>
      <c r="C199" s="6"/>
      <c r="D199" s="6"/>
    </row>
    <row r="200" ht="15.75" customHeight="1">
      <c r="A200" s="6"/>
      <c r="B200" s="6"/>
      <c r="C200" s="6"/>
      <c r="D200" s="6"/>
    </row>
    <row r="201" ht="15.75" customHeight="1">
      <c r="A201" s="6"/>
      <c r="B201" s="6"/>
      <c r="C201" s="6"/>
      <c r="D201" s="6"/>
    </row>
    <row r="202" ht="15.75" customHeight="1">
      <c r="A202" s="6"/>
      <c r="B202" s="6"/>
      <c r="C202" s="6"/>
      <c r="D202" s="6"/>
    </row>
    <row r="203" ht="15.75" customHeight="1">
      <c r="A203" s="6"/>
      <c r="B203" s="6"/>
      <c r="C203" s="6"/>
      <c r="D203" s="6"/>
    </row>
    <row r="204" ht="15.75" customHeight="1">
      <c r="A204" s="6"/>
      <c r="B204" s="6"/>
      <c r="C204" s="6"/>
      <c r="D204" s="6"/>
    </row>
    <row r="205" ht="15.75" customHeight="1">
      <c r="A205" s="6"/>
      <c r="B205" s="6"/>
      <c r="C205" s="6"/>
      <c r="D205" s="6"/>
    </row>
    <row r="206" ht="15.75" customHeight="1">
      <c r="A206" s="6"/>
      <c r="B206" s="6"/>
      <c r="C206" s="6"/>
      <c r="D206" s="6"/>
    </row>
    <row r="207" ht="15.75" customHeight="1">
      <c r="A207" s="6"/>
      <c r="B207" s="6"/>
      <c r="C207" s="6"/>
      <c r="D207" s="6"/>
    </row>
    <row r="208" ht="15.75" customHeight="1">
      <c r="A208" s="6"/>
      <c r="B208" s="6"/>
      <c r="C208" s="6"/>
      <c r="D208" s="6"/>
    </row>
    <row r="209" ht="15.75" customHeight="1">
      <c r="A209" s="6"/>
      <c r="B209" s="6"/>
      <c r="C209" s="6"/>
      <c r="D209" s="6"/>
    </row>
    <row r="210" ht="15.75" customHeight="1">
      <c r="A210" s="6"/>
      <c r="B210" s="6"/>
      <c r="C210" s="6"/>
      <c r="D210" s="6"/>
    </row>
    <row r="211" ht="15.75" customHeight="1">
      <c r="A211" s="6"/>
      <c r="B211" s="6"/>
      <c r="C211" s="6"/>
      <c r="D211" s="6"/>
    </row>
    <row r="212" ht="15.75" customHeight="1">
      <c r="A212" s="6"/>
      <c r="B212" s="6"/>
      <c r="C212" s="6"/>
      <c r="D212" s="6"/>
    </row>
    <row r="213" ht="15.75" customHeight="1">
      <c r="A213" s="6"/>
      <c r="B213" s="6"/>
      <c r="C213" s="6"/>
      <c r="D213" s="6"/>
    </row>
    <row r="214" ht="15.75" customHeight="1">
      <c r="A214" s="6"/>
      <c r="B214" s="6"/>
      <c r="C214" s="6"/>
      <c r="D214" s="6"/>
    </row>
    <row r="215" ht="15.75" customHeight="1">
      <c r="A215" s="6"/>
      <c r="B215" s="6"/>
      <c r="C215" s="6"/>
      <c r="D215" s="6"/>
    </row>
    <row r="216" ht="15.75" customHeight="1">
      <c r="A216" s="6"/>
      <c r="B216" s="6"/>
      <c r="C216" s="6"/>
      <c r="D216" s="6"/>
    </row>
    <row r="217" ht="15.75" customHeight="1">
      <c r="A217" s="6"/>
      <c r="B217" s="6"/>
      <c r="C217" s="6"/>
      <c r="D217" s="6"/>
    </row>
    <row r="218" ht="15.75" customHeight="1">
      <c r="A218" s="6"/>
      <c r="B218" s="6"/>
      <c r="C218" s="6"/>
      <c r="D218" s="6"/>
    </row>
    <row r="219" ht="15.75" customHeight="1">
      <c r="A219" s="6"/>
      <c r="B219" s="6"/>
      <c r="C219" s="6"/>
      <c r="D219" s="6"/>
    </row>
    <row r="220" ht="15.75" customHeight="1">
      <c r="A220" s="6"/>
      <c r="B220" s="6"/>
      <c r="C220" s="6"/>
      <c r="D220" s="6"/>
    </row>
    <row r="221" ht="15.75" customHeight="1">
      <c r="A221" s="6"/>
      <c r="B221" s="6"/>
      <c r="C221" s="6"/>
      <c r="D221" s="6"/>
    </row>
    <row r="222" ht="15.75" customHeight="1">
      <c r="A222" s="6"/>
      <c r="B222" s="6"/>
      <c r="C222" s="6"/>
      <c r="D222" s="6"/>
    </row>
    <row r="223" ht="15.75" customHeight="1">
      <c r="A223" s="6"/>
      <c r="B223" s="6"/>
      <c r="C223" s="6"/>
      <c r="D223" s="6"/>
    </row>
    <row r="224" ht="15.75" customHeight="1">
      <c r="A224" s="6"/>
      <c r="B224" s="6"/>
      <c r="C224" s="6"/>
      <c r="D224" s="6"/>
    </row>
    <row r="225" ht="15.75" customHeight="1">
      <c r="A225" s="6"/>
      <c r="B225" s="6"/>
      <c r="C225" s="6"/>
      <c r="D225" s="6"/>
    </row>
    <row r="226" ht="15.75" customHeight="1">
      <c r="A226" s="6"/>
      <c r="B226" s="6"/>
      <c r="C226" s="6"/>
      <c r="D226" s="6"/>
    </row>
    <row r="227" ht="15.75" customHeight="1">
      <c r="A227" s="6"/>
      <c r="B227" s="6"/>
      <c r="C227" s="6"/>
      <c r="D227" s="6"/>
    </row>
    <row r="228" ht="15.75" customHeight="1">
      <c r="A228" s="6"/>
      <c r="B228" s="6"/>
      <c r="C228" s="6"/>
      <c r="D228" s="6"/>
    </row>
    <row r="229" ht="15.75" customHeight="1">
      <c r="A229" s="6"/>
      <c r="B229" s="6"/>
      <c r="C229" s="6"/>
      <c r="D229" s="6"/>
    </row>
    <row r="230" ht="15.75" customHeight="1">
      <c r="A230" s="6"/>
      <c r="B230" s="6"/>
      <c r="C230" s="6"/>
      <c r="D230" s="6"/>
    </row>
    <row r="231" ht="15.75" customHeight="1">
      <c r="A231" s="6"/>
      <c r="B231" s="6"/>
      <c r="C231" s="6"/>
      <c r="D231" s="6"/>
    </row>
    <row r="232" ht="15.75" customHeight="1">
      <c r="A232" s="6"/>
      <c r="B232" s="6"/>
      <c r="C232" s="6"/>
      <c r="D232" s="6"/>
    </row>
    <row r="233" ht="15.75" customHeight="1">
      <c r="A233" s="6"/>
      <c r="B233" s="6"/>
      <c r="C233" s="6"/>
      <c r="D233" s="6"/>
    </row>
    <row r="234" ht="15.75" customHeight="1">
      <c r="A234" s="6"/>
      <c r="B234" s="6"/>
      <c r="C234" s="6"/>
      <c r="D234" s="6"/>
    </row>
    <row r="235" ht="15.75" customHeight="1">
      <c r="A235" s="6"/>
      <c r="B235" s="6"/>
      <c r="C235" s="6"/>
      <c r="D235" s="6"/>
    </row>
    <row r="236" ht="15.75" customHeight="1">
      <c r="A236" s="6"/>
      <c r="B236" s="6"/>
      <c r="C236" s="6"/>
      <c r="D236" s="6"/>
    </row>
    <row r="237" ht="15.75" customHeight="1">
      <c r="A237" s="6"/>
      <c r="B237" s="6"/>
      <c r="C237" s="6"/>
      <c r="D237" s="6"/>
    </row>
    <row r="238" ht="15.75" customHeight="1">
      <c r="A238" s="6"/>
      <c r="B238" s="6"/>
      <c r="C238" s="6"/>
      <c r="D238" s="6"/>
    </row>
    <row r="239" ht="15.75" customHeight="1">
      <c r="A239" s="6"/>
      <c r="B239" s="6"/>
      <c r="C239" s="6"/>
      <c r="D239" s="6"/>
    </row>
    <row r="240" ht="15.75" customHeight="1">
      <c r="A240" s="6"/>
      <c r="B240" s="6"/>
      <c r="C240" s="6"/>
      <c r="D240" s="6"/>
    </row>
    <row r="241" ht="15.75" customHeight="1">
      <c r="A241" s="6"/>
      <c r="B241" s="6"/>
      <c r="C241" s="6"/>
      <c r="D241" s="6"/>
    </row>
    <row r="242" ht="15.75" customHeight="1">
      <c r="A242" s="6"/>
      <c r="B242" s="6"/>
      <c r="C242" s="6"/>
      <c r="D242" s="6"/>
    </row>
    <row r="243" ht="15.75" customHeight="1">
      <c r="A243" s="6"/>
      <c r="B243" s="6"/>
      <c r="C243" s="6"/>
      <c r="D243" s="6"/>
    </row>
    <row r="244" ht="15.75" customHeight="1">
      <c r="A244" s="6"/>
      <c r="B244" s="6"/>
      <c r="C244" s="6"/>
      <c r="D244" s="6"/>
    </row>
    <row r="245" ht="15.75" customHeight="1">
      <c r="A245" s="6"/>
      <c r="B245" s="6"/>
      <c r="C245" s="6"/>
      <c r="D245" s="6"/>
    </row>
    <row r="246" ht="15.75" customHeight="1">
      <c r="A246" s="6"/>
      <c r="B246" s="6"/>
      <c r="C246" s="6"/>
      <c r="D246" s="6"/>
    </row>
    <row r="247" ht="15.75" customHeight="1">
      <c r="A247" s="6"/>
      <c r="B247" s="6"/>
      <c r="C247" s="6"/>
      <c r="D247" s="6"/>
    </row>
    <row r="248" ht="15.75" customHeight="1">
      <c r="A248" s="6"/>
      <c r="B248" s="6"/>
      <c r="C248" s="6"/>
      <c r="D248" s="6"/>
    </row>
    <row r="249" ht="15.75" customHeight="1">
      <c r="A249" s="6"/>
      <c r="B249" s="6"/>
      <c r="C249" s="6"/>
      <c r="D249" s="6"/>
    </row>
    <row r="250" ht="15.75" customHeight="1">
      <c r="A250" s="6"/>
      <c r="B250" s="6"/>
      <c r="C250" s="6"/>
      <c r="D250" s="6"/>
    </row>
    <row r="251" ht="15.75" customHeight="1">
      <c r="A251" s="6"/>
      <c r="B251" s="6"/>
      <c r="C251" s="6"/>
      <c r="D251" s="6"/>
    </row>
    <row r="252" ht="15.75" customHeight="1">
      <c r="A252" s="6"/>
      <c r="B252" s="6"/>
      <c r="C252" s="6"/>
      <c r="D252" s="6"/>
    </row>
    <row r="253" ht="15.75" customHeight="1">
      <c r="A253" s="6"/>
      <c r="B253" s="6"/>
      <c r="C253" s="6"/>
      <c r="D253" s="6"/>
    </row>
    <row r="254" ht="15.75" customHeight="1">
      <c r="A254" s="6"/>
      <c r="B254" s="6"/>
      <c r="C254" s="6"/>
      <c r="D254" s="6"/>
    </row>
    <row r="255" ht="15.75" customHeight="1">
      <c r="A255" s="6"/>
      <c r="B255" s="6"/>
      <c r="C255" s="6"/>
      <c r="D255" s="6"/>
    </row>
    <row r="256" ht="15.75" customHeight="1">
      <c r="A256" s="6"/>
      <c r="B256" s="6"/>
      <c r="C256" s="6"/>
      <c r="D256" s="6"/>
    </row>
    <row r="257" ht="15.75" customHeight="1">
      <c r="A257" s="6"/>
      <c r="B257" s="6"/>
      <c r="C257" s="6"/>
      <c r="D257" s="6"/>
    </row>
    <row r="258" ht="15.75" customHeight="1">
      <c r="A258" s="6"/>
      <c r="B258" s="6"/>
      <c r="C258" s="6"/>
      <c r="D258" s="6"/>
    </row>
    <row r="259" ht="15.75" customHeight="1">
      <c r="A259" s="6"/>
      <c r="B259" s="6"/>
      <c r="C259" s="6"/>
      <c r="D259" s="6"/>
    </row>
    <row r="260" ht="15.75" customHeight="1">
      <c r="A260" s="6"/>
      <c r="B260" s="6"/>
      <c r="C260" s="6"/>
      <c r="D260" s="6"/>
    </row>
    <row r="261" ht="15.75" customHeight="1">
      <c r="A261" s="6"/>
      <c r="B261" s="6"/>
      <c r="C261" s="6"/>
      <c r="D261" s="6"/>
    </row>
    <row r="262" ht="15.75" customHeight="1">
      <c r="A262" s="6"/>
      <c r="B262" s="6"/>
      <c r="C262" s="6"/>
      <c r="D262" s="6"/>
    </row>
    <row r="263" ht="15.75" customHeight="1">
      <c r="A263" s="6"/>
      <c r="B263" s="6"/>
      <c r="C263" s="6"/>
      <c r="D263" s="6"/>
    </row>
    <row r="264" ht="15.75" customHeight="1">
      <c r="A264" s="6"/>
      <c r="B264" s="6"/>
      <c r="C264" s="6"/>
      <c r="D264" s="6"/>
    </row>
    <row r="265" ht="15.75" customHeight="1">
      <c r="A265" s="6"/>
      <c r="B265" s="6"/>
      <c r="C265" s="6"/>
      <c r="D265" s="6"/>
    </row>
    <row r="266" ht="15.75" customHeight="1">
      <c r="A266" s="6"/>
      <c r="B266" s="6"/>
      <c r="C266" s="6"/>
      <c r="D266" s="6"/>
    </row>
    <row r="267" ht="15.75" customHeight="1">
      <c r="A267" s="6"/>
      <c r="B267" s="6"/>
      <c r="C267" s="6"/>
      <c r="D267" s="6"/>
    </row>
    <row r="268" ht="15.75" customHeight="1">
      <c r="A268" s="6"/>
      <c r="B268" s="6"/>
      <c r="C268" s="6"/>
      <c r="D268" s="6"/>
    </row>
    <row r="269" ht="15.75" customHeight="1">
      <c r="A269" s="6"/>
      <c r="B269" s="6"/>
      <c r="C269" s="6"/>
      <c r="D269" s="6"/>
    </row>
    <row r="270" ht="15.75" customHeight="1">
      <c r="A270" s="6"/>
      <c r="B270" s="6"/>
      <c r="C270" s="6"/>
      <c r="D270" s="6"/>
    </row>
    <row r="271" ht="15.75" customHeight="1">
      <c r="A271" s="6"/>
      <c r="B271" s="6"/>
      <c r="C271" s="6"/>
      <c r="D271" s="6"/>
    </row>
    <row r="272" ht="15.75" customHeight="1">
      <c r="A272" s="6"/>
      <c r="B272" s="6"/>
      <c r="C272" s="6"/>
      <c r="D272" s="6"/>
    </row>
    <row r="273" ht="15.75" customHeight="1">
      <c r="A273" s="6"/>
      <c r="B273" s="6"/>
      <c r="C273" s="6"/>
      <c r="D273" s="6"/>
    </row>
    <row r="274" ht="15.75" customHeight="1">
      <c r="A274" s="6"/>
      <c r="B274" s="6"/>
      <c r="C274" s="6"/>
      <c r="D274" s="6"/>
    </row>
    <row r="275" ht="15.75" customHeight="1">
      <c r="A275" s="6"/>
      <c r="B275" s="6"/>
      <c r="C275" s="6"/>
      <c r="D275" s="6"/>
    </row>
    <row r="276" ht="15.75" customHeight="1">
      <c r="A276" s="6"/>
      <c r="B276" s="6"/>
      <c r="C276" s="6"/>
      <c r="D276" s="6"/>
    </row>
    <row r="277" ht="15.75" customHeight="1">
      <c r="A277" s="6"/>
      <c r="B277" s="6"/>
      <c r="C277" s="6"/>
      <c r="D277" s="6"/>
    </row>
    <row r="278" ht="15.75" customHeight="1">
      <c r="A278" s="6"/>
      <c r="B278" s="6"/>
      <c r="C278" s="6"/>
      <c r="D278" s="6"/>
    </row>
    <row r="279" ht="15.75" customHeight="1">
      <c r="A279" s="6"/>
      <c r="B279" s="6"/>
      <c r="C279" s="6"/>
      <c r="D279" s="6"/>
    </row>
    <row r="280" ht="15.75" customHeight="1">
      <c r="A280" s="6"/>
      <c r="B280" s="6"/>
      <c r="C280" s="6"/>
      <c r="D280" s="6"/>
    </row>
    <row r="281" ht="15.75" customHeight="1">
      <c r="A281" s="6"/>
      <c r="B281" s="6"/>
      <c r="C281" s="6"/>
      <c r="D281" s="6"/>
    </row>
    <row r="282" ht="15.75" customHeight="1">
      <c r="A282" s="6"/>
      <c r="B282" s="6"/>
      <c r="C282" s="6"/>
      <c r="D282" s="6"/>
    </row>
    <row r="283" ht="15.75" customHeight="1">
      <c r="A283" s="6"/>
      <c r="B283" s="6"/>
      <c r="C283" s="6"/>
      <c r="D283" s="6"/>
    </row>
    <row r="284" ht="15.75" customHeight="1">
      <c r="A284" s="6"/>
      <c r="B284" s="6"/>
      <c r="C284" s="6"/>
      <c r="D284" s="6"/>
    </row>
    <row r="285" ht="15.75" customHeight="1">
      <c r="A285" s="6"/>
      <c r="B285" s="6"/>
      <c r="C285" s="6"/>
      <c r="D285" s="6"/>
    </row>
    <row r="286" ht="15.75" customHeight="1">
      <c r="A286" s="6"/>
      <c r="B286" s="6"/>
      <c r="C286" s="6"/>
      <c r="D286" s="6"/>
    </row>
    <row r="287" ht="15.75" customHeight="1">
      <c r="A287" s="6"/>
      <c r="B287" s="6"/>
      <c r="C287" s="6"/>
      <c r="D287" s="6"/>
    </row>
    <row r="288" ht="15.75" customHeight="1">
      <c r="A288" s="6"/>
      <c r="B288" s="6"/>
      <c r="C288" s="6"/>
      <c r="D288" s="6"/>
    </row>
    <row r="289" ht="15.75" customHeight="1">
      <c r="A289" s="6"/>
      <c r="B289" s="6"/>
      <c r="C289" s="6"/>
      <c r="D289" s="6"/>
    </row>
    <row r="290" ht="15.75" customHeight="1">
      <c r="A290" s="6"/>
      <c r="B290" s="6"/>
      <c r="C290" s="6"/>
      <c r="D290" s="6"/>
    </row>
    <row r="291" ht="15.75" customHeight="1">
      <c r="A291" s="6"/>
      <c r="B291" s="6"/>
      <c r="C291" s="6"/>
      <c r="D291" s="6"/>
    </row>
    <row r="292" ht="15.75" customHeight="1">
      <c r="A292" s="6"/>
      <c r="B292" s="6"/>
      <c r="C292" s="6"/>
      <c r="D292" s="6"/>
    </row>
    <row r="293" ht="15.75" customHeight="1">
      <c r="A293" s="6"/>
      <c r="B293" s="6"/>
      <c r="C293" s="6"/>
      <c r="D293" s="6"/>
    </row>
    <row r="294" ht="15.75" customHeight="1">
      <c r="A294" s="6"/>
      <c r="B294" s="6"/>
      <c r="C294" s="6"/>
      <c r="D294" s="6"/>
    </row>
    <row r="295" ht="15.75" customHeight="1">
      <c r="A295" s="6"/>
      <c r="B295" s="6"/>
      <c r="C295" s="6"/>
      <c r="D295" s="6"/>
    </row>
    <row r="296" ht="15.75" customHeight="1">
      <c r="A296" s="6"/>
      <c r="B296" s="6"/>
      <c r="C296" s="6"/>
      <c r="D296" s="6"/>
    </row>
    <row r="297" ht="15.75" customHeight="1">
      <c r="A297" s="6"/>
      <c r="B297" s="6"/>
      <c r="C297" s="6"/>
      <c r="D297" s="6"/>
    </row>
    <row r="298" ht="15.75" customHeight="1">
      <c r="A298" s="6"/>
      <c r="B298" s="6"/>
      <c r="C298" s="6"/>
      <c r="D298" s="6"/>
    </row>
    <row r="299" ht="15.75" customHeight="1">
      <c r="A299" s="6"/>
      <c r="B299" s="6"/>
      <c r="C299" s="6"/>
      <c r="D299" s="6"/>
    </row>
    <row r="300" ht="15.75" customHeight="1">
      <c r="A300" s="6"/>
      <c r="B300" s="6"/>
      <c r="C300" s="6"/>
      <c r="D300" s="6"/>
    </row>
    <row r="301" ht="15.75" customHeight="1">
      <c r="A301" s="6"/>
      <c r="B301" s="6"/>
      <c r="C301" s="6"/>
      <c r="D301" s="6"/>
    </row>
    <row r="302" ht="15.75" customHeight="1">
      <c r="A302" s="6"/>
      <c r="B302" s="6"/>
      <c r="C302" s="6"/>
      <c r="D302" s="6"/>
    </row>
    <row r="303" ht="15.75" customHeight="1">
      <c r="A303" s="6"/>
      <c r="B303" s="6"/>
      <c r="C303" s="6"/>
      <c r="D303" s="6"/>
    </row>
    <row r="304" ht="15.75" customHeight="1">
      <c r="A304" s="6"/>
      <c r="B304" s="6"/>
      <c r="C304" s="6"/>
      <c r="D304" s="6"/>
    </row>
    <row r="305" ht="15.75" customHeight="1">
      <c r="A305" s="6"/>
      <c r="B305" s="6"/>
      <c r="C305" s="6"/>
      <c r="D305" s="6"/>
    </row>
    <row r="306" ht="15.75" customHeight="1">
      <c r="A306" s="6"/>
      <c r="B306" s="6"/>
      <c r="C306" s="6"/>
      <c r="D306" s="6"/>
    </row>
    <row r="307" ht="15.75" customHeight="1">
      <c r="A307" s="6"/>
      <c r="B307" s="6"/>
      <c r="C307" s="6"/>
      <c r="D307" s="6"/>
    </row>
    <row r="308" ht="15.75" customHeight="1">
      <c r="A308" s="6"/>
      <c r="B308" s="6"/>
      <c r="C308" s="6"/>
      <c r="D308" s="6"/>
    </row>
    <row r="309" ht="15.75" customHeight="1">
      <c r="A309" s="6"/>
      <c r="B309" s="6"/>
      <c r="C309" s="6"/>
      <c r="D309" s="6"/>
    </row>
    <row r="310" ht="15.75" customHeight="1">
      <c r="A310" s="6"/>
      <c r="B310" s="6"/>
      <c r="C310" s="6"/>
      <c r="D310" s="6"/>
    </row>
    <row r="311" ht="15.75" customHeight="1">
      <c r="A311" s="6"/>
      <c r="B311" s="6"/>
      <c r="C311" s="6"/>
      <c r="D311" s="6"/>
    </row>
    <row r="312" ht="15.75" customHeight="1">
      <c r="A312" s="6"/>
      <c r="B312" s="6"/>
      <c r="C312" s="6"/>
      <c r="D312" s="6"/>
    </row>
    <row r="313" ht="15.75" customHeight="1">
      <c r="A313" s="6"/>
      <c r="B313" s="6"/>
      <c r="C313" s="6"/>
      <c r="D313" s="6"/>
    </row>
    <row r="314" ht="15.75" customHeight="1">
      <c r="A314" s="6"/>
      <c r="B314" s="6"/>
      <c r="C314" s="6"/>
      <c r="D314" s="6"/>
    </row>
    <row r="315" ht="15.75" customHeight="1">
      <c r="A315" s="6"/>
      <c r="B315" s="6"/>
      <c r="C315" s="6"/>
      <c r="D315" s="6"/>
    </row>
    <row r="316" ht="15.75" customHeight="1">
      <c r="A316" s="6"/>
      <c r="B316" s="6"/>
      <c r="C316" s="6"/>
      <c r="D316" s="6"/>
    </row>
    <row r="317" ht="15.75" customHeight="1">
      <c r="A317" s="6"/>
      <c r="B317" s="6"/>
      <c r="C317" s="6"/>
      <c r="D317" s="6"/>
    </row>
    <row r="318" ht="15.75" customHeight="1">
      <c r="A318" s="6"/>
      <c r="B318" s="6"/>
      <c r="C318" s="6"/>
      <c r="D318" s="6"/>
    </row>
    <row r="319" ht="15.75" customHeight="1">
      <c r="A319" s="6"/>
      <c r="B319" s="6"/>
      <c r="C319" s="6"/>
      <c r="D319" s="6"/>
    </row>
    <row r="320" ht="15.75" customHeight="1">
      <c r="A320" s="6"/>
      <c r="B320" s="6"/>
      <c r="C320" s="6"/>
      <c r="D320" s="6"/>
    </row>
    <row r="321" ht="15.75" customHeight="1">
      <c r="A321" s="6"/>
      <c r="B321" s="6"/>
      <c r="C321" s="6"/>
      <c r="D321" s="6"/>
    </row>
    <row r="322" ht="15.75" customHeight="1">
      <c r="A322" s="6"/>
      <c r="B322" s="6"/>
      <c r="C322" s="6"/>
      <c r="D322" s="6"/>
    </row>
    <row r="323" ht="15.75" customHeight="1">
      <c r="A323" s="6"/>
      <c r="B323" s="6"/>
      <c r="C323" s="6"/>
      <c r="D323" s="6"/>
    </row>
    <row r="324" ht="15.75" customHeight="1">
      <c r="A324" s="6"/>
      <c r="B324" s="6"/>
      <c r="C324" s="6"/>
      <c r="D324" s="6"/>
    </row>
    <row r="325" ht="15.75" customHeight="1">
      <c r="A325" s="6"/>
      <c r="B325" s="6"/>
      <c r="C325" s="6"/>
      <c r="D325" s="6"/>
    </row>
    <row r="326" ht="15.75" customHeight="1">
      <c r="A326" s="6"/>
      <c r="B326" s="6"/>
      <c r="C326" s="6"/>
      <c r="D326" s="6"/>
    </row>
    <row r="327" ht="15.75" customHeight="1">
      <c r="A327" s="6"/>
      <c r="B327" s="6"/>
      <c r="C327" s="6"/>
      <c r="D327" s="6"/>
    </row>
    <row r="328" ht="15.75" customHeight="1">
      <c r="A328" s="6"/>
      <c r="B328" s="6"/>
      <c r="C328" s="6"/>
      <c r="D328" s="6"/>
    </row>
    <row r="329" ht="15.75" customHeight="1">
      <c r="A329" s="6"/>
      <c r="B329" s="6"/>
      <c r="C329" s="6"/>
      <c r="D329" s="6"/>
    </row>
    <row r="330" ht="15.75" customHeight="1">
      <c r="A330" s="6"/>
      <c r="B330" s="6"/>
      <c r="C330" s="6"/>
      <c r="D330" s="6"/>
    </row>
    <row r="331" ht="15.75" customHeight="1">
      <c r="A331" s="6"/>
      <c r="B331" s="6"/>
      <c r="C331" s="6"/>
      <c r="D331" s="6"/>
    </row>
    <row r="332" ht="15.75" customHeight="1">
      <c r="A332" s="6"/>
      <c r="B332" s="6"/>
      <c r="C332" s="6"/>
      <c r="D332" s="6"/>
    </row>
    <row r="333" ht="15.75" customHeight="1">
      <c r="A333" s="6"/>
      <c r="B333" s="6"/>
      <c r="C333" s="6"/>
      <c r="D333" s="6"/>
    </row>
    <row r="334" ht="15.75" customHeight="1">
      <c r="A334" s="6"/>
      <c r="B334" s="6"/>
      <c r="C334" s="6"/>
      <c r="D334" s="6"/>
    </row>
    <row r="335" ht="15.75" customHeight="1">
      <c r="A335" s="6"/>
      <c r="B335" s="6"/>
      <c r="C335" s="6"/>
      <c r="D335" s="6"/>
    </row>
    <row r="336" ht="15.75" customHeight="1">
      <c r="A336" s="6"/>
      <c r="B336" s="6"/>
      <c r="C336" s="6"/>
      <c r="D336" s="6"/>
    </row>
    <row r="337" ht="15.75" customHeight="1">
      <c r="A337" s="6"/>
      <c r="B337" s="6"/>
      <c r="C337" s="6"/>
      <c r="D337" s="6"/>
    </row>
    <row r="338" ht="15.75" customHeight="1">
      <c r="A338" s="6"/>
      <c r="B338" s="6"/>
      <c r="C338" s="6"/>
      <c r="D338" s="6"/>
    </row>
    <row r="339" ht="15.75" customHeight="1">
      <c r="A339" s="6"/>
      <c r="B339" s="6"/>
      <c r="C339" s="6"/>
      <c r="D339" s="6"/>
    </row>
    <row r="340" ht="15.75" customHeight="1">
      <c r="A340" s="6"/>
      <c r="B340" s="6"/>
      <c r="C340" s="6"/>
      <c r="D340" s="6"/>
    </row>
    <row r="341" ht="15.75" customHeight="1">
      <c r="A341" s="6"/>
      <c r="B341" s="6"/>
      <c r="C341" s="6"/>
      <c r="D341" s="6"/>
    </row>
    <row r="342" ht="15.75" customHeight="1">
      <c r="A342" s="6"/>
      <c r="B342" s="6"/>
      <c r="C342" s="6"/>
      <c r="D342" s="6"/>
    </row>
    <row r="343" ht="15.75" customHeight="1">
      <c r="A343" s="6"/>
      <c r="B343" s="6"/>
      <c r="C343" s="6"/>
      <c r="D343" s="6"/>
    </row>
    <row r="344" ht="15.75" customHeight="1">
      <c r="A344" s="6"/>
      <c r="B344" s="6"/>
      <c r="C344" s="6"/>
      <c r="D344" s="6"/>
    </row>
    <row r="345" ht="15.75" customHeight="1">
      <c r="A345" s="6"/>
      <c r="B345" s="6"/>
      <c r="C345" s="6"/>
      <c r="D345" s="6"/>
    </row>
    <row r="346" ht="15.75" customHeight="1">
      <c r="A346" s="6"/>
      <c r="B346" s="6"/>
      <c r="C346" s="6"/>
      <c r="D346" s="6"/>
    </row>
    <row r="347" ht="15.75" customHeight="1">
      <c r="A347" s="6"/>
      <c r="B347" s="6"/>
      <c r="C347" s="6"/>
      <c r="D347" s="6"/>
    </row>
    <row r="348" ht="15.75" customHeight="1">
      <c r="A348" s="6"/>
      <c r="B348" s="6"/>
      <c r="C348" s="6"/>
      <c r="D348" s="6"/>
    </row>
    <row r="349" ht="15.75" customHeight="1">
      <c r="A349" s="6"/>
      <c r="B349" s="6"/>
      <c r="C349" s="6"/>
      <c r="D349" s="6"/>
    </row>
    <row r="350" ht="15.75" customHeight="1">
      <c r="A350" s="6"/>
      <c r="B350" s="6"/>
      <c r="C350" s="6"/>
      <c r="D350" s="6"/>
    </row>
    <row r="351" ht="15.75" customHeight="1">
      <c r="A351" s="6"/>
      <c r="B351" s="6"/>
      <c r="C351" s="6"/>
      <c r="D351" s="6"/>
    </row>
    <row r="352" ht="15.75" customHeight="1">
      <c r="A352" s="6"/>
      <c r="B352" s="6"/>
      <c r="C352" s="6"/>
      <c r="D352" s="6"/>
    </row>
    <row r="353" ht="15.75" customHeight="1">
      <c r="A353" s="6"/>
      <c r="B353" s="6"/>
      <c r="C353" s="6"/>
      <c r="D353" s="6"/>
    </row>
    <row r="354" ht="15.75" customHeight="1">
      <c r="A354" s="6"/>
      <c r="B354" s="6"/>
      <c r="C354" s="6"/>
      <c r="D354" s="6"/>
    </row>
    <row r="355" ht="15.75" customHeight="1">
      <c r="A355" s="6"/>
      <c r="B355" s="6"/>
      <c r="C355" s="6"/>
      <c r="D355" s="6"/>
    </row>
    <row r="356" ht="15.75" customHeight="1">
      <c r="A356" s="6"/>
      <c r="B356" s="6"/>
      <c r="C356" s="6"/>
      <c r="D356" s="6"/>
    </row>
    <row r="357" ht="15.75" customHeight="1">
      <c r="A357" s="6"/>
      <c r="B357" s="6"/>
      <c r="C357" s="6"/>
      <c r="D357" s="6"/>
    </row>
    <row r="358" ht="15.75" customHeight="1">
      <c r="A358" s="6"/>
      <c r="B358" s="6"/>
      <c r="C358" s="6"/>
      <c r="D358" s="6"/>
    </row>
    <row r="359" ht="15.75" customHeight="1">
      <c r="A359" s="6"/>
      <c r="B359" s="6"/>
      <c r="C359" s="6"/>
      <c r="D359" s="6"/>
    </row>
    <row r="360" ht="15.75" customHeight="1">
      <c r="A360" s="6"/>
      <c r="B360" s="6"/>
      <c r="C360" s="6"/>
      <c r="D360" s="6"/>
    </row>
    <row r="361" ht="15.75" customHeight="1">
      <c r="A361" s="6"/>
      <c r="B361" s="6"/>
      <c r="C361" s="6"/>
      <c r="D361" s="6"/>
    </row>
    <row r="362" ht="15.75" customHeight="1">
      <c r="A362" s="6"/>
      <c r="B362" s="6"/>
      <c r="C362" s="6"/>
      <c r="D362" s="6"/>
    </row>
    <row r="363" ht="15.75" customHeight="1">
      <c r="A363" s="6"/>
      <c r="B363" s="6"/>
      <c r="C363" s="6"/>
      <c r="D363" s="6"/>
    </row>
    <row r="364" ht="15.75" customHeight="1">
      <c r="A364" s="6"/>
      <c r="B364" s="6"/>
      <c r="C364" s="6"/>
      <c r="D364" s="6"/>
    </row>
    <row r="365" ht="15.75" customHeight="1">
      <c r="A365" s="6"/>
      <c r="B365" s="6"/>
      <c r="C365" s="6"/>
      <c r="D365" s="6"/>
    </row>
    <row r="366" ht="15.75" customHeight="1">
      <c r="A366" s="6"/>
      <c r="B366" s="6"/>
      <c r="C366" s="6"/>
      <c r="D366" s="6"/>
    </row>
    <row r="367" ht="15.75" customHeight="1">
      <c r="A367" s="6"/>
      <c r="B367" s="6"/>
      <c r="C367" s="6"/>
      <c r="D367" s="6"/>
    </row>
    <row r="368" ht="15.75" customHeight="1">
      <c r="A368" s="6"/>
      <c r="B368" s="6"/>
      <c r="C368" s="6"/>
      <c r="D368" s="6"/>
    </row>
    <row r="369" ht="15.75" customHeight="1">
      <c r="A369" s="6"/>
      <c r="B369" s="6"/>
      <c r="C369" s="6"/>
      <c r="D369" s="6"/>
    </row>
    <row r="370" ht="15.75" customHeight="1">
      <c r="A370" s="6"/>
      <c r="B370" s="6"/>
      <c r="C370" s="6"/>
      <c r="D370" s="6"/>
    </row>
    <row r="371" ht="15.75" customHeight="1">
      <c r="A371" s="6"/>
      <c r="B371" s="6"/>
      <c r="C371" s="6"/>
      <c r="D371" s="6"/>
    </row>
    <row r="372" ht="15.75" customHeight="1">
      <c r="A372" s="6"/>
      <c r="B372" s="6"/>
      <c r="C372" s="6"/>
      <c r="D372" s="6"/>
    </row>
    <row r="373" ht="15.75" customHeight="1">
      <c r="A373" s="6"/>
      <c r="B373" s="6"/>
      <c r="C373" s="6"/>
      <c r="D373" s="6"/>
    </row>
    <row r="374" ht="15.75" customHeight="1">
      <c r="A374" s="6"/>
      <c r="B374" s="6"/>
      <c r="C374" s="6"/>
      <c r="D374" s="6"/>
    </row>
    <row r="375" ht="15.75" customHeight="1">
      <c r="A375" s="6"/>
      <c r="B375" s="6"/>
      <c r="C375" s="6"/>
      <c r="D375" s="6"/>
    </row>
    <row r="376" ht="15.75" customHeight="1">
      <c r="A376" s="6"/>
      <c r="B376" s="6"/>
      <c r="C376" s="6"/>
      <c r="D376" s="6"/>
    </row>
    <row r="377" ht="15.75" customHeight="1">
      <c r="A377" s="6"/>
      <c r="B377" s="6"/>
      <c r="C377" s="6"/>
      <c r="D377" s="6"/>
    </row>
    <row r="378" ht="15.75" customHeight="1">
      <c r="A378" s="6"/>
      <c r="B378" s="6"/>
      <c r="C378" s="6"/>
      <c r="D378" s="6"/>
    </row>
    <row r="379" ht="15.75" customHeight="1">
      <c r="A379" s="6"/>
      <c r="B379" s="6"/>
      <c r="C379" s="6"/>
      <c r="D379" s="6"/>
    </row>
    <row r="380" ht="15.75" customHeight="1">
      <c r="A380" s="6"/>
      <c r="B380" s="6"/>
      <c r="C380" s="6"/>
      <c r="D380" s="6"/>
    </row>
    <row r="381" ht="15.75" customHeight="1">
      <c r="A381" s="6"/>
      <c r="B381" s="6"/>
      <c r="C381" s="6"/>
      <c r="D381" s="6"/>
    </row>
    <row r="382" ht="15.75" customHeight="1">
      <c r="A382" s="6"/>
      <c r="B382" s="6"/>
      <c r="C382" s="6"/>
      <c r="D382" s="6"/>
    </row>
    <row r="383" ht="15.75" customHeight="1">
      <c r="A383" s="6"/>
      <c r="B383" s="6"/>
      <c r="C383" s="6"/>
      <c r="D383" s="6"/>
    </row>
    <row r="384" ht="15.75" customHeight="1">
      <c r="A384" s="6"/>
      <c r="B384" s="6"/>
      <c r="C384" s="6"/>
      <c r="D384" s="6"/>
    </row>
    <row r="385" ht="15.75" customHeight="1">
      <c r="A385" s="6"/>
      <c r="B385" s="6"/>
      <c r="C385" s="6"/>
      <c r="D385" s="6"/>
    </row>
    <row r="386" ht="15.75" customHeight="1">
      <c r="A386" s="6"/>
      <c r="B386" s="6"/>
      <c r="C386" s="6"/>
      <c r="D386" s="6"/>
    </row>
    <row r="387" ht="15.75" customHeight="1">
      <c r="A387" s="6"/>
      <c r="B387" s="6"/>
      <c r="C387" s="6"/>
      <c r="D387" s="6"/>
    </row>
    <row r="388" ht="15.75" customHeight="1">
      <c r="A388" s="6"/>
      <c r="B388" s="6"/>
      <c r="C388" s="6"/>
      <c r="D388" s="6"/>
    </row>
    <row r="389" ht="15.75" customHeight="1">
      <c r="A389" s="6"/>
      <c r="B389" s="6"/>
      <c r="C389" s="6"/>
      <c r="D389" s="6"/>
    </row>
    <row r="390" ht="15.75" customHeight="1">
      <c r="A390" s="6"/>
      <c r="B390" s="6"/>
      <c r="C390" s="6"/>
      <c r="D390" s="6"/>
    </row>
    <row r="391" ht="15.75" customHeight="1">
      <c r="A391" s="6"/>
      <c r="B391" s="6"/>
      <c r="C391" s="6"/>
      <c r="D391" s="6"/>
    </row>
    <row r="392" ht="15.75" customHeight="1">
      <c r="A392" s="6"/>
      <c r="B392" s="6"/>
      <c r="C392" s="6"/>
      <c r="D392" s="6"/>
    </row>
    <row r="393" ht="15.75" customHeight="1">
      <c r="A393" s="6"/>
      <c r="B393" s="6"/>
      <c r="C393" s="6"/>
      <c r="D393" s="6"/>
    </row>
    <row r="394" ht="15.75" customHeight="1">
      <c r="A394" s="6"/>
      <c r="B394" s="6"/>
      <c r="C394" s="6"/>
      <c r="D394" s="6"/>
    </row>
    <row r="395" ht="15.75" customHeight="1">
      <c r="A395" s="6"/>
      <c r="B395" s="6"/>
      <c r="C395" s="6"/>
      <c r="D395" s="6"/>
    </row>
    <row r="396" ht="15.75" customHeight="1">
      <c r="A396" s="6"/>
      <c r="B396" s="6"/>
      <c r="C396" s="6"/>
      <c r="D396" s="6"/>
    </row>
    <row r="397" ht="15.75" customHeight="1">
      <c r="A397" s="6"/>
      <c r="B397" s="6"/>
      <c r="C397" s="6"/>
      <c r="D397" s="6"/>
    </row>
    <row r="398" ht="15.75" customHeight="1">
      <c r="A398" s="6"/>
      <c r="B398" s="6"/>
      <c r="C398" s="6"/>
      <c r="D398" s="6"/>
    </row>
    <row r="399" ht="15.75" customHeight="1">
      <c r="A399" s="6"/>
      <c r="B399" s="6"/>
      <c r="C399" s="6"/>
      <c r="D399" s="6"/>
    </row>
    <row r="400" ht="15.75" customHeight="1">
      <c r="A400" s="6"/>
      <c r="B400" s="6"/>
      <c r="C400" s="6"/>
      <c r="D400" s="6"/>
    </row>
    <row r="401" ht="15.75" customHeight="1">
      <c r="A401" s="6"/>
      <c r="B401" s="6"/>
      <c r="C401" s="6"/>
      <c r="D401" s="6"/>
    </row>
    <row r="402" ht="15.75" customHeight="1">
      <c r="A402" s="6"/>
      <c r="B402" s="6"/>
      <c r="C402" s="6"/>
      <c r="D402" s="6"/>
    </row>
    <row r="403" ht="15.75" customHeight="1">
      <c r="A403" s="6"/>
      <c r="B403" s="6"/>
      <c r="C403" s="6"/>
      <c r="D403" s="6"/>
    </row>
    <row r="404" ht="15.75" customHeight="1">
      <c r="A404" s="6"/>
      <c r="B404" s="6"/>
      <c r="C404" s="6"/>
      <c r="D404" s="6"/>
    </row>
    <row r="405" ht="15.75" customHeight="1">
      <c r="A405" s="6"/>
      <c r="B405" s="6"/>
      <c r="C405" s="6"/>
      <c r="D405" s="6"/>
    </row>
    <row r="406" ht="15.75" customHeight="1">
      <c r="A406" s="6"/>
      <c r="B406" s="6"/>
      <c r="C406" s="6"/>
      <c r="D406" s="6"/>
    </row>
    <row r="407" ht="15.75" customHeight="1">
      <c r="A407" s="6"/>
      <c r="B407" s="6"/>
      <c r="C407" s="6"/>
      <c r="D407" s="6"/>
    </row>
    <row r="408" ht="15.75" customHeight="1">
      <c r="A408" s="6"/>
      <c r="B408" s="6"/>
      <c r="C408" s="6"/>
      <c r="D408" s="6"/>
    </row>
    <row r="409" ht="15.75" customHeight="1">
      <c r="A409" s="6"/>
      <c r="B409" s="6"/>
      <c r="C409" s="6"/>
      <c r="D409" s="6"/>
    </row>
    <row r="410" ht="15.75" customHeight="1">
      <c r="A410" s="6"/>
      <c r="B410" s="6"/>
      <c r="C410" s="6"/>
      <c r="D410" s="6"/>
    </row>
    <row r="411" ht="15.75" customHeight="1">
      <c r="A411" s="6"/>
      <c r="B411" s="6"/>
      <c r="C411" s="6"/>
      <c r="D411" s="6"/>
    </row>
    <row r="412" ht="15.75" customHeight="1">
      <c r="A412" s="6"/>
      <c r="B412" s="6"/>
      <c r="C412" s="6"/>
      <c r="D412" s="6"/>
    </row>
    <row r="413" ht="15.75" customHeight="1">
      <c r="A413" s="6"/>
      <c r="B413" s="6"/>
      <c r="C413" s="6"/>
      <c r="D413" s="6"/>
    </row>
    <row r="414" ht="15.75" customHeight="1">
      <c r="A414" s="6"/>
      <c r="B414" s="6"/>
      <c r="C414" s="6"/>
      <c r="D414" s="6"/>
    </row>
    <row r="415" ht="15.75" customHeight="1">
      <c r="A415" s="6"/>
      <c r="B415" s="6"/>
      <c r="C415" s="6"/>
      <c r="D415" s="6"/>
    </row>
    <row r="416" ht="15.75" customHeight="1">
      <c r="A416" s="6"/>
      <c r="B416" s="6"/>
      <c r="C416" s="6"/>
      <c r="D416" s="6"/>
    </row>
    <row r="417" ht="15.75" customHeight="1">
      <c r="A417" s="6"/>
      <c r="B417" s="6"/>
      <c r="C417" s="6"/>
      <c r="D417" s="6"/>
    </row>
    <row r="418" ht="15.75" customHeight="1">
      <c r="A418" s="6"/>
      <c r="B418" s="6"/>
      <c r="C418" s="6"/>
      <c r="D418" s="6"/>
    </row>
    <row r="419" ht="15.75" customHeight="1">
      <c r="A419" s="6"/>
      <c r="B419" s="6"/>
      <c r="C419" s="6"/>
      <c r="D419" s="6"/>
    </row>
    <row r="420" ht="15.75" customHeight="1">
      <c r="A420" s="6"/>
      <c r="B420" s="6"/>
      <c r="C420" s="6"/>
      <c r="D420" s="6"/>
    </row>
    <row r="421" ht="15.75" customHeight="1">
      <c r="A421" s="6"/>
      <c r="B421" s="6"/>
      <c r="C421" s="6"/>
      <c r="D421" s="6"/>
    </row>
    <row r="422" ht="15.75" customHeight="1">
      <c r="A422" s="6"/>
      <c r="B422" s="6"/>
      <c r="C422" s="6"/>
      <c r="D422" s="6"/>
    </row>
    <row r="423" ht="15.75" customHeight="1">
      <c r="A423" s="6"/>
      <c r="B423" s="6"/>
      <c r="C423" s="6"/>
      <c r="D423" s="6"/>
    </row>
    <row r="424" ht="15.75" customHeight="1">
      <c r="A424" s="6"/>
      <c r="B424" s="6"/>
      <c r="C424" s="6"/>
      <c r="D424" s="6"/>
    </row>
    <row r="425" ht="15.75" customHeight="1">
      <c r="A425" s="6"/>
      <c r="B425" s="6"/>
      <c r="C425" s="6"/>
      <c r="D425" s="6"/>
    </row>
    <row r="426" ht="15.75" customHeight="1">
      <c r="A426" s="6"/>
      <c r="B426" s="6"/>
      <c r="C426" s="6"/>
      <c r="D426" s="6"/>
    </row>
    <row r="427" ht="15.75" customHeight="1">
      <c r="A427" s="6"/>
      <c r="B427" s="6"/>
      <c r="C427" s="6"/>
      <c r="D427" s="6"/>
    </row>
    <row r="428" ht="15.75" customHeight="1">
      <c r="A428" s="6"/>
      <c r="B428" s="6"/>
      <c r="C428" s="6"/>
      <c r="D428" s="6"/>
    </row>
    <row r="429" ht="15.75" customHeight="1">
      <c r="A429" s="6"/>
      <c r="B429" s="6"/>
      <c r="C429" s="6"/>
      <c r="D429" s="6"/>
    </row>
    <row r="430" ht="15.75" customHeight="1">
      <c r="A430" s="6"/>
      <c r="B430" s="6"/>
      <c r="C430" s="6"/>
      <c r="D430" s="6"/>
    </row>
    <row r="431" ht="15.75" customHeight="1">
      <c r="A431" s="6"/>
      <c r="B431" s="6"/>
      <c r="C431" s="6"/>
      <c r="D431" s="6"/>
    </row>
    <row r="432" ht="15.75" customHeight="1">
      <c r="A432" s="6"/>
      <c r="B432" s="6"/>
      <c r="C432" s="6"/>
      <c r="D432" s="6"/>
    </row>
    <row r="433" ht="15.75" customHeight="1">
      <c r="A433" s="6"/>
      <c r="B433" s="6"/>
      <c r="C433" s="6"/>
      <c r="D433" s="6"/>
    </row>
    <row r="434" ht="15.75" customHeight="1">
      <c r="A434" s="6"/>
      <c r="B434" s="6"/>
      <c r="C434" s="6"/>
      <c r="D434" s="6"/>
    </row>
    <row r="435" ht="15.75" customHeight="1">
      <c r="A435" s="6"/>
      <c r="B435" s="6"/>
      <c r="C435" s="6"/>
      <c r="D435" s="6"/>
    </row>
    <row r="436" ht="15.75" customHeight="1">
      <c r="A436" s="6"/>
      <c r="B436" s="6"/>
      <c r="C436" s="6"/>
      <c r="D436" s="6"/>
    </row>
    <row r="437" ht="15.75" customHeight="1">
      <c r="A437" s="6"/>
      <c r="B437" s="6"/>
      <c r="C437" s="6"/>
      <c r="D437" s="6"/>
    </row>
    <row r="438" ht="15.75" customHeight="1">
      <c r="A438" s="6"/>
      <c r="B438" s="6"/>
      <c r="C438" s="6"/>
      <c r="D438" s="6"/>
    </row>
    <row r="439" ht="15.75" customHeight="1">
      <c r="A439" s="6"/>
      <c r="B439" s="6"/>
      <c r="C439" s="6"/>
      <c r="D439" s="6"/>
    </row>
    <row r="440" ht="15.75" customHeight="1">
      <c r="A440" s="6"/>
      <c r="B440" s="6"/>
      <c r="C440" s="6"/>
      <c r="D440" s="6"/>
    </row>
    <row r="441" ht="15.75" customHeight="1">
      <c r="A441" s="6"/>
      <c r="B441" s="6"/>
      <c r="C441" s="6"/>
      <c r="D441" s="6"/>
    </row>
    <row r="442" ht="15.75" customHeight="1">
      <c r="A442" s="6"/>
      <c r="B442" s="6"/>
      <c r="C442" s="6"/>
      <c r="D442" s="6"/>
    </row>
    <row r="443" ht="15.75" customHeight="1">
      <c r="A443" s="6"/>
      <c r="B443" s="6"/>
      <c r="C443" s="6"/>
      <c r="D443" s="6"/>
    </row>
    <row r="444" ht="15.75" customHeight="1">
      <c r="A444" s="6"/>
      <c r="B444" s="6"/>
      <c r="C444" s="6"/>
      <c r="D444" s="6"/>
    </row>
    <row r="445" ht="15.75" customHeight="1">
      <c r="A445" s="6"/>
      <c r="B445" s="6"/>
      <c r="C445" s="6"/>
      <c r="D445" s="6"/>
    </row>
    <row r="446" ht="15.75" customHeight="1">
      <c r="A446" s="6"/>
      <c r="B446" s="6"/>
      <c r="C446" s="6"/>
      <c r="D446" s="6"/>
    </row>
    <row r="447" ht="15.75" customHeight="1">
      <c r="A447" s="6"/>
      <c r="B447" s="6"/>
      <c r="C447" s="6"/>
      <c r="D447" s="6"/>
    </row>
    <row r="448" ht="15.75" customHeight="1">
      <c r="A448" s="6"/>
      <c r="B448" s="6"/>
      <c r="C448" s="6"/>
      <c r="D448" s="6"/>
    </row>
    <row r="449" ht="15.75" customHeight="1">
      <c r="A449" s="6"/>
      <c r="B449" s="6"/>
      <c r="C449" s="6"/>
      <c r="D449" s="6"/>
    </row>
    <row r="450" ht="15.75" customHeight="1">
      <c r="A450" s="6"/>
      <c r="B450" s="6"/>
      <c r="C450" s="6"/>
      <c r="D450" s="6"/>
    </row>
    <row r="451" ht="15.75" customHeight="1">
      <c r="A451" s="6"/>
      <c r="B451" s="6"/>
      <c r="C451" s="6"/>
      <c r="D451" s="6"/>
    </row>
    <row r="452" ht="15.75" customHeight="1">
      <c r="A452" s="6"/>
      <c r="B452" s="6"/>
      <c r="C452" s="6"/>
      <c r="D452" s="6"/>
    </row>
    <row r="453" ht="15.75" customHeight="1">
      <c r="A453" s="6"/>
      <c r="B453" s="6"/>
      <c r="C453" s="6"/>
      <c r="D453" s="6"/>
    </row>
    <row r="454" ht="15.75" customHeight="1">
      <c r="A454" s="6"/>
      <c r="B454" s="6"/>
      <c r="C454" s="6"/>
      <c r="D454" s="6"/>
    </row>
    <row r="455" ht="15.75" customHeight="1">
      <c r="A455" s="6"/>
      <c r="B455" s="6"/>
      <c r="C455" s="6"/>
      <c r="D455" s="6"/>
    </row>
    <row r="456" ht="15.75" customHeight="1">
      <c r="A456" s="6"/>
      <c r="B456" s="6"/>
      <c r="C456" s="6"/>
      <c r="D456" s="6"/>
    </row>
    <row r="457" ht="15.75" customHeight="1">
      <c r="A457" s="6"/>
      <c r="B457" s="6"/>
      <c r="C457" s="6"/>
      <c r="D457" s="6"/>
    </row>
    <row r="458" ht="15.75" customHeight="1">
      <c r="A458" s="6"/>
      <c r="B458" s="6"/>
      <c r="C458" s="6"/>
      <c r="D458" s="6"/>
    </row>
    <row r="459" ht="15.75" customHeight="1">
      <c r="A459" s="6"/>
      <c r="B459" s="6"/>
      <c r="C459" s="6"/>
      <c r="D459" s="6"/>
    </row>
    <row r="460" ht="15.75" customHeight="1">
      <c r="A460" s="6"/>
      <c r="B460" s="6"/>
      <c r="C460" s="6"/>
      <c r="D460" s="6"/>
    </row>
    <row r="461" ht="15.75" customHeight="1">
      <c r="A461" s="6"/>
      <c r="B461" s="6"/>
      <c r="C461" s="6"/>
      <c r="D461" s="6"/>
    </row>
    <row r="462" ht="15.75" customHeight="1">
      <c r="A462" s="6"/>
      <c r="B462" s="6"/>
      <c r="C462" s="6"/>
      <c r="D462" s="6"/>
    </row>
    <row r="463" ht="15.75" customHeight="1">
      <c r="A463" s="6"/>
      <c r="B463" s="6"/>
      <c r="C463" s="6"/>
      <c r="D463" s="6"/>
    </row>
    <row r="464" ht="15.75" customHeight="1">
      <c r="A464" s="6"/>
      <c r="B464" s="6"/>
      <c r="C464" s="6"/>
      <c r="D464" s="6"/>
    </row>
    <row r="465" ht="15.75" customHeight="1">
      <c r="A465" s="6"/>
      <c r="B465" s="6"/>
      <c r="C465" s="6"/>
      <c r="D465" s="6"/>
    </row>
    <row r="466" ht="15.75" customHeight="1">
      <c r="A466" s="6"/>
      <c r="B466" s="6"/>
      <c r="C466" s="6"/>
      <c r="D466" s="6"/>
    </row>
    <row r="467" ht="15.75" customHeight="1">
      <c r="A467" s="6"/>
      <c r="B467" s="6"/>
      <c r="C467" s="6"/>
      <c r="D467" s="6"/>
    </row>
    <row r="468" ht="15.75" customHeight="1">
      <c r="A468" s="6"/>
      <c r="B468" s="6"/>
      <c r="C468" s="6"/>
      <c r="D468" s="6"/>
    </row>
    <row r="469" ht="15.75" customHeight="1">
      <c r="A469" s="6"/>
      <c r="B469" s="6"/>
      <c r="C469" s="6"/>
      <c r="D469" s="6"/>
    </row>
    <row r="470" ht="15.75" customHeight="1">
      <c r="A470" s="6"/>
      <c r="B470" s="6"/>
      <c r="C470" s="6"/>
      <c r="D470" s="6"/>
    </row>
    <row r="471" ht="15.75" customHeight="1">
      <c r="A471" s="6"/>
      <c r="B471" s="6"/>
      <c r="C471" s="6"/>
      <c r="D471" s="6"/>
    </row>
    <row r="472" ht="15.75" customHeight="1">
      <c r="A472" s="6"/>
      <c r="B472" s="6"/>
      <c r="C472" s="6"/>
      <c r="D472" s="6"/>
    </row>
    <row r="473" ht="15.75" customHeight="1">
      <c r="A473" s="6"/>
      <c r="B473" s="6"/>
      <c r="C473" s="6"/>
      <c r="D473" s="6"/>
    </row>
    <row r="474" ht="15.75" customHeight="1">
      <c r="A474" s="6"/>
      <c r="B474" s="6"/>
      <c r="C474" s="6"/>
      <c r="D474" s="6"/>
    </row>
    <row r="475" ht="15.75" customHeight="1">
      <c r="A475" s="6"/>
      <c r="B475" s="6"/>
      <c r="C475" s="6"/>
      <c r="D475" s="6"/>
    </row>
    <row r="476" ht="15.75" customHeight="1">
      <c r="A476" s="6"/>
      <c r="B476" s="6"/>
      <c r="C476" s="6"/>
      <c r="D476" s="6"/>
    </row>
    <row r="477" ht="15.75" customHeight="1">
      <c r="A477" s="6"/>
      <c r="B477" s="6"/>
      <c r="C477" s="6"/>
      <c r="D477" s="6"/>
    </row>
    <row r="478" ht="15.75" customHeight="1">
      <c r="A478" s="6"/>
      <c r="B478" s="6"/>
      <c r="C478" s="6"/>
      <c r="D478" s="6"/>
    </row>
    <row r="479" ht="15.75" customHeight="1">
      <c r="A479" s="6"/>
      <c r="B479" s="6"/>
      <c r="C479" s="6"/>
      <c r="D479" s="6"/>
    </row>
    <row r="480" ht="15.75" customHeight="1">
      <c r="A480" s="6"/>
      <c r="B480" s="6"/>
      <c r="C480" s="6"/>
      <c r="D480" s="6"/>
    </row>
    <row r="481" ht="15.75" customHeight="1">
      <c r="A481" s="6"/>
      <c r="B481" s="6"/>
      <c r="C481" s="6"/>
      <c r="D481" s="6"/>
    </row>
    <row r="482" ht="15.75" customHeight="1">
      <c r="A482" s="6"/>
      <c r="B482" s="6"/>
      <c r="C482" s="6"/>
      <c r="D482" s="6"/>
    </row>
    <row r="483" ht="15.75" customHeight="1">
      <c r="A483" s="6"/>
      <c r="B483" s="6"/>
      <c r="C483" s="6"/>
      <c r="D483" s="6"/>
    </row>
    <row r="484" ht="15.75" customHeight="1">
      <c r="A484" s="6"/>
      <c r="B484" s="6"/>
      <c r="C484" s="6"/>
      <c r="D484" s="6"/>
    </row>
    <row r="485" ht="15.75" customHeight="1">
      <c r="A485" s="6"/>
      <c r="B485" s="6"/>
      <c r="C485" s="6"/>
      <c r="D485" s="6"/>
    </row>
    <row r="486" ht="15.75" customHeight="1">
      <c r="A486" s="6"/>
      <c r="B486" s="6"/>
      <c r="C486" s="6"/>
      <c r="D486" s="6"/>
    </row>
    <row r="487" ht="15.75" customHeight="1">
      <c r="A487" s="6"/>
      <c r="B487" s="6"/>
      <c r="C487" s="6"/>
      <c r="D487" s="6"/>
    </row>
    <row r="488" ht="15.75" customHeight="1">
      <c r="A488" s="6"/>
      <c r="B488" s="6"/>
      <c r="C488" s="6"/>
      <c r="D488" s="6"/>
    </row>
    <row r="489" ht="15.75" customHeight="1">
      <c r="A489" s="6"/>
      <c r="B489" s="6"/>
      <c r="C489" s="6"/>
      <c r="D489" s="6"/>
    </row>
    <row r="490" ht="15.75" customHeight="1">
      <c r="A490" s="6"/>
      <c r="B490" s="6"/>
      <c r="C490" s="6"/>
      <c r="D490" s="6"/>
    </row>
    <row r="491" ht="15.75" customHeight="1">
      <c r="A491" s="6"/>
      <c r="B491" s="6"/>
      <c r="C491" s="6"/>
      <c r="D491" s="6"/>
    </row>
    <row r="492" ht="15.75" customHeight="1">
      <c r="A492" s="6"/>
      <c r="B492" s="6"/>
      <c r="C492" s="6"/>
      <c r="D492" s="6"/>
    </row>
    <row r="493" ht="15.75" customHeight="1">
      <c r="A493" s="6"/>
      <c r="B493" s="6"/>
      <c r="C493" s="6"/>
      <c r="D493" s="6"/>
    </row>
    <row r="494" ht="15.75" customHeight="1">
      <c r="A494" s="6"/>
      <c r="B494" s="6"/>
      <c r="C494" s="6"/>
      <c r="D494" s="6"/>
    </row>
    <row r="495" ht="15.75" customHeight="1">
      <c r="A495" s="6"/>
      <c r="B495" s="6"/>
      <c r="C495" s="6"/>
      <c r="D495" s="6"/>
    </row>
    <row r="496" ht="15.75" customHeight="1">
      <c r="A496" s="6"/>
      <c r="B496" s="6"/>
      <c r="C496" s="6"/>
      <c r="D496" s="6"/>
    </row>
    <row r="497" ht="15.75" customHeight="1">
      <c r="A497" s="6"/>
      <c r="B497" s="6"/>
      <c r="C497" s="6"/>
      <c r="D497" s="6"/>
    </row>
    <row r="498" ht="15.75" customHeight="1">
      <c r="A498" s="6"/>
      <c r="B498" s="6"/>
      <c r="C498" s="6"/>
      <c r="D498" s="6"/>
    </row>
    <row r="499" ht="15.75" customHeight="1">
      <c r="A499" s="6"/>
      <c r="B499" s="6"/>
      <c r="C499" s="6"/>
      <c r="D499" s="6"/>
    </row>
    <row r="500" ht="15.75" customHeight="1">
      <c r="A500" s="6"/>
      <c r="B500" s="6"/>
      <c r="C500" s="6"/>
      <c r="D500" s="6"/>
    </row>
    <row r="501" ht="15.75" customHeight="1">
      <c r="A501" s="6"/>
      <c r="B501" s="6"/>
      <c r="C501" s="6"/>
      <c r="D501" s="6"/>
    </row>
    <row r="502" ht="15.75" customHeight="1">
      <c r="A502" s="6"/>
      <c r="B502" s="6"/>
      <c r="C502" s="6"/>
      <c r="D502" s="6"/>
    </row>
    <row r="503" ht="15.75" customHeight="1">
      <c r="A503" s="6"/>
      <c r="B503" s="6"/>
      <c r="C503" s="6"/>
      <c r="D503" s="6"/>
    </row>
    <row r="504" ht="15.75" customHeight="1">
      <c r="A504" s="6"/>
      <c r="B504" s="6"/>
      <c r="C504" s="6"/>
      <c r="D504" s="6"/>
    </row>
    <row r="505" ht="15.75" customHeight="1">
      <c r="A505" s="6"/>
      <c r="B505" s="6"/>
      <c r="C505" s="6"/>
      <c r="D505" s="6"/>
    </row>
    <row r="506" ht="15.75" customHeight="1">
      <c r="A506" s="6"/>
      <c r="B506" s="6"/>
      <c r="C506" s="6"/>
      <c r="D506" s="6"/>
    </row>
    <row r="507" ht="15.75" customHeight="1">
      <c r="A507" s="6"/>
      <c r="B507" s="6"/>
      <c r="C507" s="6"/>
      <c r="D507" s="6"/>
    </row>
    <row r="508" ht="15.75" customHeight="1">
      <c r="A508" s="6"/>
      <c r="B508" s="6"/>
      <c r="C508" s="6"/>
      <c r="D508" s="6"/>
    </row>
    <row r="509" ht="15.75" customHeight="1">
      <c r="A509" s="6"/>
      <c r="B509" s="6"/>
      <c r="C509" s="6"/>
      <c r="D509" s="6"/>
    </row>
    <row r="510" ht="15.75" customHeight="1">
      <c r="A510" s="6"/>
      <c r="B510" s="6"/>
      <c r="C510" s="6"/>
      <c r="D510" s="6"/>
    </row>
    <row r="511" ht="15.75" customHeight="1">
      <c r="A511" s="6"/>
      <c r="B511" s="6"/>
      <c r="C511" s="6"/>
      <c r="D511" s="6"/>
    </row>
    <row r="512" ht="15.75" customHeight="1">
      <c r="A512" s="6"/>
      <c r="B512" s="6"/>
      <c r="C512" s="6"/>
      <c r="D512" s="6"/>
    </row>
    <row r="513" ht="15.75" customHeight="1">
      <c r="A513" s="6"/>
      <c r="B513" s="6"/>
      <c r="C513" s="6"/>
      <c r="D513" s="6"/>
    </row>
    <row r="514" ht="15.75" customHeight="1">
      <c r="A514" s="6"/>
      <c r="B514" s="6"/>
      <c r="C514" s="6"/>
      <c r="D514" s="6"/>
    </row>
    <row r="515" ht="15.75" customHeight="1">
      <c r="A515" s="6"/>
      <c r="B515" s="6"/>
      <c r="C515" s="6"/>
      <c r="D515" s="6"/>
    </row>
    <row r="516" ht="15.75" customHeight="1">
      <c r="A516" s="6"/>
      <c r="B516" s="6"/>
      <c r="C516" s="6"/>
      <c r="D516" s="6"/>
    </row>
    <row r="517" ht="15.75" customHeight="1">
      <c r="A517" s="6"/>
      <c r="B517" s="6"/>
      <c r="C517" s="6"/>
      <c r="D517" s="6"/>
    </row>
    <row r="518" ht="15.75" customHeight="1">
      <c r="A518" s="6"/>
      <c r="B518" s="6"/>
      <c r="C518" s="6"/>
      <c r="D518" s="6"/>
    </row>
    <row r="519" ht="15.75" customHeight="1">
      <c r="A519" s="6"/>
      <c r="B519" s="6"/>
      <c r="C519" s="6"/>
      <c r="D519" s="6"/>
    </row>
    <row r="520" ht="15.75" customHeight="1">
      <c r="A520" s="6"/>
      <c r="B520" s="6"/>
      <c r="C520" s="6"/>
      <c r="D520" s="6"/>
    </row>
    <row r="521" ht="15.75" customHeight="1">
      <c r="A521" s="6"/>
      <c r="B521" s="6"/>
      <c r="C521" s="6"/>
      <c r="D521" s="6"/>
    </row>
    <row r="522" ht="15.75" customHeight="1">
      <c r="A522" s="6"/>
      <c r="B522" s="6"/>
      <c r="C522" s="6"/>
      <c r="D522" s="6"/>
    </row>
    <row r="523" ht="15.75" customHeight="1">
      <c r="A523" s="6"/>
      <c r="B523" s="6"/>
      <c r="C523" s="6"/>
      <c r="D523" s="6"/>
    </row>
    <row r="524" ht="15.75" customHeight="1">
      <c r="A524" s="6"/>
      <c r="B524" s="6"/>
      <c r="C524" s="6"/>
      <c r="D524" s="6"/>
    </row>
    <row r="525" ht="15.75" customHeight="1">
      <c r="A525" s="6"/>
      <c r="B525" s="6"/>
      <c r="C525" s="6"/>
      <c r="D525" s="6"/>
    </row>
    <row r="526" ht="15.75" customHeight="1">
      <c r="A526" s="6"/>
      <c r="B526" s="6"/>
      <c r="C526" s="6"/>
      <c r="D526" s="6"/>
    </row>
    <row r="527" ht="15.75" customHeight="1">
      <c r="A527" s="6"/>
      <c r="B527" s="6"/>
      <c r="C527" s="6"/>
      <c r="D527" s="6"/>
    </row>
    <row r="528" ht="15.75" customHeight="1">
      <c r="A528" s="6"/>
      <c r="B528" s="6"/>
      <c r="C528" s="6"/>
      <c r="D528" s="6"/>
    </row>
    <row r="529" ht="15.75" customHeight="1">
      <c r="A529" s="6"/>
      <c r="B529" s="6"/>
      <c r="C529" s="6"/>
      <c r="D529" s="6"/>
    </row>
    <row r="530" ht="15.75" customHeight="1">
      <c r="A530" s="6"/>
      <c r="B530" s="6"/>
      <c r="C530" s="6"/>
      <c r="D530" s="6"/>
    </row>
    <row r="531" ht="15.75" customHeight="1">
      <c r="A531" s="6"/>
      <c r="B531" s="6"/>
      <c r="C531" s="6"/>
      <c r="D531" s="6"/>
    </row>
    <row r="532" ht="15.75" customHeight="1">
      <c r="A532" s="6"/>
      <c r="B532" s="6"/>
      <c r="C532" s="6"/>
      <c r="D532" s="6"/>
    </row>
    <row r="533" ht="15.75" customHeight="1">
      <c r="A533" s="6"/>
      <c r="B533" s="6"/>
      <c r="C533" s="6"/>
      <c r="D533" s="6"/>
    </row>
    <row r="534" ht="15.75" customHeight="1">
      <c r="A534" s="6"/>
      <c r="B534" s="6"/>
      <c r="C534" s="6"/>
      <c r="D534" s="6"/>
    </row>
    <row r="535" ht="15.75" customHeight="1">
      <c r="A535" s="6"/>
      <c r="B535" s="6"/>
      <c r="C535" s="6"/>
      <c r="D535" s="6"/>
    </row>
    <row r="536" ht="15.75" customHeight="1">
      <c r="A536" s="6"/>
      <c r="B536" s="6"/>
      <c r="C536" s="6"/>
      <c r="D536" s="6"/>
    </row>
    <row r="537" ht="15.75" customHeight="1">
      <c r="A537" s="6"/>
      <c r="B537" s="6"/>
      <c r="C537" s="6"/>
      <c r="D537" s="6"/>
    </row>
    <row r="538" ht="15.75" customHeight="1">
      <c r="A538" s="6"/>
      <c r="B538" s="6"/>
      <c r="C538" s="6"/>
      <c r="D538" s="6"/>
    </row>
    <row r="539" ht="15.75" customHeight="1">
      <c r="A539" s="6"/>
      <c r="B539" s="6"/>
      <c r="C539" s="6"/>
      <c r="D539" s="6"/>
    </row>
    <row r="540" ht="15.75" customHeight="1">
      <c r="A540" s="6"/>
      <c r="B540" s="6"/>
      <c r="C540" s="6"/>
      <c r="D540" s="6"/>
    </row>
    <row r="541" ht="15.75" customHeight="1">
      <c r="A541" s="6"/>
      <c r="B541" s="6"/>
      <c r="C541" s="6"/>
      <c r="D541" s="6"/>
    </row>
    <row r="542" ht="15.75" customHeight="1">
      <c r="A542" s="6"/>
      <c r="B542" s="6"/>
      <c r="C542" s="6"/>
      <c r="D542" s="6"/>
    </row>
    <row r="543" ht="15.75" customHeight="1">
      <c r="A543" s="6"/>
      <c r="B543" s="6"/>
      <c r="C543" s="6"/>
      <c r="D543" s="6"/>
    </row>
    <row r="544" ht="15.75" customHeight="1">
      <c r="A544" s="6"/>
      <c r="B544" s="6"/>
      <c r="C544" s="6"/>
      <c r="D544" s="6"/>
    </row>
    <row r="545" ht="15.75" customHeight="1">
      <c r="A545" s="6"/>
      <c r="B545" s="6"/>
      <c r="C545" s="6"/>
      <c r="D545" s="6"/>
    </row>
    <row r="546" ht="15.75" customHeight="1">
      <c r="A546" s="6"/>
      <c r="B546" s="6"/>
      <c r="C546" s="6"/>
      <c r="D546" s="6"/>
    </row>
    <row r="547" ht="15.75" customHeight="1">
      <c r="A547" s="6"/>
      <c r="B547" s="6"/>
      <c r="C547" s="6"/>
      <c r="D547" s="6"/>
    </row>
    <row r="548" ht="15.75" customHeight="1">
      <c r="A548" s="6"/>
      <c r="B548" s="6"/>
      <c r="C548" s="6"/>
      <c r="D548" s="6"/>
    </row>
    <row r="549" ht="15.75" customHeight="1">
      <c r="A549" s="6"/>
      <c r="B549" s="6"/>
      <c r="C549" s="6"/>
      <c r="D549" s="6"/>
    </row>
    <row r="550" ht="15.75" customHeight="1">
      <c r="A550" s="6"/>
      <c r="B550" s="6"/>
      <c r="C550" s="6"/>
      <c r="D550" s="6"/>
    </row>
    <row r="551" ht="15.75" customHeight="1">
      <c r="A551" s="6"/>
      <c r="B551" s="6"/>
      <c r="C551" s="6"/>
      <c r="D551" s="6"/>
    </row>
    <row r="552" ht="15.75" customHeight="1">
      <c r="A552" s="6"/>
      <c r="B552" s="6"/>
      <c r="C552" s="6"/>
      <c r="D552" s="6"/>
    </row>
    <row r="553" ht="15.75" customHeight="1">
      <c r="A553" s="6"/>
      <c r="B553" s="6"/>
      <c r="C553" s="6"/>
      <c r="D553" s="6"/>
    </row>
    <row r="554" ht="15.75" customHeight="1">
      <c r="A554" s="6"/>
      <c r="B554" s="6"/>
      <c r="C554" s="6"/>
      <c r="D554" s="6"/>
    </row>
    <row r="555" ht="15.75" customHeight="1">
      <c r="A555" s="6"/>
      <c r="B555" s="6"/>
      <c r="C555" s="6"/>
      <c r="D555" s="6"/>
    </row>
    <row r="556" ht="15.75" customHeight="1">
      <c r="A556" s="6"/>
      <c r="B556" s="6"/>
      <c r="C556" s="6"/>
      <c r="D556" s="6"/>
    </row>
    <row r="557" ht="15.75" customHeight="1">
      <c r="A557" s="6"/>
      <c r="B557" s="6"/>
      <c r="C557" s="6"/>
      <c r="D557" s="6"/>
    </row>
    <row r="558" ht="15.75" customHeight="1">
      <c r="A558" s="6"/>
      <c r="B558" s="6"/>
      <c r="C558" s="6"/>
      <c r="D558" s="6"/>
    </row>
    <row r="559" ht="15.75" customHeight="1">
      <c r="A559" s="6"/>
      <c r="B559" s="6"/>
      <c r="C559" s="6"/>
      <c r="D559" s="6"/>
    </row>
    <row r="560" ht="15.75" customHeight="1">
      <c r="A560" s="6"/>
      <c r="B560" s="6"/>
      <c r="C560" s="6"/>
      <c r="D560" s="6"/>
    </row>
    <row r="561" ht="15.75" customHeight="1">
      <c r="A561" s="6"/>
      <c r="B561" s="6"/>
      <c r="C561" s="6"/>
      <c r="D561" s="6"/>
    </row>
    <row r="562" ht="15.75" customHeight="1">
      <c r="A562" s="6"/>
      <c r="B562" s="6"/>
      <c r="C562" s="6"/>
      <c r="D562" s="6"/>
    </row>
    <row r="563" ht="15.75" customHeight="1">
      <c r="A563" s="6"/>
      <c r="B563" s="6"/>
      <c r="C563" s="6"/>
      <c r="D563" s="6"/>
    </row>
    <row r="564" ht="15.75" customHeight="1">
      <c r="A564" s="6"/>
      <c r="B564" s="6"/>
      <c r="C564" s="6"/>
      <c r="D564" s="6"/>
    </row>
    <row r="565" ht="15.75" customHeight="1">
      <c r="A565" s="6"/>
      <c r="B565" s="6"/>
      <c r="C565" s="6"/>
      <c r="D565" s="6"/>
    </row>
    <row r="566" ht="15.75" customHeight="1">
      <c r="A566" s="6"/>
      <c r="B566" s="6"/>
      <c r="C566" s="6"/>
      <c r="D566" s="6"/>
    </row>
    <row r="567" ht="15.75" customHeight="1">
      <c r="A567" s="6"/>
      <c r="B567" s="6"/>
      <c r="C567" s="6"/>
      <c r="D567" s="6"/>
    </row>
    <row r="568" ht="15.75" customHeight="1">
      <c r="A568" s="6"/>
      <c r="B568" s="6"/>
      <c r="C568" s="6"/>
      <c r="D568" s="6"/>
    </row>
    <row r="569" ht="15.75" customHeight="1">
      <c r="A569" s="6"/>
      <c r="B569" s="6"/>
      <c r="C569" s="6"/>
      <c r="D569" s="6"/>
    </row>
    <row r="570" ht="15.75" customHeight="1">
      <c r="A570" s="6"/>
      <c r="B570" s="6"/>
      <c r="C570" s="6"/>
      <c r="D570" s="6"/>
    </row>
    <row r="571" ht="15.75" customHeight="1">
      <c r="A571" s="6"/>
      <c r="B571" s="6"/>
      <c r="C571" s="6"/>
      <c r="D571" s="6"/>
    </row>
    <row r="572" ht="15.75" customHeight="1">
      <c r="A572" s="6"/>
      <c r="B572" s="6"/>
      <c r="C572" s="6"/>
      <c r="D572" s="6"/>
    </row>
    <row r="573" ht="15.75" customHeight="1">
      <c r="A573" s="6"/>
      <c r="B573" s="6"/>
      <c r="C573" s="6"/>
      <c r="D573" s="6"/>
    </row>
    <row r="574" ht="15.75" customHeight="1">
      <c r="A574" s="6"/>
      <c r="B574" s="6"/>
      <c r="C574" s="6"/>
      <c r="D574" s="6"/>
    </row>
    <row r="575" ht="15.75" customHeight="1">
      <c r="A575" s="6"/>
      <c r="B575" s="6"/>
      <c r="C575" s="6"/>
      <c r="D575" s="6"/>
    </row>
    <row r="576" ht="15.75" customHeight="1">
      <c r="A576" s="6"/>
      <c r="B576" s="6"/>
      <c r="C576" s="6"/>
      <c r="D576" s="6"/>
    </row>
    <row r="577" ht="15.75" customHeight="1">
      <c r="A577" s="6"/>
      <c r="B577" s="6"/>
      <c r="C577" s="6"/>
      <c r="D577" s="6"/>
    </row>
    <row r="578" ht="15.75" customHeight="1">
      <c r="A578" s="6"/>
      <c r="B578" s="6"/>
      <c r="C578" s="6"/>
      <c r="D578" s="6"/>
    </row>
    <row r="579" ht="15.75" customHeight="1">
      <c r="A579" s="6"/>
      <c r="B579" s="6"/>
      <c r="C579" s="6"/>
      <c r="D579" s="6"/>
    </row>
    <row r="580" ht="15.75" customHeight="1">
      <c r="A580" s="6"/>
      <c r="B580" s="6"/>
      <c r="C580" s="6"/>
      <c r="D580" s="6"/>
    </row>
    <row r="581" ht="15.75" customHeight="1">
      <c r="A581" s="6"/>
      <c r="B581" s="6"/>
      <c r="C581" s="6"/>
      <c r="D581" s="6"/>
    </row>
    <row r="582" ht="15.75" customHeight="1">
      <c r="A582" s="6"/>
      <c r="B582" s="6"/>
      <c r="C582" s="6"/>
      <c r="D582" s="6"/>
    </row>
    <row r="583" ht="15.75" customHeight="1">
      <c r="A583" s="6"/>
      <c r="B583" s="6"/>
      <c r="C583" s="6"/>
      <c r="D583" s="6"/>
    </row>
    <row r="584" ht="15.75" customHeight="1">
      <c r="A584" s="6"/>
      <c r="B584" s="6"/>
      <c r="C584" s="6"/>
      <c r="D584" s="6"/>
    </row>
    <row r="585" ht="15.75" customHeight="1">
      <c r="A585" s="6"/>
      <c r="B585" s="6"/>
      <c r="C585" s="6"/>
      <c r="D585" s="6"/>
    </row>
    <row r="586" ht="15.75" customHeight="1">
      <c r="A586" s="6"/>
      <c r="B586" s="6"/>
      <c r="C586" s="6"/>
      <c r="D586" s="6"/>
    </row>
    <row r="587" ht="15.75" customHeight="1">
      <c r="A587" s="6"/>
      <c r="B587" s="6"/>
      <c r="C587" s="6"/>
      <c r="D587" s="6"/>
    </row>
    <row r="588" ht="15.75" customHeight="1">
      <c r="A588" s="6"/>
      <c r="B588" s="6"/>
      <c r="C588" s="6"/>
      <c r="D588" s="6"/>
    </row>
    <row r="589" ht="15.75" customHeight="1">
      <c r="A589" s="6"/>
      <c r="B589" s="6"/>
      <c r="C589" s="6"/>
      <c r="D589" s="6"/>
    </row>
    <row r="590" ht="15.75" customHeight="1">
      <c r="A590" s="6"/>
      <c r="B590" s="6"/>
      <c r="C590" s="6"/>
      <c r="D590" s="6"/>
    </row>
    <row r="591" ht="15.75" customHeight="1">
      <c r="A591" s="6"/>
      <c r="B591" s="6"/>
      <c r="C591" s="6"/>
      <c r="D591" s="6"/>
    </row>
    <row r="592" ht="15.75" customHeight="1">
      <c r="A592" s="6"/>
      <c r="B592" s="6"/>
      <c r="C592" s="6"/>
      <c r="D592" s="6"/>
    </row>
    <row r="593" ht="15.75" customHeight="1">
      <c r="A593" s="6"/>
      <c r="B593" s="6"/>
      <c r="C593" s="6"/>
      <c r="D593" s="6"/>
    </row>
    <row r="594" ht="15.75" customHeight="1">
      <c r="A594" s="6"/>
      <c r="B594" s="6"/>
      <c r="C594" s="6"/>
      <c r="D594" s="6"/>
    </row>
    <row r="595" ht="15.75" customHeight="1">
      <c r="A595" s="6"/>
      <c r="B595" s="6"/>
      <c r="C595" s="6"/>
      <c r="D595" s="6"/>
    </row>
    <row r="596" ht="15.75" customHeight="1">
      <c r="A596" s="6"/>
      <c r="B596" s="6"/>
      <c r="C596" s="6"/>
      <c r="D596" s="6"/>
    </row>
    <row r="597" ht="15.75" customHeight="1">
      <c r="A597" s="6"/>
      <c r="B597" s="6"/>
      <c r="C597" s="6"/>
      <c r="D597" s="6"/>
    </row>
    <row r="598" ht="15.75" customHeight="1">
      <c r="A598" s="6"/>
      <c r="B598" s="6"/>
      <c r="C598" s="6"/>
      <c r="D598" s="6"/>
    </row>
    <row r="599" ht="15.75" customHeight="1">
      <c r="A599" s="6"/>
      <c r="B599" s="6"/>
      <c r="C599" s="6"/>
      <c r="D599" s="6"/>
    </row>
    <row r="600" ht="15.75" customHeight="1">
      <c r="A600" s="6"/>
      <c r="B600" s="6"/>
      <c r="C600" s="6"/>
      <c r="D600" s="6"/>
    </row>
    <row r="601" ht="15.75" customHeight="1">
      <c r="A601" s="6"/>
      <c r="B601" s="6"/>
      <c r="C601" s="6"/>
      <c r="D601" s="6"/>
    </row>
    <row r="602" ht="15.75" customHeight="1">
      <c r="A602" s="6"/>
      <c r="B602" s="6"/>
      <c r="C602" s="6"/>
      <c r="D602" s="6"/>
    </row>
    <row r="603" ht="15.75" customHeight="1">
      <c r="A603" s="6"/>
      <c r="B603" s="6"/>
      <c r="C603" s="6"/>
      <c r="D603" s="6"/>
    </row>
    <row r="604" ht="15.75" customHeight="1">
      <c r="A604" s="6"/>
      <c r="B604" s="6"/>
      <c r="C604" s="6"/>
      <c r="D604" s="6"/>
    </row>
    <row r="605" ht="15.75" customHeight="1">
      <c r="A605" s="6"/>
      <c r="B605" s="6"/>
      <c r="C605" s="6"/>
      <c r="D605" s="6"/>
    </row>
    <row r="606" ht="15.75" customHeight="1">
      <c r="A606" s="6"/>
      <c r="B606" s="6"/>
      <c r="C606" s="6"/>
      <c r="D606" s="6"/>
    </row>
    <row r="607" ht="15.75" customHeight="1">
      <c r="A607" s="6"/>
      <c r="B607" s="6"/>
      <c r="C607" s="6"/>
      <c r="D607" s="6"/>
    </row>
    <row r="608" ht="15.75" customHeight="1">
      <c r="A608" s="6"/>
      <c r="B608" s="6"/>
      <c r="C608" s="6"/>
      <c r="D608" s="6"/>
    </row>
    <row r="609" ht="15.75" customHeight="1">
      <c r="A609" s="6"/>
      <c r="B609" s="6"/>
      <c r="C609" s="6"/>
      <c r="D609" s="6"/>
    </row>
    <row r="610" ht="15.75" customHeight="1">
      <c r="A610" s="6"/>
      <c r="B610" s="6"/>
      <c r="C610" s="6"/>
      <c r="D610" s="6"/>
    </row>
    <row r="611" ht="15.75" customHeight="1">
      <c r="A611" s="6"/>
      <c r="B611" s="6"/>
      <c r="C611" s="6"/>
      <c r="D611" s="6"/>
    </row>
    <row r="612" ht="15.75" customHeight="1">
      <c r="A612" s="6"/>
      <c r="B612" s="6"/>
      <c r="C612" s="6"/>
      <c r="D612" s="6"/>
    </row>
    <row r="613" ht="15.75" customHeight="1">
      <c r="A613" s="6"/>
      <c r="B613" s="6"/>
      <c r="C613" s="6"/>
      <c r="D613" s="6"/>
    </row>
    <row r="614" ht="15.75" customHeight="1">
      <c r="A614" s="6"/>
      <c r="B614" s="6"/>
      <c r="C614" s="6"/>
      <c r="D614" s="6"/>
    </row>
    <row r="615" ht="15.75" customHeight="1">
      <c r="A615" s="6"/>
      <c r="B615" s="6"/>
      <c r="C615" s="6"/>
      <c r="D615" s="6"/>
    </row>
    <row r="616" ht="15.75" customHeight="1">
      <c r="A616" s="6"/>
      <c r="B616" s="6"/>
      <c r="C616" s="6"/>
      <c r="D616" s="6"/>
    </row>
    <row r="617" ht="15.75" customHeight="1">
      <c r="A617" s="6"/>
      <c r="B617" s="6"/>
      <c r="C617" s="6"/>
      <c r="D617" s="6"/>
    </row>
    <row r="618" ht="15.75" customHeight="1">
      <c r="A618" s="6"/>
      <c r="B618" s="6"/>
      <c r="C618" s="6"/>
      <c r="D618" s="6"/>
    </row>
    <row r="619" ht="15.75" customHeight="1">
      <c r="A619" s="6"/>
      <c r="B619" s="6"/>
      <c r="C619" s="6"/>
      <c r="D619" s="6"/>
    </row>
    <row r="620" ht="15.75" customHeight="1">
      <c r="A620" s="6"/>
      <c r="B620" s="6"/>
      <c r="C620" s="6"/>
      <c r="D620" s="6"/>
    </row>
    <row r="621" ht="15.75" customHeight="1">
      <c r="A621" s="6"/>
      <c r="B621" s="6"/>
      <c r="C621" s="6"/>
      <c r="D621" s="6"/>
    </row>
    <row r="622" ht="15.75" customHeight="1">
      <c r="A622" s="6"/>
      <c r="B622" s="6"/>
      <c r="C622" s="6"/>
      <c r="D622" s="6"/>
    </row>
    <row r="623" ht="15.75" customHeight="1">
      <c r="A623" s="6"/>
      <c r="B623" s="6"/>
      <c r="C623" s="6"/>
      <c r="D623" s="6"/>
    </row>
    <row r="624" ht="15.75" customHeight="1">
      <c r="A624" s="6"/>
      <c r="B624" s="6"/>
      <c r="C624" s="6"/>
      <c r="D624" s="6"/>
    </row>
    <row r="625" ht="15.75" customHeight="1">
      <c r="A625" s="6"/>
      <c r="B625" s="6"/>
      <c r="C625" s="6"/>
      <c r="D625" s="6"/>
    </row>
    <row r="626" ht="15.75" customHeight="1">
      <c r="A626" s="6"/>
      <c r="B626" s="6"/>
      <c r="C626" s="6"/>
      <c r="D626" s="6"/>
    </row>
    <row r="627" ht="15.75" customHeight="1">
      <c r="A627" s="6"/>
      <c r="B627" s="6"/>
      <c r="C627" s="6"/>
      <c r="D627" s="6"/>
    </row>
    <row r="628" ht="15.75" customHeight="1">
      <c r="A628" s="6"/>
      <c r="B628" s="6"/>
      <c r="C628" s="6"/>
      <c r="D628" s="6"/>
    </row>
    <row r="629" ht="15.75" customHeight="1">
      <c r="A629" s="6"/>
      <c r="B629" s="6"/>
      <c r="C629" s="6"/>
      <c r="D629" s="6"/>
    </row>
    <row r="630" ht="15.75" customHeight="1">
      <c r="A630" s="6"/>
      <c r="B630" s="6"/>
      <c r="C630" s="6"/>
      <c r="D630" s="6"/>
    </row>
    <row r="631" ht="15.75" customHeight="1">
      <c r="A631" s="6"/>
      <c r="B631" s="6"/>
      <c r="C631" s="6"/>
      <c r="D631" s="6"/>
    </row>
    <row r="632" ht="15.75" customHeight="1">
      <c r="A632" s="6"/>
      <c r="B632" s="6"/>
      <c r="C632" s="6"/>
      <c r="D632" s="6"/>
    </row>
    <row r="633" ht="15.75" customHeight="1">
      <c r="A633" s="6"/>
      <c r="B633" s="6"/>
      <c r="C633" s="6"/>
      <c r="D633" s="6"/>
    </row>
    <row r="634" ht="15.75" customHeight="1">
      <c r="A634" s="6"/>
      <c r="B634" s="6"/>
      <c r="C634" s="6"/>
      <c r="D634" s="6"/>
    </row>
    <row r="635" ht="15.75" customHeight="1">
      <c r="A635" s="6"/>
      <c r="B635" s="6"/>
      <c r="C635" s="6"/>
      <c r="D635" s="6"/>
    </row>
    <row r="636" ht="15.75" customHeight="1">
      <c r="A636" s="6"/>
      <c r="B636" s="6"/>
      <c r="C636" s="6"/>
      <c r="D636" s="6"/>
    </row>
    <row r="637" ht="15.75" customHeight="1">
      <c r="A637" s="6"/>
      <c r="B637" s="6"/>
      <c r="C637" s="6"/>
      <c r="D637" s="6"/>
    </row>
    <row r="638" ht="15.75" customHeight="1">
      <c r="A638" s="6"/>
      <c r="B638" s="6"/>
      <c r="C638" s="6"/>
      <c r="D638" s="6"/>
    </row>
    <row r="639" ht="15.75" customHeight="1">
      <c r="A639" s="6"/>
      <c r="B639" s="6"/>
      <c r="C639" s="6"/>
      <c r="D639" s="6"/>
    </row>
    <row r="640" ht="15.75" customHeight="1">
      <c r="A640" s="6"/>
      <c r="B640" s="6"/>
      <c r="C640" s="6"/>
      <c r="D640" s="6"/>
    </row>
    <row r="641" ht="15.75" customHeight="1">
      <c r="A641" s="6"/>
      <c r="B641" s="6"/>
      <c r="C641" s="6"/>
      <c r="D641" s="6"/>
    </row>
    <row r="642" ht="15.75" customHeight="1">
      <c r="A642" s="6"/>
      <c r="B642" s="6"/>
      <c r="C642" s="6"/>
      <c r="D642" s="6"/>
    </row>
    <row r="643" ht="15.75" customHeight="1">
      <c r="A643" s="6"/>
      <c r="B643" s="6"/>
      <c r="C643" s="6"/>
      <c r="D643" s="6"/>
    </row>
    <row r="644" ht="15.75" customHeight="1">
      <c r="A644" s="6"/>
      <c r="B644" s="6"/>
      <c r="C644" s="6"/>
      <c r="D644" s="6"/>
    </row>
    <row r="645" ht="15.75" customHeight="1">
      <c r="A645" s="6"/>
      <c r="B645" s="6"/>
      <c r="C645" s="6"/>
      <c r="D645" s="6"/>
    </row>
    <row r="646" ht="15.75" customHeight="1">
      <c r="A646" s="6"/>
      <c r="B646" s="6"/>
      <c r="C646" s="6"/>
      <c r="D646" s="6"/>
    </row>
    <row r="647" ht="15.75" customHeight="1">
      <c r="A647" s="6"/>
      <c r="B647" s="6"/>
      <c r="C647" s="6"/>
      <c r="D647" s="6"/>
    </row>
    <row r="648" ht="15.75" customHeight="1">
      <c r="A648" s="6"/>
      <c r="B648" s="6"/>
      <c r="C648" s="6"/>
      <c r="D648" s="6"/>
    </row>
    <row r="649" ht="15.75" customHeight="1">
      <c r="A649" s="6"/>
      <c r="B649" s="6"/>
      <c r="C649" s="6"/>
      <c r="D649" s="6"/>
    </row>
    <row r="650" ht="15.75" customHeight="1">
      <c r="A650" s="6"/>
      <c r="B650" s="6"/>
      <c r="C650" s="6"/>
      <c r="D650" s="6"/>
    </row>
    <row r="651" ht="15.75" customHeight="1">
      <c r="A651" s="6"/>
      <c r="B651" s="6"/>
      <c r="C651" s="6"/>
      <c r="D651" s="6"/>
    </row>
    <row r="652" ht="15.75" customHeight="1">
      <c r="A652" s="6"/>
      <c r="B652" s="6"/>
      <c r="C652" s="6"/>
      <c r="D652" s="6"/>
    </row>
    <row r="653" ht="15.75" customHeight="1">
      <c r="A653" s="6"/>
      <c r="B653" s="6"/>
      <c r="C653" s="6"/>
      <c r="D653" s="6"/>
    </row>
    <row r="654" ht="15.75" customHeight="1">
      <c r="A654" s="6"/>
      <c r="B654" s="6"/>
      <c r="C654" s="6"/>
      <c r="D654" s="6"/>
    </row>
    <row r="655" ht="15.75" customHeight="1">
      <c r="A655" s="6"/>
      <c r="B655" s="6"/>
      <c r="C655" s="6"/>
      <c r="D655" s="6"/>
    </row>
    <row r="656" ht="15.75" customHeight="1">
      <c r="A656" s="6"/>
      <c r="B656" s="6"/>
      <c r="C656" s="6"/>
      <c r="D656" s="6"/>
    </row>
    <row r="657" ht="15.75" customHeight="1">
      <c r="A657" s="6"/>
      <c r="B657" s="6"/>
      <c r="C657" s="6"/>
      <c r="D657" s="6"/>
    </row>
    <row r="658" ht="15.75" customHeight="1">
      <c r="A658" s="6"/>
      <c r="B658" s="6"/>
      <c r="C658" s="6"/>
      <c r="D658" s="6"/>
    </row>
    <row r="659" ht="15.75" customHeight="1">
      <c r="A659" s="6"/>
      <c r="B659" s="6"/>
      <c r="C659" s="6"/>
      <c r="D659" s="6"/>
    </row>
    <row r="660" ht="15.75" customHeight="1">
      <c r="A660" s="6"/>
      <c r="B660" s="6"/>
      <c r="C660" s="6"/>
      <c r="D660" s="6"/>
    </row>
    <row r="661" ht="15.75" customHeight="1">
      <c r="A661" s="6"/>
      <c r="B661" s="6"/>
      <c r="C661" s="6"/>
      <c r="D661" s="6"/>
    </row>
    <row r="662" ht="15.75" customHeight="1">
      <c r="A662" s="6"/>
      <c r="B662" s="6"/>
      <c r="C662" s="6"/>
      <c r="D662" s="6"/>
    </row>
    <row r="663" ht="15.75" customHeight="1">
      <c r="A663" s="6"/>
      <c r="B663" s="6"/>
      <c r="C663" s="6"/>
      <c r="D663" s="6"/>
    </row>
    <row r="664" ht="15.75" customHeight="1">
      <c r="A664" s="6"/>
      <c r="B664" s="6"/>
      <c r="C664" s="6"/>
      <c r="D664" s="6"/>
    </row>
    <row r="665" ht="15.75" customHeight="1">
      <c r="A665" s="6"/>
      <c r="B665" s="6"/>
      <c r="C665" s="6"/>
      <c r="D665" s="6"/>
    </row>
    <row r="666" ht="15.75" customHeight="1">
      <c r="A666" s="6"/>
      <c r="B666" s="6"/>
      <c r="C666" s="6"/>
      <c r="D666" s="6"/>
    </row>
    <row r="667" ht="15.75" customHeight="1">
      <c r="A667" s="6"/>
      <c r="B667" s="6"/>
      <c r="C667" s="6"/>
      <c r="D667" s="6"/>
    </row>
    <row r="668" ht="15.75" customHeight="1">
      <c r="A668" s="6"/>
      <c r="B668" s="6"/>
      <c r="C668" s="6"/>
      <c r="D668" s="6"/>
    </row>
    <row r="669" ht="15.75" customHeight="1">
      <c r="A669" s="6"/>
      <c r="B669" s="6"/>
      <c r="C669" s="6"/>
      <c r="D669" s="6"/>
    </row>
    <row r="670" ht="15.75" customHeight="1">
      <c r="A670" s="6"/>
      <c r="B670" s="6"/>
      <c r="C670" s="6"/>
      <c r="D670" s="6"/>
    </row>
    <row r="671" ht="15.75" customHeight="1">
      <c r="A671" s="6"/>
      <c r="B671" s="6"/>
      <c r="C671" s="6"/>
      <c r="D671" s="6"/>
    </row>
    <row r="672" ht="15.75" customHeight="1">
      <c r="A672" s="6"/>
      <c r="B672" s="6"/>
      <c r="C672" s="6"/>
      <c r="D672" s="6"/>
    </row>
    <row r="673" ht="15.75" customHeight="1">
      <c r="A673" s="6"/>
      <c r="B673" s="6"/>
      <c r="C673" s="6"/>
      <c r="D673" s="6"/>
    </row>
    <row r="674" ht="15.75" customHeight="1">
      <c r="A674" s="6"/>
      <c r="B674" s="6"/>
      <c r="C674" s="6"/>
      <c r="D674" s="6"/>
    </row>
    <row r="675" ht="15.75" customHeight="1">
      <c r="A675" s="6"/>
      <c r="B675" s="6"/>
      <c r="C675" s="6"/>
      <c r="D675" s="6"/>
    </row>
    <row r="676" ht="15.75" customHeight="1">
      <c r="A676" s="6"/>
      <c r="B676" s="6"/>
      <c r="C676" s="6"/>
      <c r="D676" s="6"/>
    </row>
    <row r="677" ht="15.75" customHeight="1">
      <c r="A677" s="6"/>
      <c r="B677" s="6"/>
      <c r="C677" s="6"/>
      <c r="D677" s="6"/>
    </row>
    <row r="678" ht="15.75" customHeight="1">
      <c r="A678" s="6"/>
      <c r="B678" s="6"/>
      <c r="C678" s="6"/>
      <c r="D678" s="6"/>
    </row>
    <row r="679" ht="15.75" customHeight="1">
      <c r="A679" s="6"/>
      <c r="B679" s="6"/>
      <c r="C679" s="6"/>
      <c r="D679" s="6"/>
    </row>
    <row r="680" ht="15.75" customHeight="1">
      <c r="A680" s="6"/>
      <c r="B680" s="6"/>
      <c r="C680" s="6"/>
      <c r="D680" s="6"/>
    </row>
    <row r="681" ht="15.75" customHeight="1">
      <c r="A681" s="6"/>
      <c r="B681" s="6"/>
      <c r="C681" s="6"/>
      <c r="D681" s="6"/>
    </row>
    <row r="682" ht="15.75" customHeight="1">
      <c r="A682" s="6"/>
      <c r="B682" s="6"/>
      <c r="C682" s="6"/>
      <c r="D682" s="6"/>
    </row>
    <row r="683" ht="15.75" customHeight="1">
      <c r="A683" s="6"/>
      <c r="B683" s="6"/>
      <c r="C683" s="6"/>
      <c r="D683" s="6"/>
    </row>
    <row r="684" ht="15.75" customHeight="1">
      <c r="A684" s="6"/>
      <c r="B684" s="6"/>
      <c r="C684" s="6"/>
      <c r="D684" s="6"/>
    </row>
    <row r="685" ht="15.75" customHeight="1">
      <c r="A685" s="6"/>
      <c r="B685" s="6"/>
      <c r="C685" s="6"/>
      <c r="D685" s="6"/>
    </row>
    <row r="686" ht="15.75" customHeight="1">
      <c r="A686" s="6"/>
      <c r="B686" s="6"/>
      <c r="C686" s="6"/>
      <c r="D686" s="6"/>
    </row>
    <row r="687" ht="15.75" customHeight="1">
      <c r="A687" s="6"/>
      <c r="B687" s="6"/>
      <c r="C687" s="6"/>
      <c r="D687" s="6"/>
    </row>
    <row r="688" ht="15.75" customHeight="1">
      <c r="A688" s="6"/>
      <c r="B688" s="6"/>
      <c r="C688" s="6"/>
      <c r="D688" s="6"/>
    </row>
    <row r="689" ht="15.75" customHeight="1">
      <c r="A689" s="6"/>
      <c r="B689" s="6"/>
      <c r="C689" s="6"/>
      <c r="D689" s="6"/>
    </row>
    <row r="690" ht="15.75" customHeight="1">
      <c r="A690" s="6"/>
      <c r="B690" s="6"/>
      <c r="C690" s="6"/>
      <c r="D690" s="6"/>
    </row>
    <row r="691" ht="15.75" customHeight="1">
      <c r="A691" s="6"/>
      <c r="B691" s="6"/>
      <c r="C691" s="6"/>
      <c r="D691" s="6"/>
    </row>
    <row r="692" ht="15.75" customHeight="1">
      <c r="A692" s="6"/>
      <c r="B692" s="6"/>
      <c r="C692" s="6"/>
      <c r="D692" s="6"/>
    </row>
    <row r="693" ht="15.75" customHeight="1">
      <c r="A693" s="6"/>
      <c r="B693" s="6"/>
      <c r="C693" s="6"/>
      <c r="D693" s="6"/>
    </row>
    <row r="694" ht="15.75" customHeight="1">
      <c r="A694" s="6"/>
      <c r="B694" s="6"/>
      <c r="C694" s="6"/>
      <c r="D694" s="6"/>
    </row>
    <row r="695" ht="15.75" customHeight="1">
      <c r="A695" s="6"/>
      <c r="B695" s="6"/>
      <c r="C695" s="6"/>
      <c r="D695" s="6"/>
    </row>
    <row r="696" ht="15.75" customHeight="1">
      <c r="A696" s="6"/>
      <c r="B696" s="6"/>
      <c r="C696" s="6"/>
      <c r="D696" s="6"/>
    </row>
    <row r="697" ht="15.75" customHeight="1">
      <c r="A697" s="6"/>
      <c r="B697" s="6"/>
      <c r="C697" s="6"/>
      <c r="D697" s="6"/>
    </row>
    <row r="698" ht="15.75" customHeight="1">
      <c r="A698" s="6"/>
      <c r="B698" s="6"/>
      <c r="C698" s="6"/>
      <c r="D698" s="6"/>
    </row>
    <row r="699" ht="15.75" customHeight="1">
      <c r="A699" s="6"/>
      <c r="B699" s="6"/>
      <c r="C699" s="6"/>
      <c r="D699" s="6"/>
    </row>
    <row r="700" ht="15.75" customHeight="1">
      <c r="A700" s="6"/>
      <c r="B700" s="6"/>
      <c r="C700" s="6"/>
      <c r="D700" s="6"/>
    </row>
    <row r="701" ht="15.75" customHeight="1">
      <c r="A701" s="6"/>
      <c r="B701" s="6"/>
      <c r="C701" s="6"/>
      <c r="D701" s="6"/>
    </row>
    <row r="702" ht="15.75" customHeight="1">
      <c r="A702" s="6"/>
      <c r="B702" s="6"/>
      <c r="C702" s="6"/>
      <c r="D702" s="6"/>
    </row>
    <row r="703" ht="15.75" customHeight="1">
      <c r="A703" s="6"/>
      <c r="B703" s="6"/>
      <c r="C703" s="6"/>
      <c r="D703" s="6"/>
    </row>
    <row r="704" ht="15.75" customHeight="1">
      <c r="A704" s="6"/>
      <c r="B704" s="6"/>
      <c r="C704" s="6"/>
      <c r="D704" s="6"/>
    </row>
    <row r="705" ht="15.75" customHeight="1">
      <c r="A705" s="6"/>
      <c r="B705" s="6"/>
      <c r="C705" s="6"/>
      <c r="D705" s="6"/>
    </row>
    <row r="706" ht="15.75" customHeight="1">
      <c r="A706" s="6"/>
      <c r="B706" s="6"/>
      <c r="C706" s="6"/>
      <c r="D706" s="6"/>
    </row>
    <row r="707" ht="15.75" customHeight="1">
      <c r="A707" s="6"/>
      <c r="B707" s="6"/>
      <c r="C707" s="6"/>
      <c r="D707" s="6"/>
    </row>
    <row r="708" ht="15.75" customHeight="1">
      <c r="A708" s="6"/>
      <c r="B708" s="6"/>
      <c r="C708" s="6"/>
      <c r="D708" s="6"/>
    </row>
    <row r="709" ht="15.75" customHeight="1">
      <c r="A709" s="6"/>
      <c r="B709" s="6"/>
      <c r="C709" s="6"/>
      <c r="D709" s="6"/>
    </row>
    <row r="710" ht="15.75" customHeight="1">
      <c r="A710" s="6"/>
      <c r="B710" s="6"/>
      <c r="C710" s="6"/>
      <c r="D710" s="6"/>
    </row>
    <row r="711" ht="15.75" customHeight="1">
      <c r="A711" s="6"/>
      <c r="B711" s="6"/>
      <c r="C711" s="6"/>
      <c r="D711" s="6"/>
    </row>
    <row r="712" ht="15.75" customHeight="1">
      <c r="A712" s="6"/>
      <c r="B712" s="6"/>
      <c r="C712" s="6"/>
      <c r="D712" s="6"/>
    </row>
    <row r="713" ht="15.75" customHeight="1">
      <c r="A713" s="6"/>
      <c r="B713" s="6"/>
      <c r="C713" s="6"/>
      <c r="D713" s="6"/>
    </row>
    <row r="714" ht="15.75" customHeight="1">
      <c r="A714" s="6"/>
      <c r="B714" s="6"/>
      <c r="C714" s="6"/>
      <c r="D714" s="6"/>
    </row>
    <row r="715" ht="15.75" customHeight="1">
      <c r="A715" s="6"/>
      <c r="B715" s="6"/>
      <c r="C715" s="6"/>
      <c r="D715" s="6"/>
    </row>
    <row r="716" ht="15.75" customHeight="1">
      <c r="A716" s="6"/>
      <c r="B716" s="6"/>
      <c r="C716" s="6"/>
      <c r="D716" s="6"/>
    </row>
    <row r="717" ht="15.75" customHeight="1">
      <c r="A717" s="6"/>
      <c r="B717" s="6"/>
      <c r="C717" s="6"/>
      <c r="D717" s="6"/>
    </row>
    <row r="718" ht="15.75" customHeight="1">
      <c r="A718" s="6"/>
      <c r="B718" s="6"/>
      <c r="C718" s="6"/>
      <c r="D718" s="6"/>
    </row>
    <row r="719" ht="15.75" customHeight="1">
      <c r="A719" s="6"/>
      <c r="B719" s="6"/>
      <c r="C719" s="6"/>
      <c r="D719" s="6"/>
    </row>
    <row r="720" ht="15.75" customHeight="1">
      <c r="A720" s="6"/>
      <c r="B720" s="6"/>
      <c r="C720" s="6"/>
      <c r="D720" s="6"/>
    </row>
    <row r="721" ht="15.75" customHeight="1">
      <c r="A721" s="6"/>
      <c r="B721" s="6"/>
      <c r="C721" s="6"/>
      <c r="D721" s="6"/>
    </row>
    <row r="722" ht="15.75" customHeight="1">
      <c r="A722" s="6"/>
      <c r="B722" s="6"/>
      <c r="C722" s="6"/>
      <c r="D722" s="6"/>
    </row>
    <row r="723" ht="15.75" customHeight="1">
      <c r="A723" s="6"/>
      <c r="B723" s="6"/>
      <c r="C723" s="6"/>
      <c r="D723" s="6"/>
    </row>
    <row r="724" ht="15.75" customHeight="1">
      <c r="A724" s="6"/>
      <c r="B724" s="6"/>
      <c r="C724" s="6"/>
      <c r="D724" s="6"/>
    </row>
    <row r="725" ht="15.75" customHeight="1">
      <c r="A725" s="6"/>
      <c r="B725" s="6"/>
      <c r="C725" s="6"/>
      <c r="D725" s="6"/>
    </row>
    <row r="726" ht="15.75" customHeight="1">
      <c r="A726" s="6"/>
      <c r="B726" s="6"/>
      <c r="C726" s="6"/>
      <c r="D726" s="6"/>
    </row>
    <row r="727" ht="15.75" customHeight="1">
      <c r="A727" s="6"/>
      <c r="B727" s="6"/>
      <c r="C727" s="6"/>
      <c r="D727" s="6"/>
    </row>
    <row r="728" ht="15.75" customHeight="1">
      <c r="A728" s="6"/>
      <c r="B728" s="6"/>
      <c r="C728" s="6"/>
      <c r="D728" s="6"/>
    </row>
    <row r="729" ht="15.75" customHeight="1">
      <c r="A729" s="6"/>
      <c r="B729" s="6"/>
      <c r="C729" s="6"/>
      <c r="D729" s="6"/>
    </row>
    <row r="730" ht="15.75" customHeight="1">
      <c r="A730" s="6"/>
      <c r="B730" s="6"/>
      <c r="C730" s="6"/>
      <c r="D730" s="6"/>
    </row>
    <row r="731" ht="15.75" customHeight="1">
      <c r="A731" s="6"/>
      <c r="B731" s="6"/>
      <c r="C731" s="6"/>
      <c r="D731" s="6"/>
    </row>
    <row r="732" ht="15.75" customHeight="1">
      <c r="A732" s="6"/>
      <c r="B732" s="6"/>
      <c r="C732" s="6"/>
      <c r="D732" s="6"/>
    </row>
    <row r="733" ht="15.75" customHeight="1">
      <c r="A733" s="6"/>
      <c r="B733" s="6"/>
      <c r="C733" s="6"/>
      <c r="D733" s="6"/>
    </row>
    <row r="734" ht="15.75" customHeight="1">
      <c r="A734" s="6"/>
      <c r="B734" s="6"/>
      <c r="C734" s="6"/>
      <c r="D734" s="6"/>
    </row>
    <row r="735" ht="15.75" customHeight="1">
      <c r="A735" s="6"/>
      <c r="B735" s="6"/>
      <c r="C735" s="6"/>
      <c r="D735" s="6"/>
    </row>
    <row r="736" ht="15.75" customHeight="1">
      <c r="A736" s="6"/>
      <c r="B736" s="6"/>
      <c r="C736" s="6"/>
      <c r="D736" s="6"/>
    </row>
    <row r="737" ht="15.75" customHeight="1">
      <c r="A737" s="6"/>
      <c r="B737" s="6"/>
      <c r="C737" s="6"/>
      <c r="D737" s="6"/>
    </row>
    <row r="738" ht="15.75" customHeight="1">
      <c r="A738" s="6"/>
      <c r="B738" s="6"/>
      <c r="C738" s="6"/>
      <c r="D738" s="6"/>
    </row>
    <row r="739" ht="15.75" customHeight="1">
      <c r="A739" s="6"/>
      <c r="B739" s="6"/>
      <c r="C739" s="6"/>
      <c r="D739" s="6"/>
    </row>
    <row r="740" ht="15.75" customHeight="1">
      <c r="A740" s="6"/>
      <c r="B740" s="6"/>
      <c r="C740" s="6"/>
      <c r="D740" s="6"/>
    </row>
    <row r="741" ht="15.75" customHeight="1">
      <c r="A741" s="6"/>
      <c r="B741" s="6"/>
      <c r="C741" s="6"/>
      <c r="D741" s="6"/>
    </row>
    <row r="742" ht="15.75" customHeight="1">
      <c r="A742" s="6"/>
      <c r="B742" s="6"/>
      <c r="C742" s="6"/>
      <c r="D742" s="6"/>
    </row>
    <row r="743" ht="15.75" customHeight="1">
      <c r="A743" s="6"/>
      <c r="B743" s="6"/>
      <c r="C743" s="6"/>
      <c r="D743" s="6"/>
    </row>
    <row r="744" ht="15.75" customHeight="1">
      <c r="A744" s="6"/>
      <c r="B744" s="6"/>
      <c r="C744" s="6"/>
      <c r="D744" s="6"/>
    </row>
    <row r="745" ht="15.75" customHeight="1">
      <c r="A745" s="6"/>
      <c r="B745" s="6"/>
      <c r="C745" s="6"/>
      <c r="D745" s="6"/>
    </row>
    <row r="746" ht="15.75" customHeight="1">
      <c r="A746" s="6"/>
      <c r="B746" s="6"/>
      <c r="C746" s="6"/>
      <c r="D746" s="6"/>
    </row>
    <row r="747" ht="15.75" customHeight="1">
      <c r="A747" s="6"/>
      <c r="B747" s="6"/>
      <c r="C747" s="6"/>
      <c r="D747" s="6"/>
    </row>
    <row r="748" ht="15.75" customHeight="1">
      <c r="A748" s="6"/>
      <c r="B748" s="6"/>
      <c r="C748" s="6"/>
      <c r="D748" s="6"/>
    </row>
    <row r="749" ht="15.75" customHeight="1">
      <c r="A749" s="6"/>
      <c r="B749" s="6"/>
      <c r="C749" s="6"/>
      <c r="D749" s="6"/>
    </row>
    <row r="750" ht="15.75" customHeight="1">
      <c r="A750" s="6"/>
      <c r="B750" s="6"/>
      <c r="C750" s="6"/>
      <c r="D750" s="6"/>
    </row>
    <row r="751" ht="15.75" customHeight="1">
      <c r="A751" s="6"/>
      <c r="B751" s="6"/>
      <c r="C751" s="6"/>
      <c r="D751" s="6"/>
    </row>
    <row r="752" ht="15.75" customHeight="1">
      <c r="A752" s="6"/>
      <c r="B752" s="6"/>
      <c r="C752" s="6"/>
      <c r="D752" s="6"/>
    </row>
    <row r="753" ht="15.75" customHeight="1">
      <c r="A753" s="6"/>
      <c r="B753" s="6"/>
      <c r="C753" s="6"/>
      <c r="D753" s="6"/>
    </row>
    <row r="754" ht="15.75" customHeight="1">
      <c r="A754" s="6"/>
      <c r="B754" s="6"/>
      <c r="C754" s="6"/>
      <c r="D754" s="6"/>
    </row>
    <row r="755" ht="15.75" customHeight="1">
      <c r="A755" s="6"/>
      <c r="B755" s="6"/>
      <c r="C755" s="6"/>
      <c r="D755" s="6"/>
    </row>
    <row r="756" ht="15.75" customHeight="1">
      <c r="A756" s="6"/>
      <c r="B756" s="6"/>
      <c r="C756" s="6"/>
      <c r="D756" s="6"/>
    </row>
    <row r="757" ht="15.75" customHeight="1">
      <c r="A757" s="6"/>
      <c r="B757" s="6"/>
      <c r="C757" s="6"/>
      <c r="D757" s="6"/>
    </row>
    <row r="758" ht="15.75" customHeight="1">
      <c r="A758" s="6"/>
      <c r="B758" s="6"/>
      <c r="C758" s="6"/>
      <c r="D758" s="6"/>
    </row>
    <row r="759" ht="15.75" customHeight="1">
      <c r="A759" s="6"/>
      <c r="B759" s="6"/>
      <c r="C759" s="6"/>
      <c r="D759" s="6"/>
    </row>
    <row r="760" ht="15.75" customHeight="1">
      <c r="A760" s="6"/>
      <c r="B760" s="6"/>
      <c r="C760" s="6"/>
      <c r="D760" s="6"/>
    </row>
    <row r="761" ht="15.75" customHeight="1">
      <c r="A761" s="6"/>
      <c r="B761" s="6"/>
      <c r="C761" s="6"/>
      <c r="D761" s="6"/>
    </row>
    <row r="762" ht="15.75" customHeight="1">
      <c r="A762" s="6"/>
      <c r="B762" s="6"/>
      <c r="C762" s="6"/>
      <c r="D762" s="6"/>
    </row>
    <row r="763" ht="15.75" customHeight="1">
      <c r="A763" s="6"/>
      <c r="B763" s="6"/>
      <c r="C763" s="6"/>
      <c r="D763" s="6"/>
    </row>
    <row r="764" ht="15.75" customHeight="1">
      <c r="A764" s="6"/>
      <c r="B764" s="6"/>
      <c r="C764" s="6"/>
      <c r="D764" s="6"/>
    </row>
    <row r="765" ht="15.75" customHeight="1">
      <c r="A765" s="6"/>
      <c r="B765" s="6"/>
      <c r="C765" s="6"/>
      <c r="D765" s="6"/>
    </row>
    <row r="766" ht="15.75" customHeight="1">
      <c r="A766" s="6"/>
      <c r="B766" s="6"/>
      <c r="C766" s="6"/>
      <c r="D766" s="6"/>
    </row>
    <row r="767" ht="15.75" customHeight="1">
      <c r="A767" s="6"/>
      <c r="B767" s="6"/>
      <c r="C767" s="6"/>
      <c r="D767" s="6"/>
    </row>
    <row r="768" ht="15.75" customHeight="1">
      <c r="A768" s="6"/>
      <c r="B768" s="6"/>
      <c r="C768" s="6"/>
      <c r="D768" s="6"/>
    </row>
    <row r="769" ht="15.75" customHeight="1">
      <c r="A769" s="6"/>
      <c r="B769" s="6"/>
      <c r="C769" s="6"/>
      <c r="D769" s="6"/>
    </row>
    <row r="770" ht="15.75" customHeight="1">
      <c r="A770" s="6"/>
      <c r="B770" s="6"/>
      <c r="C770" s="6"/>
      <c r="D770" s="6"/>
    </row>
    <row r="771" ht="15.75" customHeight="1">
      <c r="A771" s="6"/>
      <c r="B771" s="6"/>
      <c r="C771" s="6"/>
      <c r="D771" s="6"/>
    </row>
    <row r="772" ht="15.75" customHeight="1">
      <c r="A772" s="6"/>
      <c r="B772" s="6"/>
      <c r="C772" s="6"/>
      <c r="D772" s="6"/>
    </row>
    <row r="773" ht="15.75" customHeight="1">
      <c r="A773" s="6"/>
      <c r="B773" s="6"/>
      <c r="C773" s="6"/>
      <c r="D773" s="6"/>
    </row>
    <row r="774" ht="15.75" customHeight="1">
      <c r="A774" s="6"/>
      <c r="B774" s="6"/>
      <c r="C774" s="6"/>
      <c r="D774" s="6"/>
    </row>
    <row r="775" ht="15.75" customHeight="1">
      <c r="A775" s="6"/>
      <c r="B775" s="6"/>
      <c r="C775" s="6"/>
      <c r="D775" s="6"/>
    </row>
    <row r="776" ht="15.75" customHeight="1">
      <c r="A776" s="6"/>
      <c r="B776" s="6"/>
      <c r="C776" s="6"/>
      <c r="D776" s="6"/>
    </row>
    <row r="777" ht="15.75" customHeight="1">
      <c r="A777" s="6"/>
      <c r="B777" s="6"/>
      <c r="C777" s="6"/>
      <c r="D777" s="6"/>
    </row>
    <row r="778" ht="15.75" customHeight="1">
      <c r="A778" s="6"/>
      <c r="B778" s="6"/>
      <c r="C778" s="6"/>
      <c r="D778" s="6"/>
    </row>
    <row r="779" ht="15.75" customHeight="1">
      <c r="A779" s="6"/>
      <c r="B779" s="6"/>
      <c r="C779" s="6"/>
      <c r="D779" s="6"/>
    </row>
    <row r="780" ht="15.75" customHeight="1">
      <c r="A780" s="6"/>
      <c r="B780" s="6"/>
      <c r="C780" s="6"/>
      <c r="D780" s="6"/>
    </row>
    <row r="781" ht="15.75" customHeight="1">
      <c r="A781" s="6"/>
      <c r="B781" s="6"/>
      <c r="C781" s="6"/>
      <c r="D781" s="6"/>
    </row>
    <row r="782" ht="15.75" customHeight="1">
      <c r="A782" s="6"/>
      <c r="B782" s="6"/>
      <c r="C782" s="6"/>
      <c r="D782" s="6"/>
    </row>
    <row r="783" ht="15.75" customHeight="1">
      <c r="A783" s="6"/>
      <c r="B783" s="6"/>
      <c r="C783" s="6"/>
      <c r="D783" s="6"/>
    </row>
    <row r="784" ht="15.75" customHeight="1">
      <c r="A784" s="6"/>
      <c r="B784" s="6"/>
      <c r="C784" s="6"/>
      <c r="D784" s="6"/>
    </row>
    <row r="785" ht="15.75" customHeight="1">
      <c r="A785" s="6"/>
      <c r="B785" s="6"/>
      <c r="C785" s="6"/>
      <c r="D785" s="6"/>
    </row>
    <row r="786" ht="15.75" customHeight="1">
      <c r="A786" s="6"/>
      <c r="B786" s="6"/>
      <c r="C786" s="6"/>
      <c r="D786" s="6"/>
    </row>
    <row r="787" ht="15.75" customHeight="1">
      <c r="A787" s="6"/>
      <c r="B787" s="6"/>
      <c r="C787" s="6"/>
      <c r="D787" s="6"/>
    </row>
    <row r="788" ht="15.75" customHeight="1">
      <c r="A788" s="6"/>
      <c r="B788" s="6"/>
      <c r="C788" s="6"/>
      <c r="D788" s="6"/>
    </row>
    <row r="789" ht="15.75" customHeight="1">
      <c r="A789" s="6"/>
      <c r="B789" s="6"/>
      <c r="C789" s="6"/>
      <c r="D789" s="6"/>
    </row>
    <row r="790" ht="15.75" customHeight="1">
      <c r="A790" s="6"/>
      <c r="B790" s="6"/>
      <c r="C790" s="6"/>
      <c r="D790" s="6"/>
    </row>
    <row r="791" ht="15.75" customHeight="1">
      <c r="A791" s="6"/>
      <c r="B791" s="6"/>
      <c r="C791" s="6"/>
      <c r="D791" s="6"/>
    </row>
    <row r="792" ht="15.75" customHeight="1">
      <c r="A792" s="6"/>
      <c r="B792" s="6"/>
      <c r="C792" s="6"/>
      <c r="D792" s="6"/>
    </row>
    <row r="793" ht="15.75" customHeight="1">
      <c r="A793" s="6"/>
      <c r="B793" s="6"/>
      <c r="C793" s="6"/>
      <c r="D793" s="6"/>
    </row>
    <row r="794" ht="15.75" customHeight="1">
      <c r="A794" s="6"/>
      <c r="B794" s="6"/>
      <c r="C794" s="6"/>
      <c r="D794" s="6"/>
    </row>
    <row r="795" ht="15.75" customHeight="1">
      <c r="A795" s="6"/>
      <c r="B795" s="6"/>
      <c r="C795" s="6"/>
      <c r="D795" s="6"/>
    </row>
    <row r="796" ht="15.75" customHeight="1">
      <c r="A796" s="6"/>
      <c r="B796" s="6"/>
      <c r="C796" s="6"/>
      <c r="D796" s="6"/>
    </row>
    <row r="797" ht="15.75" customHeight="1">
      <c r="A797" s="6"/>
      <c r="B797" s="6"/>
      <c r="C797" s="6"/>
      <c r="D797" s="6"/>
    </row>
    <row r="798" ht="15.75" customHeight="1">
      <c r="A798" s="6"/>
      <c r="B798" s="6"/>
      <c r="C798" s="6"/>
      <c r="D798" s="6"/>
    </row>
    <row r="799" ht="15.75" customHeight="1">
      <c r="A799" s="6"/>
      <c r="B799" s="6"/>
      <c r="C799" s="6"/>
      <c r="D799" s="6"/>
    </row>
    <row r="800" ht="15.75" customHeight="1">
      <c r="A800" s="6"/>
      <c r="B800" s="6"/>
      <c r="C800" s="6"/>
      <c r="D800" s="6"/>
    </row>
    <row r="801" ht="15.75" customHeight="1">
      <c r="A801" s="6"/>
      <c r="B801" s="6"/>
      <c r="C801" s="6"/>
      <c r="D801" s="6"/>
    </row>
    <row r="802" ht="15.75" customHeight="1">
      <c r="A802" s="6"/>
      <c r="B802" s="6"/>
      <c r="C802" s="6"/>
      <c r="D802" s="6"/>
    </row>
    <row r="803" ht="15.75" customHeight="1">
      <c r="A803" s="6"/>
      <c r="B803" s="6"/>
      <c r="C803" s="6"/>
      <c r="D803" s="6"/>
    </row>
    <row r="804" ht="15.75" customHeight="1">
      <c r="A804" s="6"/>
      <c r="B804" s="6"/>
      <c r="C804" s="6"/>
      <c r="D804" s="6"/>
    </row>
    <row r="805" ht="15.75" customHeight="1">
      <c r="A805" s="6"/>
      <c r="B805" s="6"/>
      <c r="C805" s="6"/>
      <c r="D805" s="6"/>
    </row>
    <row r="806" ht="15.75" customHeight="1">
      <c r="A806" s="6"/>
      <c r="B806" s="6"/>
      <c r="C806" s="6"/>
      <c r="D806" s="6"/>
    </row>
    <row r="807" ht="15.75" customHeight="1">
      <c r="A807" s="6"/>
      <c r="B807" s="6"/>
      <c r="C807" s="6"/>
      <c r="D807" s="6"/>
    </row>
    <row r="808" ht="15.75" customHeight="1">
      <c r="A808" s="6"/>
      <c r="B808" s="6"/>
      <c r="C808" s="6"/>
      <c r="D808" s="6"/>
    </row>
    <row r="809" ht="15.75" customHeight="1">
      <c r="A809" s="6"/>
      <c r="B809" s="6"/>
      <c r="C809" s="6"/>
      <c r="D809" s="6"/>
    </row>
    <row r="810" ht="15.75" customHeight="1">
      <c r="A810" s="6"/>
      <c r="B810" s="6"/>
      <c r="C810" s="6"/>
      <c r="D810" s="6"/>
    </row>
    <row r="811" ht="15.75" customHeight="1">
      <c r="A811" s="6"/>
      <c r="B811" s="6"/>
      <c r="C811" s="6"/>
      <c r="D811" s="6"/>
    </row>
    <row r="812" ht="15.75" customHeight="1">
      <c r="A812" s="6"/>
      <c r="B812" s="6"/>
      <c r="C812" s="6"/>
      <c r="D812" s="6"/>
    </row>
    <row r="813" ht="15.75" customHeight="1">
      <c r="A813" s="6"/>
      <c r="B813" s="6"/>
      <c r="C813" s="6"/>
      <c r="D813" s="6"/>
    </row>
    <row r="814" ht="15.75" customHeight="1">
      <c r="A814" s="6"/>
      <c r="B814" s="6"/>
      <c r="C814" s="6"/>
      <c r="D814" s="6"/>
    </row>
    <row r="815" ht="15.75" customHeight="1">
      <c r="A815" s="6"/>
      <c r="B815" s="6"/>
      <c r="C815" s="6"/>
      <c r="D815" s="6"/>
    </row>
    <row r="816" ht="15.75" customHeight="1">
      <c r="A816" s="6"/>
      <c r="B816" s="6"/>
      <c r="C816" s="6"/>
      <c r="D816" s="6"/>
    </row>
    <row r="817" ht="15.75" customHeight="1">
      <c r="A817" s="6"/>
      <c r="B817" s="6"/>
      <c r="C817" s="6"/>
      <c r="D817" s="6"/>
    </row>
    <row r="818" ht="15.75" customHeight="1">
      <c r="A818" s="6"/>
      <c r="B818" s="6"/>
      <c r="C818" s="6"/>
      <c r="D818" s="6"/>
    </row>
    <row r="819" ht="15.75" customHeight="1">
      <c r="A819" s="6"/>
      <c r="B819" s="6"/>
      <c r="C819" s="6"/>
      <c r="D819" s="6"/>
    </row>
    <row r="820" ht="15.75" customHeight="1">
      <c r="A820" s="6"/>
      <c r="B820" s="6"/>
      <c r="C820" s="6"/>
      <c r="D820" s="6"/>
    </row>
    <row r="821" ht="15.75" customHeight="1">
      <c r="A821" s="6"/>
      <c r="B821" s="6"/>
      <c r="C821" s="6"/>
      <c r="D821" s="6"/>
    </row>
    <row r="822" ht="15.75" customHeight="1">
      <c r="A822" s="6"/>
      <c r="B822" s="6"/>
      <c r="C822" s="6"/>
      <c r="D822" s="6"/>
    </row>
    <row r="823" ht="15.75" customHeight="1">
      <c r="A823" s="6"/>
      <c r="B823" s="6"/>
      <c r="C823" s="6"/>
      <c r="D823" s="6"/>
    </row>
    <row r="824" ht="15.75" customHeight="1">
      <c r="A824" s="6"/>
      <c r="B824" s="6"/>
      <c r="C824" s="6"/>
      <c r="D824" s="6"/>
    </row>
    <row r="825" ht="15.75" customHeight="1">
      <c r="A825" s="6"/>
      <c r="B825" s="6"/>
      <c r="C825" s="6"/>
      <c r="D825" s="6"/>
    </row>
    <row r="826" ht="15.75" customHeight="1">
      <c r="A826" s="6"/>
      <c r="B826" s="6"/>
      <c r="C826" s="6"/>
      <c r="D826" s="6"/>
    </row>
    <row r="827" ht="15.75" customHeight="1">
      <c r="A827" s="6"/>
      <c r="B827" s="6"/>
      <c r="C827" s="6"/>
      <c r="D827" s="6"/>
    </row>
    <row r="828" ht="15.75" customHeight="1">
      <c r="A828" s="6"/>
      <c r="B828" s="6"/>
      <c r="C828" s="6"/>
      <c r="D828" s="6"/>
    </row>
    <row r="829" ht="15.75" customHeight="1">
      <c r="A829" s="6"/>
      <c r="B829" s="6"/>
      <c r="C829" s="6"/>
      <c r="D829" s="6"/>
    </row>
    <row r="830" ht="15.75" customHeight="1">
      <c r="A830" s="6"/>
      <c r="B830" s="6"/>
      <c r="C830" s="6"/>
      <c r="D830" s="6"/>
    </row>
    <row r="831" ht="15.75" customHeight="1">
      <c r="A831" s="6"/>
      <c r="B831" s="6"/>
      <c r="C831" s="6"/>
      <c r="D831" s="6"/>
    </row>
    <row r="832" ht="15.75" customHeight="1">
      <c r="A832" s="6"/>
      <c r="B832" s="6"/>
      <c r="C832" s="6"/>
      <c r="D832" s="6"/>
    </row>
    <row r="833" ht="15.75" customHeight="1">
      <c r="A833" s="6"/>
      <c r="B833" s="6"/>
      <c r="C833" s="6"/>
      <c r="D833" s="6"/>
    </row>
    <row r="834" ht="15.75" customHeight="1">
      <c r="A834" s="6"/>
      <c r="B834" s="6"/>
      <c r="C834" s="6"/>
      <c r="D834" s="6"/>
    </row>
    <row r="835" ht="15.75" customHeight="1">
      <c r="A835" s="6"/>
      <c r="B835" s="6"/>
      <c r="C835" s="6"/>
      <c r="D835" s="6"/>
    </row>
    <row r="836" ht="15.75" customHeight="1">
      <c r="A836" s="6"/>
      <c r="B836" s="6"/>
      <c r="C836" s="6"/>
      <c r="D836" s="6"/>
    </row>
    <row r="837" ht="15.75" customHeight="1">
      <c r="A837" s="6"/>
      <c r="B837" s="6"/>
      <c r="C837" s="6"/>
      <c r="D837" s="6"/>
    </row>
    <row r="838" ht="15.75" customHeight="1">
      <c r="A838" s="6"/>
      <c r="B838" s="6"/>
      <c r="C838" s="6"/>
      <c r="D838" s="6"/>
    </row>
    <row r="839" ht="15.75" customHeight="1">
      <c r="A839" s="6"/>
      <c r="B839" s="6"/>
      <c r="C839" s="6"/>
      <c r="D839" s="6"/>
    </row>
    <row r="840" ht="15.75" customHeight="1">
      <c r="A840" s="6"/>
      <c r="B840" s="6"/>
      <c r="C840" s="6"/>
      <c r="D840" s="6"/>
    </row>
    <row r="841" ht="15.75" customHeight="1">
      <c r="A841" s="6"/>
      <c r="B841" s="6"/>
      <c r="C841" s="6"/>
      <c r="D841" s="6"/>
    </row>
    <row r="842" ht="15.75" customHeight="1">
      <c r="A842" s="6"/>
      <c r="B842" s="6"/>
      <c r="C842" s="6"/>
      <c r="D842" s="6"/>
    </row>
    <row r="843" ht="15.75" customHeight="1">
      <c r="A843" s="6"/>
      <c r="B843" s="6"/>
      <c r="C843" s="6"/>
      <c r="D843" s="6"/>
    </row>
    <row r="844" ht="15.75" customHeight="1">
      <c r="A844" s="6"/>
      <c r="B844" s="6"/>
      <c r="C844" s="6"/>
      <c r="D844" s="6"/>
    </row>
    <row r="845" ht="15.75" customHeight="1">
      <c r="A845" s="6"/>
      <c r="B845" s="6"/>
      <c r="C845" s="6"/>
      <c r="D845" s="6"/>
    </row>
    <row r="846" ht="15.75" customHeight="1">
      <c r="A846" s="6"/>
      <c r="B846" s="6"/>
      <c r="C846" s="6"/>
      <c r="D846" s="6"/>
    </row>
    <row r="847" ht="15.75" customHeight="1">
      <c r="A847" s="6"/>
      <c r="B847" s="6"/>
      <c r="C847" s="6"/>
      <c r="D847" s="6"/>
    </row>
    <row r="848" ht="15.75" customHeight="1">
      <c r="A848" s="6"/>
      <c r="B848" s="6"/>
      <c r="C848" s="6"/>
      <c r="D848" s="6"/>
    </row>
    <row r="849" ht="15.75" customHeight="1">
      <c r="A849" s="6"/>
      <c r="B849" s="6"/>
      <c r="C849" s="6"/>
      <c r="D849" s="6"/>
    </row>
    <row r="850" ht="15.75" customHeight="1">
      <c r="A850" s="6"/>
      <c r="B850" s="6"/>
      <c r="C850" s="6"/>
      <c r="D850" s="6"/>
    </row>
    <row r="851" ht="15.75" customHeight="1">
      <c r="A851" s="6"/>
      <c r="B851" s="6"/>
      <c r="C851" s="6"/>
      <c r="D851" s="6"/>
    </row>
    <row r="852" ht="15.75" customHeight="1">
      <c r="A852" s="6"/>
      <c r="B852" s="6"/>
      <c r="C852" s="6"/>
      <c r="D852" s="6"/>
    </row>
    <row r="853" ht="15.75" customHeight="1">
      <c r="A853" s="6"/>
      <c r="B853" s="6"/>
      <c r="C853" s="6"/>
      <c r="D853" s="6"/>
    </row>
    <row r="854" ht="15.75" customHeight="1">
      <c r="A854" s="6"/>
      <c r="B854" s="6"/>
      <c r="C854" s="6"/>
      <c r="D854" s="6"/>
    </row>
    <row r="855" ht="15.75" customHeight="1">
      <c r="A855" s="6"/>
      <c r="B855" s="6"/>
      <c r="C855" s="6"/>
      <c r="D855" s="6"/>
    </row>
    <row r="856" ht="15.75" customHeight="1">
      <c r="A856" s="6"/>
      <c r="B856" s="6"/>
      <c r="C856" s="6"/>
      <c r="D856" s="6"/>
    </row>
    <row r="857" ht="15.75" customHeight="1">
      <c r="A857" s="6"/>
      <c r="B857" s="6"/>
      <c r="C857" s="6"/>
      <c r="D857" s="6"/>
    </row>
    <row r="858" ht="15.75" customHeight="1">
      <c r="A858" s="6"/>
      <c r="B858" s="6"/>
      <c r="C858" s="6"/>
      <c r="D858" s="6"/>
    </row>
    <row r="859" ht="15.75" customHeight="1">
      <c r="A859" s="6"/>
      <c r="B859" s="6"/>
      <c r="C859" s="6"/>
      <c r="D859" s="6"/>
    </row>
    <row r="860" ht="15.75" customHeight="1">
      <c r="A860" s="6"/>
      <c r="B860" s="6"/>
      <c r="C860" s="6"/>
      <c r="D860" s="6"/>
    </row>
    <row r="861" ht="15.75" customHeight="1">
      <c r="A861" s="6"/>
      <c r="B861" s="6"/>
      <c r="C861" s="6"/>
      <c r="D861" s="6"/>
    </row>
    <row r="862" ht="15.75" customHeight="1">
      <c r="A862" s="6"/>
      <c r="B862" s="6"/>
      <c r="C862" s="6"/>
      <c r="D862" s="6"/>
    </row>
    <row r="863" ht="15.75" customHeight="1">
      <c r="A863" s="6"/>
      <c r="B863" s="6"/>
      <c r="C863" s="6"/>
      <c r="D863" s="6"/>
    </row>
    <row r="864" ht="15.75" customHeight="1">
      <c r="A864" s="6"/>
      <c r="B864" s="6"/>
      <c r="C864" s="6"/>
      <c r="D864" s="6"/>
    </row>
    <row r="865" ht="15.75" customHeight="1">
      <c r="A865" s="6"/>
      <c r="B865" s="6"/>
      <c r="C865" s="6"/>
      <c r="D865" s="6"/>
    </row>
    <row r="866" ht="15.75" customHeight="1">
      <c r="A866" s="6"/>
      <c r="B866" s="6"/>
      <c r="C866" s="6"/>
      <c r="D866" s="6"/>
    </row>
    <row r="867" ht="15.75" customHeight="1">
      <c r="A867" s="6"/>
      <c r="B867" s="6"/>
      <c r="C867" s="6"/>
      <c r="D867" s="6"/>
    </row>
    <row r="868" ht="15.75" customHeight="1">
      <c r="A868" s="6"/>
      <c r="B868" s="6"/>
      <c r="C868" s="6"/>
      <c r="D868" s="6"/>
    </row>
    <row r="869" ht="15.75" customHeight="1">
      <c r="A869" s="6"/>
      <c r="B869" s="6"/>
      <c r="C869" s="6"/>
      <c r="D869" s="6"/>
    </row>
    <row r="870" ht="15.75" customHeight="1">
      <c r="A870" s="6"/>
      <c r="B870" s="6"/>
      <c r="C870" s="6"/>
      <c r="D870" s="6"/>
    </row>
    <row r="871" ht="15.75" customHeight="1">
      <c r="A871" s="6"/>
      <c r="B871" s="6"/>
      <c r="C871" s="6"/>
      <c r="D871" s="6"/>
    </row>
    <row r="872" ht="15.75" customHeight="1">
      <c r="A872" s="6"/>
      <c r="B872" s="6"/>
      <c r="C872" s="6"/>
      <c r="D872" s="6"/>
    </row>
    <row r="873" ht="15.75" customHeight="1">
      <c r="A873" s="6"/>
      <c r="B873" s="6"/>
      <c r="C873" s="6"/>
      <c r="D873" s="6"/>
    </row>
    <row r="874" ht="15.75" customHeight="1">
      <c r="A874" s="6"/>
      <c r="B874" s="6"/>
      <c r="C874" s="6"/>
      <c r="D874" s="6"/>
    </row>
    <row r="875" ht="15.75" customHeight="1">
      <c r="A875" s="6"/>
      <c r="B875" s="6"/>
      <c r="C875" s="6"/>
      <c r="D875" s="6"/>
    </row>
    <row r="876" ht="15.75" customHeight="1">
      <c r="A876" s="6"/>
      <c r="B876" s="6"/>
      <c r="C876" s="6"/>
      <c r="D876" s="6"/>
    </row>
    <row r="877" ht="15.75" customHeight="1">
      <c r="A877" s="6"/>
      <c r="B877" s="6"/>
      <c r="C877" s="6"/>
      <c r="D877" s="6"/>
    </row>
    <row r="878" ht="15.75" customHeight="1">
      <c r="A878" s="6"/>
      <c r="B878" s="6"/>
      <c r="C878" s="6"/>
      <c r="D878" s="6"/>
    </row>
    <row r="879" ht="15.75" customHeight="1">
      <c r="A879" s="6"/>
      <c r="B879" s="6"/>
      <c r="C879" s="6"/>
      <c r="D879" s="6"/>
    </row>
    <row r="880" ht="15.75" customHeight="1">
      <c r="A880" s="6"/>
      <c r="B880" s="6"/>
      <c r="C880" s="6"/>
      <c r="D880" s="6"/>
    </row>
    <row r="881" ht="15.75" customHeight="1">
      <c r="A881" s="6"/>
      <c r="B881" s="6"/>
      <c r="C881" s="6"/>
      <c r="D881" s="6"/>
    </row>
    <row r="882" ht="15.75" customHeight="1">
      <c r="A882" s="6"/>
      <c r="B882" s="6"/>
      <c r="C882" s="6"/>
      <c r="D882" s="6"/>
    </row>
    <row r="883" ht="15.75" customHeight="1">
      <c r="A883" s="6"/>
      <c r="B883" s="6"/>
      <c r="C883" s="6"/>
      <c r="D883" s="6"/>
    </row>
    <row r="884" ht="15.75" customHeight="1">
      <c r="A884" s="6"/>
      <c r="B884" s="6"/>
      <c r="C884" s="6"/>
      <c r="D884" s="6"/>
    </row>
    <row r="885" ht="15.75" customHeight="1">
      <c r="A885" s="6"/>
      <c r="B885" s="6"/>
      <c r="C885" s="6"/>
      <c r="D885" s="6"/>
    </row>
    <row r="886" ht="15.75" customHeight="1">
      <c r="A886" s="6"/>
      <c r="B886" s="6"/>
      <c r="C886" s="6"/>
      <c r="D886" s="6"/>
    </row>
    <row r="887" ht="15.75" customHeight="1">
      <c r="A887" s="6"/>
      <c r="B887" s="6"/>
      <c r="C887" s="6"/>
      <c r="D887" s="6"/>
    </row>
    <row r="888" ht="15.75" customHeight="1">
      <c r="A888" s="6"/>
      <c r="B888" s="6"/>
      <c r="C888" s="6"/>
      <c r="D888" s="6"/>
    </row>
    <row r="889" ht="15.75" customHeight="1">
      <c r="A889" s="6"/>
      <c r="B889" s="6"/>
      <c r="C889" s="6"/>
      <c r="D889" s="6"/>
    </row>
    <row r="890" ht="15.75" customHeight="1">
      <c r="A890" s="6"/>
      <c r="B890" s="6"/>
      <c r="C890" s="6"/>
      <c r="D890" s="6"/>
    </row>
    <row r="891" ht="15.75" customHeight="1">
      <c r="A891" s="6"/>
      <c r="B891" s="6"/>
      <c r="C891" s="6"/>
      <c r="D891" s="6"/>
    </row>
    <row r="892" ht="15.75" customHeight="1">
      <c r="A892" s="6"/>
      <c r="B892" s="6"/>
      <c r="C892" s="6"/>
      <c r="D892" s="6"/>
    </row>
    <row r="893" ht="15.75" customHeight="1">
      <c r="A893" s="6"/>
      <c r="B893" s="6"/>
      <c r="C893" s="6"/>
      <c r="D893" s="6"/>
    </row>
    <row r="894" ht="15.75" customHeight="1">
      <c r="A894" s="6"/>
      <c r="B894" s="6"/>
      <c r="C894" s="6"/>
      <c r="D894" s="6"/>
    </row>
    <row r="895" ht="15.75" customHeight="1">
      <c r="A895" s="6"/>
      <c r="B895" s="6"/>
      <c r="C895" s="6"/>
      <c r="D895" s="6"/>
    </row>
    <row r="896" ht="15.75" customHeight="1">
      <c r="A896" s="6"/>
      <c r="B896" s="6"/>
      <c r="C896" s="6"/>
      <c r="D896" s="6"/>
    </row>
    <row r="897" ht="15.75" customHeight="1">
      <c r="A897" s="6"/>
      <c r="B897" s="6"/>
      <c r="C897" s="6"/>
      <c r="D897" s="6"/>
    </row>
    <row r="898" ht="15.75" customHeight="1">
      <c r="A898" s="6"/>
      <c r="B898" s="6"/>
      <c r="C898" s="6"/>
      <c r="D898" s="6"/>
    </row>
    <row r="899" ht="15.75" customHeight="1">
      <c r="A899" s="6"/>
      <c r="B899" s="6"/>
      <c r="C899" s="6"/>
      <c r="D899" s="6"/>
    </row>
    <row r="900" ht="15.75" customHeight="1">
      <c r="A900" s="6"/>
      <c r="B900" s="6"/>
      <c r="C900" s="6"/>
      <c r="D900" s="6"/>
    </row>
    <row r="901" ht="15.75" customHeight="1">
      <c r="A901" s="6"/>
      <c r="B901" s="6"/>
      <c r="C901" s="6"/>
      <c r="D901" s="6"/>
    </row>
    <row r="902" ht="15.75" customHeight="1">
      <c r="A902" s="6"/>
      <c r="B902" s="6"/>
      <c r="C902" s="6"/>
      <c r="D902" s="6"/>
    </row>
    <row r="903" ht="15.75" customHeight="1">
      <c r="A903" s="6"/>
      <c r="B903" s="6"/>
      <c r="C903" s="6"/>
      <c r="D903" s="6"/>
    </row>
    <row r="904" ht="15.75" customHeight="1">
      <c r="A904" s="6"/>
      <c r="B904" s="6"/>
      <c r="C904" s="6"/>
      <c r="D904" s="6"/>
    </row>
    <row r="905" ht="15.75" customHeight="1">
      <c r="A905" s="6"/>
      <c r="B905" s="6"/>
      <c r="C905" s="6"/>
      <c r="D905" s="6"/>
    </row>
    <row r="906" ht="15.75" customHeight="1">
      <c r="A906" s="6"/>
      <c r="B906" s="6"/>
      <c r="C906" s="6"/>
      <c r="D906" s="6"/>
    </row>
    <row r="907" ht="15.75" customHeight="1">
      <c r="A907" s="6"/>
      <c r="B907" s="6"/>
      <c r="C907" s="6"/>
      <c r="D907" s="6"/>
    </row>
    <row r="908" ht="15.75" customHeight="1">
      <c r="A908" s="6"/>
      <c r="B908" s="6"/>
      <c r="C908" s="6"/>
      <c r="D908" s="6"/>
    </row>
    <row r="909" ht="15.75" customHeight="1">
      <c r="A909" s="6"/>
      <c r="B909" s="6"/>
      <c r="C909" s="6"/>
      <c r="D909" s="6"/>
    </row>
    <row r="910" ht="15.75" customHeight="1">
      <c r="A910" s="6"/>
      <c r="B910" s="6"/>
      <c r="C910" s="6"/>
      <c r="D910" s="6"/>
    </row>
    <row r="911" ht="15.75" customHeight="1">
      <c r="A911" s="6"/>
      <c r="B911" s="6"/>
      <c r="C911" s="6"/>
      <c r="D911" s="6"/>
    </row>
    <row r="912" ht="15.75" customHeight="1">
      <c r="A912" s="6"/>
      <c r="B912" s="6"/>
      <c r="C912" s="6"/>
      <c r="D912" s="6"/>
    </row>
    <row r="913" ht="15.75" customHeight="1">
      <c r="A913" s="6"/>
      <c r="B913" s="6"/>
      <c r="C913" s="6"/>
      <c r="D913" s="6"/>
    </row>
    <row r="914" ht="15.75" customHeight="1">
      <c r="A914" s="6"/>
      <c r="B914" s="6"/>
      <c r="C914" s="6"/>
      <c r="D914" s="6"/>
    </row>
    <row r="915" ht="15.75" customHeight="1">
      <c r="A915" s="6"/>
      <c r="B915" s="6"/>
      <c r="C915" s="6"/>
      <c r="D915" s="6"/>
    </row>
    <row r="916" ht="15.75" customHeight="1">
      <c r="A916" s="6"/>
      <c r="B916" s="6"/>
      <c r="C916" s="6"/>
      <c r="D916" s="6"/>
    </row>
    <row r="917" ht="15.75" customHeight="1">
      <c r="A917" s="6"/>
      <c r="B917" s="6"/>
      <c r="C917" s="6"/>
      <c r="D917" s="6"/>
    </row>
    <row r="918" ht="15.75" customHeight="1">
      <c r="A918" s="6"/>
      <c r="B918" s="6"/>
      <c r="C918" s="6"/>
      <c r="D918" s="6"/>
    </row>
    <row r="919" ht="15.75" customHeight="1">
      <c r="A919" s="6"/>
      <c r="B919" s="6"/>
      <c r="C919" s="6"/>
      <c r="D919" s="6"/>
    </row>
    <row r="920" ht="15.75" customHeight="1">
      <c r="A920" s="6"/>
      <c r="B920" s="6"/>
      <c r="C920" s="6"/>
      <c r="D920" s="6"/>
    </row>
    <row r="921" ht="15.75" customHeight="1">
      <c r="A921" s="6"/>
      <c r="B921" s="6"/>
      <c r="C921" s="6"/>
      <c r="D921" s="6"/>
    </row>
    <row r="922" ht="15.75" customHeight="1">
      <c r="A922" s="6"/>
      <c r="B922" s="6"/>
      <c r="C922" s="6"/>
      <c r="D922" s="6"/>
    </row>
    <row r="923" ht="15.75" customHeight="1">
      <c r="A923" s="6"/>
      <c r="B923" s="6"/>
      <c r="C923" s="6"/>
      <c r="D923" s="6"/>
    </row>
    <row r="924" ht="15.75" customHeight="1">
      <c r="A924" s="6"/>
      <c r="B924" s="6"/>
      <c r="C924" s="6"/>
      <c r="D924" s="6"/>
    </row>
    <row r="925" ht="15.75" customHeight="1">
      <c r="A925" s="6"/>
      <c r="B925" s="6"/>
      <c r="C925" s="6"/>
      <c r="D925" s="6"/>
    </row>
    <row r="926" ht="15.75" customHeight="1">
      <c r="A926" s="6"/>
      <c r="B926" s="6"/>
      <c r="C926" s="6"/>
      <c r="D926" s="6"/>
    </row>
    <row r="927" ht="15.75" customHeight="1">
      <c r="A927" s="6"/>
      <c r="B927" s="6"/>
      <c r="C927" s="6"/>
      <c r="D927" s="6"/>
    </row>
    <row r="928" ht="15.75" customHeight="1">
      <c r="A928" s="6"/>
      <c r="B928" s="6"/>
      <c r="C928" s="6"/>
      <c r="D928" s="6"/>
    </row>
    <row r="929" ht="15.75" customHeight="1">
      <c r="A929" s="6"/>
      <c r="B929" s="6"/>
      <c r="C929" s="6"/>
      <c r="D929" s="6"/>
    </row>
    <row r="930" ht="15.75" customHeight="1">
      <c r="A930" s="6"/>
      <c r="B930" s="6"/>
      <c r="C930" s="6"/>
      <c r="D930" s="6"/>
    </row>
    <row r="931" ht="15.75" customHeight="1">
      <c r="A931" s="6"/>
      <c r="B931" s="6"/>
      <c r="C931" s="6"/>
      <c r="D931" s="6"/>
    </row>
    <row r="932" ht="15.75" customHeight="1">
      <c r="A932" s="6"/>
      <c r="B932" s="6"/>
      <c r="C932" s="6"/>
      <c r="D932" s="6"/>
    </row>
    <row r="933" ht="15.75" customHeight="1">
      <c r="A933" s="6"/>
      <c r="B933" s="6"/>
      <c r="C933" s="6"/>
      <c r="D933" s="6"/>
    </row>
    <row r="934" ht="15.75" customHeight="1">
      <c r="A934" s="6"/>
      <c r="B934" s="6"/>
      <c r="C934" s="6"/>
      <c r="D934" s="6"/>
    </row>
    <row r="935" ht="15.75" customHeight="1">
      <c r="A935" s="6"/>
      <c r="B935" s="6"/>
      <c r="C935" s="6"/>
      <c r="D935" s="6"/>
    </row>
    <row r="936" ht="15.75" customHeight="1">
      <c r="A936" s="6"/>
      <c r="B936" s="6"/>
      <c r="C936" s="6"/>
      <c r="D936" s="6"/>
    </row>
    <row r="937" ht="15.75" customHeight="1">
      <c r="A937" s="6"/>
      <c r="B937" s="6"/>
      <c r="C937" s="6"/>
      <c r="D937" s="6"/>
    </row>
    <row r="938" ht="15.75" customHeight="1">
      <c r="A938" s="6"/>
      <c r="B938" s="6"/>
      <c r="C938" s="6"/>
      <c r="D938" s="6"/>
    </row>
    <row r="939" ht="15.75" customHeight="1">
      <c r="A939" s="6"/>
      <c r="B939" s="6"/>
      <c r="C939" s="6"/>
      <c r="D939" s="6"/>
    </row>
    <row r="940" ht="15.75" customHeight="1">
      <c r="A940" s="6"/>
      <c r="B940" s="6"/>
      <c r="C940" s="6"/>
      <c r="D940" s="6"/>
    </row>
    <row r="941" ht="15.75" customHeight="1">
      <c r="A941" s="6"/>
      <c r="B941" s="6"/>
      <c r="C941" s="6"/>
      <c r="D941" s="6"/>
    </row>
    <row r="942" ht="15.75" customHeight="1">
      <c r="A942" s="6"/>
      <c r="B942" s="6"/>
      <c r="C942" s="6"/>
      <c r="D942" s="6"/>
    </row>
    <row r="943" ht="15.75" customHeight="1">
      <c r="A943" s="6"/>
      <c r="B943" s="6"/>
      <c r="C943" s="6"/>
      <c r="D943" s="6"/>
    </row>
    <row r="944" ht="15.75" customHeight="1">
      <c r="A944" s="6"/>
      <c r="B944" s="6"/>
      <c r="C944" s="6"/>
      <c r="D944" s="6"/>
    </row>
    <row r="945" ht="15.75" customHeight="1">
      <c r="A945" s="6"/>
      <c r="B945" s="6"/>
      <c r="C945" s="6"/>
      <c r="D945" s="6"/>
    </row>
    <row r="946" ht="15.75" customHeight="1">
      <c r="A946" s="6"/>
      <c r="B946" s="6"/>
      <c r="C946" s="6"/>
      <c r="D946" s="6"/>
    </row>
    <row r="947" ht="15.75" customHeight="1">
      <c r="A947" s="6"/>
      <c r="B947" s="6"/>
      <c r="C947" s="6"/>
      <c r="D947" s="6"/>
    </row>
    <row r="948" ht="15.75" customHeight="1">
      <c r="A948" s="6"/>
      <c r="B948" s="6"/>
      <c r="C948" s="6"/>
      <c r="D948" s="6"/>
    </row>
    <row r="949" ht="15.75" customHeight="1">
      <c r="A949" s="6"/>
      <c r="B949" s="6"/>
      <c r="C949" s="6"/>
      <c r="D949" s="6"/>
    </row>
    <row r="950" ht="15.75" customHeight="1">
      <c r="A950" s="6"/>
      <c r="B950" s="6"/>
      <c r="C950" s="6"/>
      <c r="D950" s="6"/>
    </row>
    <row r="951" ht="15.75" customHeight="1">
      <c r="A951" s="6"/>
      <c r="B951" s="6"/>
      <c r="C951" s="6"/>
      <c r="D951" s="6"/>
    </row>
    <row r="952" ht="15.75" customHeight="1">
      <c r="A952" s="6"/>
      <c r="B952" s="6"/>
      <c r="C952" s="6"/>
      <c r="D952" s="6"/>
    </row>
    <row r="953" ht="15.75" customHeight="1">
      <c r="A953" s="6"/>
      <c r="B953" s="6"/>
      <c r="C953" s="6"/>
      <c r="D953" s="6"/>
    </row>
    <row r="954" ht="15.75" customHeight="1">
      <c r="A954" s="6"/>
      <c r="B954" s="6"/>
      <c r="C954" s="6"/>
      <c r="D954" s="6"/>
    </row>
    <row r="955" ht="15.75" customHeight="1">
      <c r="A955" s="6"/>
      <c r="B955" s="6"/>
      <c r="C955" s="6"/>
      <c r="D955" s="6"/>
    </row>
    <row r="956" ht="15.75" customHeight="1">
      <c r="A956" s="6"/>
      <c r="B956" s="6"/>
      <c r="C956" s="6"/>
      <c r="D956" s="6"/>
    </row>
    <row r="957" ht="15.75" customHeight="1">
      <c r="A957" s="6"/>
      <c r="B957" s="6"/>
      <c r="C957" s="6"/>
      <c r="D957" s="6"/>
    </row>
    <row r="958" ht="15.75" customHeight="1">
      <c r="A958" s="6"/>
      <c r="B958" s="6"/>
      <c r="C958" s="6"/>
      <c r="D958" s="6"/>
    </row>
    <row r="959" ht="15.75" customHeight="1">
      <c r="A959" s="6"/>
      <c r="B959" s="6"/>
      <c r="C959" s="6"/>
      <c r="D959" s="6"/>
    </row>
    <row r="960" ht="15.75" customHeight="1">
      <c r="A960" s="6"/>
      <c r="B960" s="6"/>
      <c r="C960" s="6"/>
      <c r="D960" s="6"/>
    </row>
    <row r="961" ht="15.75" customHeight="1">
      <c r="A961" s="6"/>
      <c r="B961" s="6"/>
      <c r="C961" s="6"/>
      <c r="D961" s="6"/>
    </row>
    <row r="962" ht="15.75" customHeight="1">
      <c r="A962" s="6"/>
      <c r="B962" s="6"/>
      <c r="C962" s="6"/>
      <c r="D962" s="6"/>
    </row>
    <row r="963" ht="15.75" customHeight="1">
      <c r="A963" s="6"/>
      <c r="B963" s="6"/>
      <c r="C963" s="6"/>
      <c r="D963" s="6"/>
    </row>
    <row r="964" ht="15.75" customHeight="1">
      <c r="A964" s="6"/>
      <c r="B964" s="6"/>
      <c r="C964" s="6"/>
      <c r="D964" s="6"/>
    </row>
    <row r="965" ht="15.75" customHeight="1">
      <c r="A965" s="6"/>
      <c r="B965" s="6"/>
      <c r="C965" s="6"/>
      <c r="D965" s="6"/>
    </row>
    <row r="966" ht="15.75" customHeight="1">
      <c r="A966" s="6"/>
      <c r="B966" s="6"/>
      <c r="C966" s="6"/>
      <c r="D966" s="6"/>
    </row>
    <row r="967" ht="15.75" customHeight="1">
      <c r="A967" s="6"/>
      <c r="B967" s="6"/>
      <c r="C967" s="6"/>
      <c r="D967" s="6"/>
    </row>
    <row r="968" ht="15.75" customHeight="1">
      <c r="A968" s="6"/>
      <c r="B968" s="6"/>
      <c r="C968" s="6"/>
      <c r="D968" s="6"/>
    </row>
    <row r="969" ht="15.75" customHeight="1">
      <c r="A969" s="6"/>
      <c r="B969" s="6"/>
      <c r="C969" s="6"/>
      <c r="D969" s="6"/>
    </row>
    <row r="970" ht="15.75" customHeight="1">
      <c r="A970" s="6"/>
      <c r="B970" s="6"/>
      <c r="C970" s="6"/>
      <c r="D970" s="6"/>
    </row>
    <row r="971" ht="15.75" customHeight="1">
      <c r="A971" s="6"/>
      <c r="B971" s="6"/>
      <c r="C971" s="6"/>
      <c r="D971" s="6"/>
    </row>
    <row r="972" ht="15.75" customHeight="1">
      <c r="A972" s="6"/>
      <c r="B972" s="6"/>
      <c r="C972" s="6"/>
      <c r="D972" s="6"/>
    </row>
    <row r="973" ht="15.75" customHeight="1">
      <c r="A973" s="6"/>
      <c r="B973" s="6"/>
      <c r="C973" s="6"/>
      <c r="D973" s="6"/>
    </row>
    <row r="974" ht="15.75" customHeight="1">
      <c r="A974" s="6"/>
      <c r="B974" s="6"/>
      <c r="C974" s="6"/>
      <c r="D974" s="6"/>
    </row>
    <row r="975" ht="15.75" customHeight="1">
      <c r="A975" s="6"/>
      <c r="B975" s="6"/>
      <c r="C975" s="6"/>
      <c r="D975" s="6"/>
    </row>
    <row r="976" ht="15.75" customHeight="1">
      <c r="A976" s="6"/>
      <c r="B976" s="6"/>
      <c r="C976" s="6"/>
      <c r="D976" s="6"/>
    </row>
    <row r="977" ht="15.75" customHeight="1">
      <c r="A977" s="6"/>
      <c r="B977" s="6"/>
      <c r="C977" s="6"/>
      <c r="D977" s="6"/>
    </row>
    <row r="978" ht="15.75" customHeight="1">
      <c r="A978" s="6"/>
      <c r="B978" s="6"/>
      <c r="C978" s="6"/>
      <c r="D978" s="6"/>
    </row>
    <row r="979" ht="15.75" customHeight="1">
      <c r="A979" s="6"/>
      <c r="B979" s="6"/>
      <c r="C979" s="6"/>
      <c r="D979" s="6"/>
    </row>
    <row r="980" ht="15.75" customHeight="1">
      <c r="A980" s="6"/>
      <c r="B980" s="6"/>
      <c r="C980" s="6"/>
      <c r="D980" s="6"/>
    </row>
    <row r="981" ht="15.75" customHeight="1">
      <c r="A981" s="6"/>
      <c r="B981" s="6"/>
      <c r="C981" s="6"/>
      <c r="D981" s="6"/>
    </row>
    <row r="982" ht="15.75" customHeight="1">
      <c r="A982" s="6"/>
      <c r="B982" s="6"/>
      <c r="C982" s="6"/>
      <c r="D982" s="6"/>
    </row>
    <row r="983" ht="15.75" customHeight="1">
      <c r="A983" s="6"/>
      <c r="B983" s="6"/>
      <c r="C983" s="6"/>
      <c r="D983" s="6"/>
    </row>
    <row r="984" ht="15.75" customHeight="1">
      <c r="A984" s="6"/>
      <c r="B984" s="6"/>
      <c r="C984" s="6"/>
      <c r="D984" s="6"/>
    </row>
    <row r="985" ht="15.75" customHeight="1">
      <c r="A985" s="6"/>
      <c r="B985" s="6"/>
      <c r="C985" s="6"/>
      <c r="D985" s="6"/>
    </row>
    <row r="986" ht="15.75" customHeight="1">
      <c r="A986" s="6"/>
      <c r="B986" s="6"/>
      <c r="C986" s="6"/>
      <c r="D986" s="6"/>
    </row>
    <row r="987" ht="15.75" customHeight="1">
      <c r="A987" s="6"/>
      <c r="B987" s="6"/>
      <c r="C987" s="6"/>
      <c r="D987" s="6"/>
    </row>
    <row r="988" ht="15.75" customHeight="1">
      <c r="A988" s="6"/>
      <c r="B988" s="6"/>
      <c r="C988" s="6"/>
      <c r="D988" s="6"/>
    </row>
    <row r="989" ht="15.75" customHeight="1">
      <c r="A989" s="6"/>
      <c r="B989" s="6"/>
      <c r="C989" s="6"/>
      <c r="D989" s="6"/>
    </row>
    <row r="990" ht="15.75" customHeight="1">
      <c r="A990" s="6"/>
      <c r="B990" s="6"/>
      <c r="C990" s="6"/>
      <c r="D990" s="6"/>
    </row>
    <row r="991" ht="15.75" customHeight="1">
      <c r="A991" s="6"/>
      <c r="B991" s="6"/>
      <c r="C991" s="6"/>
      <c r="D991" s="6"/>
    </row>
    <row r="992" ht="15.75" customHeight="1">
      <c r="A992" s="6"/>
      <c r="B992" s="6"/>
      <c r="C992" s="6"/>
      <c r="D992" s="6"/>
    </row>
    <row r="993" ht="15.75" customHeight="1">
      <c r="A993" s="6"/>
      <c r="B993" s="6"/>
      <c r="C993" s="6"/>
      <c r="D993" s="6"/>
    </row>
    <row r="994" ht="15.75" customHeight="1">
      <c r="A994" s="6"/>
      <c r="B994" s="6"/>
      <c r="C994" s="6"/>
      <c r="D994" s="6"/>
    </row>
    <row r="995" ht="15.75" customHeight="1">
      <c r="A995" s="6"/>
      <c r="B995" s="6"/>
      <c r="C995" s="6"/>
      <c r="D995" s="6"/>
    </row>
    <row r="996" ht="15.75" customHeight="1">
      <c r="A996" s="6"/>
      <c r="B996" s="6"/>
      <c r="C996" s="6"/>
      <c r="D996" s="6"/>
    </row>
    <row r="997" ht="15.75" customHeight="1">
      <c r="A997" s="6"/>
      <c r="B997" s="6"/>
      <c r="C997" s="6"/>
      <c r="D997" s="6"/>
    </row>
    <row r="998" ht="15.75" customHeight="1">
      <c r="A998" s="6"/>
      <c r="B998" s="6"/>
      <c r="C998" s="6"/>
      <c r="D998" s="6"/>
    </row>
    <row r="999" ht="15.75" customHeight="1">
      <c r="A999" s="6"/>
      <c r="B999" s="6"/>
      <c r="C999" s="6"/>
      <c r="D999" s="6"/>
    </row>
    <row r="1000" ht="15.75" customHeight="1">
      <c r="A1000" s="6"/>
      <c r="B1000" s="6"/>
      <c r="C1000" s="6"/>
      <c r="D1000" s="6"/>
    </row>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28.0"/>
    <col customWidth="1" min="3" max="3" width="26.0"/>
    <col customWidth="1" min="4" max="4" width="18.0"/>
    <col customWidth="1" min="5" max="26" width="8.71"/>
  </cols>
  <sheetData>
    <row r="1" ht="33.75" customHeight="1">
      <c r="A1" s="2" t="s">
        <v>456</v>
      </c>
      <c r="B1" s="2" t="s">
        <v>457</v>
      </c>
      <c r="C1" s="2" t="s">
        <v>458</v>
      </c>
      <c r="D1" s="2" t="s">
        <v>460</v>
      </c>
      <c r="E1" s="2" t="s">
        <v>462</v>
      </c>
      <c r="F1" s="2" t="s">
        <v>463</v>
      </c>
    </row>
    <row r="2" ht="15.0" customHeight="1">
      <c r="A2" s="9">
        <v>45944.0</v>
      </c>
      <c r="B2" s="8" t="s">
        <v>468</v>
      </c>
      <c r="C2" s="8" t="s">
        <v>167</v>
      </c>
      <c r="D2" s="8" t="s">
        <v>469</v>
      </c>
      <c r="E2" s="8" t="b">
        <f t="shared" ref="E2:E7" si="1">FALSE()</f>
        <v>0</v>
      </c>
      <c r="F2" s="8">
        <v>246.0</v>
      </c>
    </row>
    <row r="3" ht="15.0" customHeight="1">
      <c r="A3" s="9">
        <v>45944.0</v>
      </c>
      <c r="B3" s="8" t="s">
        <v>470</v>
      </c>
      <c r="C3" s="8" t="s">
        <v>167</v>
      </c>
      <c r="D3" s="8" t="s">
        <v>472</v>
      </c>
      <c r="E3" s="8" t="b">
        <f t="shared" si="1"/>
        <v>0</v>
      </c>
      <c r="F3" s="8">
        <v>246.0</v>
      </c>
    </row>
    <row r="4" ht="15.0" customHeight="1">
      <c r="A4" s="9">
        <v>45944.0</v>
      </c>
      <c r="B4" s="8" t="s">
        <v>475</v>
      </c>
      <c r="C4" s="8" t="s">
        <v>167</v>
      </c>
      <c r="D4" s="8" t="s">
        <v>469</v>
      </c>
      <c r="E4" s="8" t="b">
        <f t="shared" si="1"/>
        <v>0</v>
      </c>
      <c r="F4" s="8">
        <v>246.0</v>
      </c>
    </row>
    <row r="5" ht="15.0" customHeight="1">
      <c r="A5" s="9">
        <v>45944.0</v>
      </c>
      <c r="B5" s="8" t="s">
        <v>477</v>
      </c>
      <c r="C5" s="8" t="s">
        <v>167</v>
      </c>
      <c r="D5" s="8" t="s">
        <v>472</v>
      </c>
      <c r="E5" s="8" t="b">
        <f t="shared" si="1"/>
        <v>0</v>
      </c>
      <c r="F5" s="8">
        <v>246.0</v>
      </c>
    </row>
    <row r="6" ht="15.0" customHeight="1">
      <c r="A6" s="9">
        <v>45944.0</v>
      </c>
      <c r="B6" s="8" t="s">
        <v>480</v>
      </c>
      <c r="C6" s="8" t="s">
        <v>167</v>
      </c>
      <c r="D6" s="8" t="s">
        <v>472</v>
      </c>
      <c r="E6" s="8" t="b">
        <f t="shared" si="1"/>
        <v>0</v>
      </c>
      <c r="F6" s="8">
        <v>246.0</v>
      </c>
    </row>
    <row r="7" ht="15.0" customHeight="1">
      <c r="A7" s="9">
        <v>45944.0</v>
      </c>
      <c r="B7" s="8" t="s">
        <v>481</v>
      </c>
      <c r="C7" s="8" t="s">
        <v>377</v>
      </c>
      <c r="D7" s="8" t="s">
        <v>482</v>
      </c>
      <c r="E7" s="8" t="b">
        <f t="shared" si="1"/>
        <v>0</v>
      </c>
      <c r="F7" s="8">
        <v>246.0</v>
      </c>
    </row>
    <row r="8" ht="15.0" customHeight="1">
      <c r="A8" s="9">
        <v>45944.0</v>
      </c>
      <c r="B8" s="8" t="s">
        <v>78</v>
      </c>
      <c r="C8" s="8" t="s">
        <v>116</v>
      </c>
      <c r="D8" s="8" t="s">
        <v>116</v>
      </c>
      <c r="E8" s="8" t="b">
        <f t="shared" ref="E8:E10" si="2">TRUE()</f>
        <v>1</v>
      </c>
      <c r="F8" s="8">
        <v>246.0</v>
      </c>
    </row>
    <row r="9" ht="15.0" customHeight="1">
      <c r="A9" s="9">
        <v>45944.0</v>
      </c>
      <c r="B9" s="8" t="s">
        <v>92</v>
      </c>
      <c r="C9" s="8" t="s">
        <v>116</v>
      </c>
      <c r="D9" s="8" t="s">
        <v>116</v>
      </c>
      <c r="E9" s="8" t="b">
        <f t="shared" si="2"/>
        <v>1</v>
      </c>
      <c r="F9" s="8">
        <v>246.0</v>
      </c>
    </row>
    <row r="10" ht="15.0" customHeight="1">
      <c r="A10" s="9">
        <v>45944.0</v>
      </c>
      <c r="B10" s="8" t="s">
        <v>212</v>
      </c>
      <c r="C10" s="8" t="s">
        <v>167</v>
      </c>
      <c r="D10" s="8" t="s">
        <v>486</v>
      </c>
      <c r="E10" s="8" t="b">
        <f t="shared" si="2"/>
        <v>1</v>
      </c>
      <c r="F10" s="8">
        <v>246.0</v>
      </c>
    </row>
    <row r="11" ht="15.0" customHeight="1">
      <c r="A11" s="9">
        <v>45944.0</v>
      </c>
      <c r="B11" s="8" t="s">
        <v>487</v>
      </c>
      <c r="C11" s="8" t="s">
        <v>167</v>
      </c>
      <c r="D11" s="8" t="s">
        <v>472</v>
      </c>
      <c r="E11" s="8" t="b">
        <f t="shared" ref="E11:E27" si="3">FALSE()</f>
        <v>0</v>
      </c>
      <c r="F11" s="8">
        <v>246.0</v>
      </c>
    </row>
    <row r="12" ht="15.0" customHeight="1">
      <c r="A12" s="9">
        <v>45944.0</v>
      </c>
      <c r="B12" s="8" t="s">
        <v>488</v>
      </c>
      <c r="C12" s="8" t="s">
        <v>167</v>
      </c>
      <c r="D12" s="8" t="s">
        <v>469</v>
      </c>
      <c r="E12" s="8" t="b">
        <f t="shared" si="3"/>
        <v>0</v>
      </c>
      <c r="F12" s="8">
        <v>246.0</v>
      </c>
    </row>
    <row r="13" ht="15.0" customHeight="1">
      <c r="A13" s="9">
        <v>45944.0</v>
      </c>
      <c r="B13" s="8" t="s">
        <v>490</v>
      </c>
      <c r="C13" s="8" t="s">
        <v>167</v>
      </c>
      <c r="D13" s="8" t="s">
        <v>472</v>
      </c>
      <c r="E13" s="8" t="b">
        <f t="shared" si="3"/>
        <v>0</v>
      </c>
      <c r="F13" s="8">
        <v>246.0</v>
      </c>
    </row>
    <row r="14" ht="15.0" customHeight="1">
      <c r="A14" s="9">
        <v>45944.0</v>
      </c>
      <c r="B14" s="8" t="s">
        <v>492</v>
      </c>
      <c r="C14" s="8" t="s">
        <v>167</v>
      </c>
      <c r="D14" s="8" t="s">
        <v>486</v>
      </c>
      <c r="E14" s="8" t="b">
        <f t="shared" si="3"/>
        <v>0</v>
      </c>
      <c r="F14" s="8">
        <v>246.0</v>
      </c>
    </row>
    <row r="15" ht="15.0" customHeight="1">
      <c r="A15" s="9">
        <v>45944.0</v>
      </c>
      <c r="B15" s="8" t="s">
        <v>493</v>
      </c>
      <c r="C15" s="8" t="s">
        <v>167</v>
      </c>
      <c r="D15" s="8" t="s">
        <v>472</v>
      </c>
      <c r="E15" s="8" t="b">
        <f t="shared" si="3"/>
        <v>0</v>
      </c>
      <c r="F15" s="8">
        <v>246.0</v>
      </c>
    </row>
    <row r="16" ht="15.0" customHeight="1">
      <c r="A16" s="9">
        <v>45944.0</v>
      </c>
      <c r="B16" s="8" t="s">
        <v>494</v>
      </c>
      <c r="C16" s="8" t="s">
        <v>167</v>
      </c>
      <c r="D16" s="8" t="s">
        <v>472</v>
      </c>
      <c r="E16" s="8" t="b">
        <f t="shared" si="3"/>
        <v>0</v>
      </c>
      <c r="F16" s="8">
        <v>246.0</v>
      </c>
    </row>
    <row r="17" ht="15.0" customHeight="1">
      <c r="A17" s="9">
        <v>45944.0</v>
      </c>
      <c r="B17" s="8" t="s">
        <v>495</v>
      </c>
      <c r="C17" s="8" t="s">
        <v>167</v>
      </c>
      <c r="D17" s="8" t="s">
        <v>469</v>
      </c>
      <c r="E17" s="8" t="b">
        <f t="shared" si="3"/>
        <v>0</v>
      </c>
      <c r="F17" s="8">
        <v>246.0</v>
      </c>
    </row>
    <row r="18" ht="15.0" customHeight="1">
      <c r="A18" s="9">
        <v>45944.0</v>
      </c>
      <c r="B18" s="8" t="s">
        <v>496</v>
      </c>
      <c r="C18" s="8" t="s">
        <v>167</v>
      </c>
      <c r="D18" s="8" t="s">
        <v>486</v>
      </c>
      <c r="E18" s="8" t="b">
        <f t="shared" si="3"/>
        <v>0</v>
      </c>
      <c r="F18" s="8">
        <v>246.0</v>
      </c>
    </row>
    <row r="19" ht="15.0" customHeight="1">
      <c r="A19" s="9">
        <v>45944.0</v>
      </c>
      <c r="B19" s="8" t="s">
        <v>500</v>
      </c>
      <c r="C19" s="8" t="s">
        <v>167</v>
      </c>
      <c r="D19" s="8" t="s">
        <v>469</v>
      </c>
      <c r="E19" s="8" t="b">
        <f t="shared" si="3"/>
        <v>0</v>
      </c>
      <c r="F19" s="8">
        <v>246.0</v>
      </c>
    </row>
    <row r="20" ht="15.0" customHeight="1">
      <c r="A20" s="9">
        <v>45944.0</v>
      </c>
      <c r="B20" s="8" t="s">
        <v>131</v>
      </c>
      <c r="C20" s="8" t="s">
        <v>167</v>
      </c>
      <c r="D20" s="8" t="s">
        <v>486</v>
      </c>
      <c r="E20" s="8" t="b">
        <f t="shared" si="3"/>
        <v>0</v>
      </c>
      <c r="F20" s="8">
        <v>246.0</v>
      </c>
    </row>
    <row r="21" ht="15.0" customHeight="1">
      <c r="A21" s="9">
        <v>45944.0</v>
      </c>
      <c r="B21" s="8" t="s">
        <v>501</v>
      </c>
      <c r="C21" s="8" t="s">
        <v>167</v>
      </c>
      <c r="D21" s="8" t="s">
        <v>486</v>
      </c>
      <c r="E21" s="8" t="b">
        <f t="shared" si="3"/>
        <v>0</v>
      </c>
      <c r="F21" s="8">
        <v>246.0</v>
      </c>
    </row>
    <row r="22" ht="15.0" customHeight="1">
      <c r="A22" s="9">
        <v>45944.0</v>
      </c>
      <c r="B22" s="8" t="s">
        <v>303</v>
      </c>
      <c r="C22" s="8" t="s">
        <v>167</v>
      </c>
      <c r="D22" s="8" t="s">
        <v>469</v>
      </c>
      <c r="E22" s="8" t="b">
        <f t="shared" si="3"/>
        <v>0</v>
      </c>
      <c r="F22" s="8">
        <v>246.0</v>
      </c>
    </row>
    <row r="23" ht="15.0" customHeight="1">
      <c r="A23" s="9">
        <v>45944.0</v>
      </c>
      <c r="B23" s="8" t="s">
        <v>502</v>
      </c>
      <c r="C23" s="8" t="s">
        <v>167</v>
      </c>
      <c r="D23" s="8" t="s">
        <v>469</v>
      </c>
      <c r="E23" s="8" t="b">
        <f t="shared" si="3"/>
        <v>0</v>
      </c>
      <c r="F23" s="8">
        <v>246.0</v>
      </c>
    </row>
    <row r="24" ht="15.0" customHeight="1">
      <c r="A24" s="9">
        <v>45944.0</v>
      </c>
      <c r="B24" s="8" t="s">
        <v>504</v>
      </c>
      <c r="C24" s="8" t="s">
        <v>167</v>
      </c>
      <c r="D24" s="8" t="s">
        <v>486</v>
      </c>
      <c r="E24" s="8" t="b">
        <f t="shared" si="3"/>
        <v>0</v>
      </c>
      <c r="F24" s="8">
        <v>246.0</v>
      </c>
    </row>
    <row r="25" ht="15.0" customHeight="1">
      <c r="A25" s="9">
        <v>45944.0</v>
      </c>
      <c r="B25" s="8" t="s">
        <v>506</v>
      </c>
      <c r="C25" s="8" t="s">
        <v>167</v>
      </c>
      <c r="D25" s="8" t="s">
        <v>472</v>
      </c>
      <c r="E25" s="8" t="b">
        <f t="shared" si="3"/>
        <v>0</v>
      </c>
      <c r="F25" s="8">
        <v>246.0</v>
      </c>
    </row>
    <row r="26" ht="15.0" customHeight="1">
      <c r="A26" s="9">
        <v>45944.0</v>
      </c>
      <c r="B26" s="8" t="s">
        <v>507</v>
      </c>
      <c r="C26" s="8" t="s">
        <v>167</v>
      </c>
      <c r="D26" s="8" t="s">
        <v>486</v>
      </c>
      <c r="E26" s="8" t="b">
        <f t="shared" si="3"/>
        <v>0</v>
      </c>
      <c r="F26" s="8">
        <v>246.0</v>
      </c>
    </row>
    <row r="27" ht="15.0" customHeight="1">
      <c r="A27" s="9">
        <v>45944.0</v>
      </c>
      <c r="B27" s="8" t="s">
        <v>202</v>
      </c>
      <c r="C27" s="8" t="s">
        <v>167</v>
      </c>
      <c r="D27" s="8" t="s">
        <v>469</v>
      </c>
      <c r="E27" s="8" t="b">
        <f t="shared" si="3"/>
        <v>0</v>
      </c>
      <c r="F27" s="8">
        <v>246.0</v>
      </c>
    </row>
    <row r="28" ht="15.0" customHeight="1">
      <c r="A28" s="9">
        <v>45944.0</v>
      </c>
      <c r="B28" s="8" t="s">
        <v>219</v>
      </c>
      <c r="C28" s="8" t="s">
        <v>116</v>
      </c>
      <c r="D28" s="8" t="s">
        <v>116</v>
      </c>
      <c r="E28" s="8" t="b">
        <f>TRUE()</f>
        <v>1</v>
      </c>
      <c r="F28" s="8">
        <v>246.0</v>
      </c>
    </row>
    <row r="29" ht="15.0" customHeight="1">
      <c r="A29" s="9">
        <v>45950.0</v>
      </c>
      <c r="B29" s="8" t="s">
        <v>470</v>
      </c>
      <c r="C29" s="8" t="s">
        <v>167</v>
      </c>
      <c r="D29" s="8" t="s">
        <v>472</v>
      </c>
      <c r="E29" s="8" t="b">
        <f t="shared" ref="E29:E33" si="4">FALSE()</f>
        <v>0</v>
      </c>
      <c r="F29" s="8">
        <v>241.0</v>
      </c>
    </row>
    <row r="30" ht="15.0" customHeight="1">
      <c r="A30" s="9">
        <v>45950.0</v>
      </c>
      <c r="B30" s="8" t="s">
        <v>475</v>
      </c>
      <c r="C30" s="8" t="s">
        <v>167</v>
      </c>
      <c r="D30" s="8" t="s">
        <v>469</v>
      </c>
      <c r="E30" s="8" t="b">
        <f t="shared" si="4"/>
        <v>0</v>
      </c>
      <c r="F30" s="8">
        <v>241.0</v>
      </c>
    </row>
    <row r="31" ht="15.0" customHeight="1">
      <c r="A31" s="9">
        <v>45950.0</v>
      </c>
      <c r="B31" s="8" t="s">
        <v>477</v>
      </c>
      <c r="C31" s="8" t="s">
        <v>167</v>
      </c>
      <c r="D31" s="8" t="s">
        <v>472</v>
      </c>
      <c r="E31" s="8" t="b">
        <f t="shared" si="4"/>
        <v>0</v>
      </c>
      <c r="F31" s="8">
        <v>241.0</v>
      </c>
    </row>
    <row r="32" ht="15.0" customHeight="1">
      <c r="A32" s="9">
        <v>45950.0</v>
      </c>
      <c r="B32" s="8" t="s">
        <v>480</v>
      </c>
      <c r="C32" s="8" t="s">
        <v>167</v>
      </c>
      <c r="D32" s="8" t="s">
        <v>472</v>
      </c>
      <c r="E32" s="8" t="b">
        <f t="shared" si="4"/>
        <v>0</v>
      </c>
      <c r="F32" s="8">
        <v>241.0</v>
      </c>
    </row>
    <row r="33" ht="15.0" customHeight="1">
      <c r="A33" s="9">
        <v>45950.0</v>
      </c>
      <c r="B33" s="8" t="s">
        <v>481</v>
      </c>
      <c r="C33" s="8" t="s">
        <v>167</v>
      </c>
      <c r="D33" s="8" t="s">
        <v>486</v>
      </c>
      <c r="E33" s="8" t="b">
        <f t="shared" si="4"/>
        <v>0</v>
      </c>
      <c r="F33" s="8">
        <v>241.0</v>
      </c>
    </row>
    <row r="34" ht="15.0" customHeight="1">
      <c r="A34" s="9">
        <v>45950.0</v>
      </c>
      <c r="B34" s="8" t="s">
        <v>78</v>
      </c>
      <c r="C34" s="8" t="s">
        <v>116</v>
      </c>
      <c r="D34" s="8" t="s">
        <v>116</v>
      </c>
      <c r="E34" s="8" t="b">
        <f t="shared" ref="E34:E35" si="5">TRUE()</f>
        <v>1</v>
      </c>
      <c r="F34" s="8">
        <v>241.0</v>
      </c>
    </row>
    <row r="35" ht="15.0" customHeight="1">
      <c r="A35" s="9">
        <v>45950.0</v>
      </c>
      <c r="B35" s="8" t="s">
        <v>92</v>
      </c>
      <c r="C35" s="8" t="s">
        <v>428</v>
      </c>
      <c r="D35" s="8" t="s">
        <v>428</v>
      </c>
      <c r="E35" s="8" t="b">
        <f t="shared" si="5"/>
        <v>1</v>
      </c>
      <c r="F35" s="8">
        <v>241.0</v>
      </c>
    </row>
    <row r="36" ht="15.0" customHeight="1">
      <c r="A36" s="9">
        <v>45950.0</v>
      </c>
      <c r="B36" s="8" t="s">
        <v>212</v>
      </c>
      <c r="C36" s="8" t="s">
        <v>167</v>
      </c>
      <c r="D36" s="8" t="s">
        <v>486</v>
      </c>
      <c r="E36" s="8" t="b">
        <f t="shared" ref="E36:E59" si="6">FALSE()</f>
        <v>0</v>
      </c>
      <c r="F36" s="8">
        <v>241.0</v>
      </c>
    </row>
    <row r="37" ht="15.0" customHeight="1">
      <c r="A37" s="9">
        <v>45950.0</v>
      </c>
      <c r="B37" s="8" t="s">
        <v>488</v>
      </c>
      <c r="C37" s="8" t="s">
        <v>167</v>
      </c>
      <c r="D37" s="8" t="s">
        <v>469</v>
      </c>
      <c r="E37" s="8" t="b">
        <f t="shared" si="6"/>
        <v>0</v>
      </c>
      <c r="F37" s="8">
        <v>241.0</v>
      </c>
    </row>
    <row r="38" ht="15.0" customHeight="1">
      <c r="A38" s="9">
        <v>45950.0</v>
      </c>
      <c r="B38" s="8" t="s">
        <v>490</v>
      </c>
      <c r="C38" s="8" t="s">
        <v>167</v>
      </c>
      <c r="D38" s="8" t="s">
        <v>472</v>
      </c>
      <c r="E38" s="8" t="b">
        <f t="shared" si="6"/>
        <v>0</v>
      </c>
      <c r="F38" s="8">
        <v>241.0</v>
      </c>
    </row>
    <row r="39" ht="15.0" customHeight="1">
      <c r="A39" s="9">
        <v>45950.0</v>
      </c>
      <c r="B39" s="8" t="s">
        <v>492</v>
      </c>
      <c r="C39" s="8" t="s">
        <v>167</v>
      </c>
      <c r="D39" s="8" t="s">
        <v>486</v>
      </c>
      <c r="E39" s="8" t="b">
        <f t="shared" si="6"/>
        <v>0</v>
      </c>
      <c r="F39" s="8">
        <v>241.0</v>
      </c>
    </row>
    <row r="40" ht="15.0" customHeight="1">
      <c r="A40" s="9">
        <v>45950.0</v>
      </c>
      <c r="B40" s="8" t="s">
        <v>493</v>
      </c>
      <c r="C40" s="8" t="s">
        <v>167</v>
      </c>
      <c r="D40" s="8" t="s">
        <v>472</v>
      </c>
      <c r="E40" s="8" t="b">
        <f t="shared" si="6"/>
        <v>0</v>
      </c>
      <c r="F40" s="8">
        <v>241.0</v>
      </c>
    </row>
    <row r="41" ht="15.0" customHeight="1">
      <c r="A41" s="9">
        <v>45950.0</v>
      </c>
      <c r="B41" s="8" t="s">
        <v>494</v>
      </c>
      <c r="C41" s="8" t="s">
        <v>167</v>
      </c>
      <c r="D41" s="8" t="s">
        <v>472</v>
      </c>
      <c r="E41" s="8" t="b">
        <f t="shared" si="6"/>
        <v>0</v>
      </c>
      <c r="F41" s="8">
        <v>241.0</v>
      </c>
    </row>
    <row r="42" ht="15.0" customHeight="1">
      <c r="A42" s="9">
        <v>45950.0</v>
      </c>
      <c r="B42" s="8" t="s">
        <v>495</v>
      </c>
      <c r="C42" s="8" t="s">
        <v>167</v>
      </c>
      <c r="D42" s="8" t="s">
        <v>469</v>
      </c>
      <c r="E42" s="8" t="b">
        <f t="shared" si="6"/>
        <v>0</v>
      </c>
      <c r="F42" s="8">
        <v>241.0</v>
      </c>
    </row>
    <row r="43" ht="15.0" customHeight="1">
      <c r="A43" s="9">
        <v>45950.0</v>
      </c>
      <c r="B43" s="8" t="s">
        <v>517</v>
      </c>
      <c r="C43" s="8" t="s">
        <v>377</v>
      </c>
      <c r="D43" s="8" t="s">
        <v>482</v>
      </c>
      <c r="E43" s="8" t="b">
        <f t="shared" si="6"/>
        <v>0</v>
      </c>
      <c r="F43" s="8">
        <v>241.0</v>
      </c>
    </row>
    <row r="44" ht="15.0" customHeight="1">
      <c r="A44" s="9">
        <v>45950.0</v>
      </c>
      <c r="B44" s="8" t="s">
        <v>518</v>
      </c>
      <c r="C44" s="8" t="s">
        <v>167</v>
      </c>
      <c r="D44" s="8" t="s">
        <v>469</v>
      </c>
      <c r="E44" s="8" t="b">
        <f t="shared" si="6"/>
        <v>0</v>
      </c>
      <c r="F44" s="8">
        <v>241.0</v>
      </c>
    </row>
    <row r="45" ht="15.0" customHeight="1">
      <c r="A45" s="9">
        <v>45950.0</v>
      </c>
      <c r="B45" s="8" t="s">
        <v>496</v>
      </c>
      <c r="C45" s="8" t="s">
        <v>167</v>
      </c>
      <c r="D45" s="8" t="s">
        <v>486</v>
      </c>
      <c r="E45" s="8" t="b">
        <f t="shared" si="6"/>
        <v>0</v>
      </c>
      <c r="F45" s="8">
        <v>241.0</v>
      </c>
    </row>
    <row r="46" ht="15.0" customHeight="1">
      <c r="A46" s="9">
        <v>45950.0</v>
      </c>
      <c r="B46" s="8" t="s">
        <v>519</v>
      </c>
      <c r="C46" s="8" t="s">
        <v>167</v>
      </c>
      <c r="D46" s="8" t="s">
        <v>472</v>
      </c>
      <c r="E46" s="8" t="b">
        <f t="shared" si="6"/>
        <v>0</v>
      </c>
      <c r="F46" s="8">
        <v>241.0</v>
      </c>
    </row>
    <row r="47" ht="15.0" customHeight="1">
      <c r="A47" s="9">
        <v>45950.0</v>
      </c>
      <c r="B47" s="8" t="s">
        <v>500</v>
      </c>
      <c r="C47" s="8" t="s">
        <v>377</v>
      </c>
      <c r="D47" s="8" t="s">
        <v>482</v>
      </c>
      <c r="E47" s="8" t="b">
        <f t="shared" si="6"/>
        <v>0</v>
      </c>
      <c r="F47" s="8">
        <v>241.0</v>
      </c>
    </row>
    <row r="48" ht="15.0" customHeight="1">
      <c r="A48" s="9">
        <v>45950.0</v>
      </c>
      <c r="B48" s="8" t="s">
        <v>500</v>
      </c>
      <c r="C48" s="8" t="s">
        <v>167</v>
      </c>
      <c r="D48" s="8" t="s">
        <v>469</v>
      </c>
      <c r="E48" s="8" t="b">
        <f t="shared" si="6"/>
        <v>0</v>
      </c>
      <c r="F48" s="8">
        <v>241.0</v>
      </c>
    </row>
    <row r="49" ht="15.0" customHeight="1">
      <c r="A49" s="9">
        <v>45950.0</v>
      </c>
      <c r="B49" s="8" t="s">
        <v>131</v>
      </c>
      <c r="C49" s="8" t="s">
        <v>167</v>
      </c>
      <c r="D49" s="8" t="s">
        <v>486</v>
      </c>
      <c r="E49" s="8" t="b">
        <f t="shared" si="6"/>
        <v>0</v>
      </c>
      <c r="F49" s="8">
        <v>241.0</v>
      </c>
    </row>
    <row r="50" ht="15.0" customHeight="1">
      <c r="A50" s="9">
        <v>45950.0</v>
      </c>
      <c r="B50" s="8" t="s">
        <v>501</v>
      </c>
      <c r="C50" s="8" t="s">
        <v>167</v>
      </c>
      <c r="D50" s="8" t="s">
        <v>486</v>
      </c>
      <c r="E50" s="8" t="b">
        <f t="shared" si="6"/>
        <v>0</v>
      </c>
      <c r="F50" s="8">
        <v>241.0</v>
      </c>
    </row>
    <row r="51" ht="15.0" customHeight="1">
      <c r="A51" s="9">
        <v>45950.0</v>
      </c>
      <c r="B51" s="8" t="s">
        <v>303</v>
      </c>
      <c r="C51" s="8" t="s">
        <v>167</v>
      </c>
      <c r="D51" s="8" t="s">
        <v>469</v>
      </c>
      <c r="E51" s="8" t="b">
        <f t="shared" si="6"/>
        <v>0</v>
      </c>
      <c r="F51" s="8">
        <v>241.0</v>
      </c>
    </row>
    <row r="52" ht="15.0" customHeight="1">
      <c r="A52" s="9">
        <v>45950.0</v>
      </c>
      <c r="B52" s="8" t="s">
        <v>521</v>
      </c>
      <c r="C52" s="8" t="s">
        <v>377</v>
      </c>
      <c r="D52" s="8" t="s">
        <v>482</v>
      </c>
      <c r="E52" s="8" t="b">
        <f t="shared" si="6"/>
        <v>0</v>
      </c>
      <c r="F52" s="8">
        <v>241.0</v>
      </c>
    </row>
    <row r="53" ht="15.0" customHeight="1">
      <c r="A53" s="9">
        <v>45950.0</v>
      </c>
      <c r="B53" s="8" t="s">
        <v>521</v>
      </c>
      <c r="C53" s="8" t="s">
        <v>167</v>
      </c>
      <c r="D53" s="8" t="s">
        <v>472</v>
      </c>
      <c r="E53" s="8" t="b">
        <f t="shared" si="6"/>
        <v>0</v>
      </c>
      <c r="F53" s="8">
        <v>241.0</v>
      </c>
    </row>
    <row r="54" ht="15.0" customHeight="1">
      <c r="A54" s="9">
        <v>45950.0</v>
      </c>
      <c r="B54" s="8" t="s">
        <v>502</v>
      </c>
      <c r="C54" s="8" t="s">
        <v>167</v>
      </c>
      <c r="D54" s="8" t="s">
        <v>469</v>
      </c>
      <c r="E54" s="8" t="b">
        <f t="shared" si="6"/>
        <v>0</v>
      </c>
      <c r="F54" s="8">
        <v>241.0</v>
      </c>
    </row>
    <row r="55" ht="15.0" customHeight="1">
      <c r="A55" s="9">
        <v>45950.0</v>
      </c>
      <c r="B55" s="8" t="s">
        <v>522</v>
      </c>
      <c r="C55" s="8" t="s">
        <v>377</v>
      </c>
      <c r="D55" s="8" t="s">
        <v>482</v>
      </c>
      <c r="E55" s="8" t="b">
        <f t="shared" si="6"/>
        <v>0</v>
      </c>
      <c r="F55" s="8">
        <v>241.0</v>
      </c>
    </row>
    <row r="56" ht="15.0" customHeight="1">
      <c r="A56" s="9">
        <v>45950.0</v>
      </c>
      <c r="B56" s="8" t="s">
        <v>506</v>
      </c>
      <c r="C56" s="8" t="s">
        <v>377</v>
      </c>
      <c r="D56" s="8" t="s">
        <v>482</v>
      </c>
      <c r="E56" s="8" t="b">
        <f t="shared" si="6"/>
        <v>0</v>
      </c>
      <c r="F56" s="8">
        <v>241.0</v>
      </c>
    </row>
    <row r="57" ht="15.0" customHeight="1">
      <c r="A57" s="9">
        <v>45950.0</v>
      </c>
      <c r="B57" s="8" t="s">
        <v>506</v>
      </c>
      <c r="C57" s="8" t="s">
        <v>167</v>
      </c>
      <c r="D57" s="8" t="s">
        <v>472</v>
      </c>
      <c r="E57" s="8" t="b">
        <f t="shared" si="6"/>
        <v>0</v>
      </c>
      <c r="F57" s="8">
        <v>241.0</v>
      </c>
    </row>
    <row r="58" ht="15.0" customHeight="1">
      <c r="A58" s="9">
        <v>45950.0</v>
      </c>
      <c r="B58" s="8" t="s">
        <v>526</v>
      </c>
      <c r="C58" s="8" t="s">
        <v>377</v>
      </c>
      <c r="D58" s="8" t="s">
        <v>482</v>
      </c>
      <c r="E58" s="8" t="b">
        <f t="shared" si="6"/>
        <v>0</v>
      </c>
      <c r="F58" s="8">
        <v>241.0</v>
      </c>
    </row>
    <row r="59" ht="15.0" customHeight="1">
      <c r="A59" s="9">
        <v>45950.0</v>
      </c>
      <c r="B59" s="8" t="s">
        <v>202</v>
      </c>
      <c r="C59" s="8" t="s">
        <v>167</v>
      </c>
      <c r="D59" s="8" t="s">
        <v>469</v>
      </c>
      <c r="E59" s="8" t="b">
        <f t="shared" si="6"/>
        <v>0</v>
      </c>
      <c r="F59" s="8">
        <v>241.0</v>
      </c>
    </row>
    <row r="60" ht="15.0" customHeight="1">
      <c r="A60" s="9">
        <v>45950.0</v>
      </c>
      <c r="B60" s="8" t="s">
        <v>219</v>
      </c>
      <c r="C60" s="8" t="s">
        <v>116</v>
      </c>
      <c r="D60" s="8" t="s">
        <v>116</v>
      </c>
      <c r="E60" s="8" t="b">
        <f>TRUE()</f>
        <v>1</v>
      </c>
      <c r="F60" s="8">
        <v>241.0</v>
      </c>
    </row>
    <row r="61" ht="15.0" customHeight="1">
      <c r="A61" s="9">
        <v>45957.0</v>
      </c>
      <c r="B61" s="8" t="s">
        <v>470</v>
      </c>
      <c r="C61" s="8" t="s">
        <v>167</v>
      </c>
      <c r="D61" s="8" t="s">
        <v>472</v>
      </c>
      <c r="E61" s="8" t="b">
        <f t="shared" ref="E61:E65" si="7">FALSE()</f>
        <v>0</v>
      </c>
      <c r="F61" s="8">
        <v>234.0</v>
      </c>
    </row>
    <row r="62" ht="15.0" customHeight="1">
      <c r="A62" s="9">
        <v>45957.0</v>
      </c>
      <c r="B62" s="8" t="s">
        <v>477</v>
      </c>
      <c r="C62" s="8" t="s">
        <v>167</v>
      </c>
      <c r="D62" s="8" t="s">
        <v>472</v>
      </c>
      <c r="E62" s="8" t="b">
        <f t="shared" si="7"/>
        <v>0</v>
      </c>
      <c r="F62" s="8">
        <v>234.0</v>
      </c>
    </row>
    <row r="63" ht="15.0" customHeight="1">
      <c r="A63" s="9">
        <v>45957.0</v>
      </c>
      <c r="B63" s="8" t="s">
        <v>34</v>
      </c>
      <c r="C63" s="8" t="s">
        <v>167</v>
      </c>
      <c r="D63" s="8" t="s">
        <v>469</v>
      </c>
      <c r="E63" s="8" t="b">
        <f t="shared" si="7"/>
        <v>0</v>
      </c>
      <c r="F63" s="8">
        <v>234.0</v>
      </c>
    </row>
    <row r="64" ht="15.0" customHeight="1">
      <c r="A64" s="9">
        <v>45957.0</v>
      </c>
      <c r="B64" s="8" t="s">
        <v>480</v>
      </c>
      <c r="C64" s="8" t="s">
        <v>167</v>
      </c>
      <c r="D64" s="8" t="s">
        <v>472</v>
      </c>
      <c r="E64" s="8" t="b">
        <f t="shared" si="7"/>
        <v>0</v>
      </c>
      <c r="F64" s="8">
        <v>234.0</v>
      </c>
    </row>
    <row r="65" ht="15.0" customHeight="1">
      <c r="A65" s="9">
        <v>45957.0</v>
      </c>
      <c r="B65" s="8" t="s">
        <v>481</v>
      </c>
      <c r="C65" s="8" t="s">
        <v>167</v>
      </c>
      <c r="D65" s="8" t="s">
        <v>486</v>
      </c>
      <c r="E65" s="8" t="b">
        <f t="shared" si="7"/>
        <v>0</v>
      </c>
      <c r="F65" s="8">
        <v>234.0</v>
      </c>
    </row>
    <row r="66" ht="15.0" customHeight="1">
      <c r="A66" s="9">
        <v>45957.0</v>
      </c>
      <c r="B66" s="8" t="s">
        <v>78</v>
      </c>
      <c r="C66" s="8" t="s">
        <v>116</v>
      </c>
      <c r="D66" s="8" t="s">
        <v>116</v>
      </c>
      <c r="E66" s="8" t="b">
        <f t="shared" ref="E66:E68" si="8">TRUE()</f>
        <v>1</v>
      </c>
      <c r="F66" s="8">
        <v>234.0</v>
      </c>
    </row>
    <row r="67" ht="15.0" customHeight="1">
      <c r="A67" s="9">
        <v>45957.0</v>
      </c>
      <c r="B67" s="8" t="s">
        <v>92</v>
      </c>
      <c r="C67" s="8" t="s">
        <v>428</v>
      </c>
      <c r="D67" s="8" t="s">
        <v>428</v>
      </c>
      <c r="E67" s="8" t="b">
        <f t="shared" si="8"/>
        <v>1</v>
      </c>
      <c r="F67" s="8">
        <v>234.0</v>
      </c>
    </row>
    <row r="68" ht="15.0" customHeight="1">
      <c r="A68" s="9">
        <v>45957.0</v>
      </c>
      <c r="B68" s="8" t="s">
        <v>212</v>
      </c>
      <c r="C68" s="8" t="s">
        <v>116</v>
      </c>
      <c r="D68" s="8" t="s">
        <v>116</v>
      </c>
      <c r="E68" s="8" t="b">
        <f t="shared" si="8"/>
        <v>1</v>
      </c>
      <c r="F68" s="8">
        <v>234.0</v>
      </c>
    </row>
    <row r="69" ht="15.0" customHeight="1">
      <c r="A69" s="9">
        <v>45957.0</v>
      </c>
      <c r="B69" s="8" t="s">
        <v>490</v>
      </c>
      <c r="C69" s="8" t="s">
        <v>167</v>
      </c>
      <c r="D69" s="8" t="s">
        <v>472</v>
      </c>
      <c r="E69" s="8" t="b">
        <f t="shared" ref="E69:E80" si="9">FALSE()</f>
        <v>0</v>
      </c>
      <c r="F69" s="8">
        <v>234.0</v>
      </c>
    </row>
    <row r="70" ht="15.0" customHeight="1">
      <c r="A70" s="9">
        <v>45957.0</v>
      </c>
      <c r="B70" s="8" t="s">
        <v>493</v>
      </c>
      <c r="C70" s="8" t="s">
        <v>167</v>
      </c>
      <c r="D70" s="8" t="s">
        <v>472</v>
      </c>
      <c r="E70" s="8" t="b">
        <f t="shared" si="9"/>
        <v>0</v>
      </c>
      <c r="F70" s="8">
        <v>234.0</v>
      </c>
    </row>
    <row r="71" ht="15.0" customHeight="1">
      <c r="A71" s="9">
        <v>45957.0</v>
      </c>
      <c r="B71" s="8" t="s">
        <v>494</v>
      </c>
      <c r="C71" s="8" t="s">
        <v>167</v>
      </c>
      <c r="D71" s="8" t="s">
        <v>472</v>
      </c>
      <c r="E71" s="8" t="b">
        <f t="shared" si="9"/>
        <v>0</v>
      </c>
      <c r="F71" s="8">
        <v>234.0</v>
      </c>
    </row>
    <row r="72" ht="15.0" customHeight="1">
      <c r="A72" s="9">
        <v>45957.0</v>
      </c>
      <c r="B72" s="8" t="s">
        <v>517</v>
      </c>
      <c r="C72" s="8" t="s">
        <v>167</v>
      </c>
      <c r="D72" s="8" t="s">
        <v>472</v>
      </c>
      <c r="E72" s="8" t="b">
        <f t="shared" si="9"/>
        <v>0</v>
      </c>
      <c r="F72" s="8">
        <v>234.0</v>
      </c>
    </row>
    <row r="73" ht="15.0" customHeight="1">
      <c r="A73" s="9">
        <v>45957.0</v>
      </c>
      <c r="B73" s="8" t="s">
        <v>284</v>
      </c>
      <c r="C73" s="8" t="s">
        <v>167</v>
      </c>
      <c r="D73" s="8" t="s">
        <v>486</v>
      </c>
      <c r="E73" s="8" t="b">
        <f t="shared" si="9"/>
        <v>0</v>
      </c>
      <c r="F73" s="8">
        <v>234.0</v>
      </c>
    </row>
    <row r="74" ht="15.0" customHeight="1">
      <c r="A74" s="9">
        <v>45957.0</v>
      </c>
      <c r="B74" s="8" t="s">
        <v>289</v>
      </c>
      <c r="C74" s="8" t="s">
        <v>167</v>
      </c>
      <c r="D74" s="8" t="s">
        <v>486</v>
      </c>
      <c r="E74" s="8" t="b">
        <f t="shared" si="9"/>
        <v>0</v>
      </c>
      <c r="F74" s="8">
        <v>234.0</v>
      </c>
    </row>
    <row r="75" ht="15.0" customHeight="1">
      <c r="A75" s="9">
        <v>45957.0</v>
      </c>
      <c r="B75" s="8" t="s">
        <v>496</v>
      </c>
      <c r="C75" s="8" t="s">
        <v>167</v>
      </c>
      <c r="D75" s="8" t="s">
        <v>486</v>
      </c>
      <c r="E75" s="8" t="b">
        <f t="shared" si="9"/>
        <v>0</v>
      </c>
      <c r="F75" s="8">
        <v>234.0</v>
      </c>
    </row>
    <row r="76" ht="15.0" customHeight="1">
      <c r="A76" s="9">
        <v>45957.0</v>
      </c>
      <c r="B76" s="8" t="s">
        <v>519</v>
      </c>
      <c r="C76" s="8" t="s">
        <v>167</v>
      </c>
      <c r="D76" s="8" t="s">
        <v>472</v>
      </c>
      <c r="E76" s="8" t="b">
        <f t="shared" si="9"/>
        <v>0</v>
      </c>
      <c r="F76" s="8">
        <v>234.0</v>
      </c>
    </row>
    <row r="77" ht="15.0" customHeight="1">
      <c r="A77" s="9">
        <v>45957.0</v>
      </c>
      <c r="B77" s="8" t="s">
        <v>500</v>
      </c>
      <c r="C77" s="8" t="s">
        <v>377</v>
      </c>
      <c r="D77" s="8" t="s">
        <v>482</v>
      </c>
      <c r="E77" s="8" t="b">
        <f t="shared" si="9"/>
        <v>0</v>
      </c>
      <c r="F77" s="8">
        <v>234.0</v>
      </c>
    </row>
    <row r="78" ht="15.0" customHeight="1">
      <c r="A78" s="9">
        <v>45957.0</v>
      </c>
      <c r="B78" s="8" t="s">
        <v>500</v>
      </c>
      <c r="C78" s="8" t="s">
        <v>167</v>
      </c>
      <c r="D78" s="8" t="s">
        <v>469</v>
      </c>
      <c r="E78" s="8" t="b">
        <f t="shared" si="9"/>
        <v>0</v>
      </c>
      <c r="F78" s="8">
        <v>234.0</v>
      </c>
    </row>
    <row r="79" ht="15.0" customHeight="1">
      <c r="A79" s="9">
        <v>45957.0</v>
      </c>
      <c r="B79" s="8" t="s">
        <v>131</v>
      </c>
      <c r="C79" s="8" t="s">
        <v>167</v>
      </c>
      <c r="D79" s="8" t="s">
        <v>486</v>
      </c>
      <c r="E79" s="8" t="b">
        <f t="shared" si="9"/>
        <v>0</v>
      </c>
      <c r="F79" s="8">
        <v>234.0</v>
      </c>
    </row>
    <row r="80" ht="15.0" customHeight="1">
      <c r="A80" s="9">
        <v>45957.0</v>
      </c>
      <c r="B80" s="8" t="s">
        <v>501</v>
      </c>
      <c r="C80" s="8" t="s">
        <v>167</v>
      </c>
      <c r="D80" s="8" t="s">
        <v>486</v>
      </c>
      <c r="E80" s="8" t="b">
        <f t="shared" si="9"/>
        <v>0</v>
      </c>
      <c r="F80" s="8">
        <v>234.0</v>
      </c>
    </row>
    <row r="81" ht="15.0" customHeight="1">
      <c r="A81" s="9">
        <v>45957.0</v>
      </c>
      <c r="B81" s="8" t="s">
        <v>303</v>
      </c>
      <c r="C81" s="8" t="s">
        <v>167</v>
      </c>
      <c r="D81" s="8" t="s">
        <v>469</v>
      </c>
      <c r="E81" s="8" t="b">
        <f>TRUE()</f>
        <v>1</v>
      </c>
      <c r="F81" s="8">
        <v>234.0</v>
      </c>
    </row>
    <row r="82" ht="15.0" customHeight="1">
      <c r="A82" s="9">
        <v>45957.0</v>
      </c>
      <c r="B82" s="8" t="s">
        <v>521</v>
      </c>
      <c r="C82" s="8" t="s">
        <v>377</v>
      </c>
      <c r="D82" s="8" t="s">
        <v>482</v>
      </c>
      <c r="E82" s="8" t="b">
        <f t="shared" ref="E82:E90" si="10">FALSE()</f>
        <v>0</v>
      </c>
      <c r="F82" s="8">
        <v>234.0</v>
      </c>
    </row>
    <row r="83" ht="15.0" customHeight="1">
      <c r="A83" s="9">
        <v>45957.0</v>
      </c>
      <c r="B83" s="8" t="s">
        <v>521</v>
      </c>
      <c r="C83" s="8" t="s">
        <v>167</v>
      </c>
      <c r="D83" s="8" t="s">
        <v>472</v>
      </c>
      <c r="E83" s="8" t="b">
        <f t="shared" si="10"/>
        <v>0</v>
      </c>
      <c r="F83" s="8">
        <v>234.0</v>
      </c>
    </row>
    <row r="84" ht="15.0" customHeight="1">
      <c r="A84" s="9">
        <v>45957.0</v>
      </c>
      <c r="B84" s="8" t="s">
        <v>522</v>
      </c>
      <c r="C84" s="8" t="s">
        <v>167</v>
      </c>
      <c r="D84" s="8" t="s">
        <v>469</v>
      </c>
      <c r="E84" s="8" t="b">
        <f t="shared" si="10"/>
        <v>0</v>
      </c>
      <c r="F84" s="8">
        <v>234.0</v>
      </c>
    </row>
    <row r="85" ht="15.0" customHeight="1">
      <c r="A85" s="9">
        <v>45957.0</v>
      </c>
      <c r="B85" s="8" t="s">
        <v>506</v>
      </c>
      <c r="C85" s="8" t="s">
        <v>377</v>
      </c>
      <c r="D85" s="8" t="s">
        <v>482</v>
      </c>
      <c r="E85" s="8" t="b">
        <f t="shared" si="10"/>
        <v>0</v>
      </c>
      <c r="F85" s="8">
        <v>234.0</v>
      </c>
    </row>
    <row r="86" ht="15.0" customHeight="1">
      <c r="A86" s="9">
        <v>45957.0</v>
      </c>
      <c r="B86" s="8" t="s">
        <v>506</v>
      </c>
      <c r="C86" s="8" t="s">
        <v>167</v>
      </c>
      <c r="D86" s="8" t="s">
        <v>472</v>
      </c>
      <c r="E86" s="8" t="b">
        <f t="shared" si="10"/>
        <v>0</v>
      </c>
      <c r="F86" s="8">
        <v>234.0</v>
      </c>
    </row>
    <row r="87" ht="15.0" customHeight="1">
      <c r="A87" s="9">
        <v>45957.0</v>
      </c>
      <c r="B87" s="8" t="s">
        <v>526</v>
      </c>
      <c r="C87" s="8" t="s">
        <v>377</v>
      </c>
      <c r="D87" s="8" t="s">
        <v>482</v>
      </c>
      <c r="E87" s="8" t="b">
        <f t="shared" si="10"/>
        <v>0</v>
      </c>
      <c r="F87" s="8">
        <v>234.0</v>
      </c>
    </row>
    <row r="88" ht="15.0" customHeight="1">
      <c r="A88" s="9">
        <v>45957.0</v>
      </c>
      <c r="B88" s="8" t="s">
        <v>526</v>
      </c>
      <c r="C88" s="8" t="s">
        <v>167</v>
      </c>
      <c r="D88" s="8" t="s">
        <v>469</v>
      </c>
      <c r="E88" s="8" t="b">
        <f t="shared" si="10"/>
        <v>0</v>
      </c>
      <c r="F88" s="8">
        <v>234.0</v>
      </c>
    </row>
    <row r="89" ht="15.0" customHeight="1">
      <c r="A89" s="9">
        <v>45957.0</v>
      </c>
      <c r="B89" s="8" t="s">
        <v>197</v>
      </c>
      <c r="C89" s="8" t="s">
        <v>377</v>
      </c>
      <c r="D89" s="8" t="s">
        <v>482</v>
      </c>
      <c r="E89" s="8" t="b">
        <f t="shared" si="10"/>
        <v>0</v>
      </c>
      <c r="F89" s="8">
        <v>234.0</v>
      </c>
    </row>
    <row r="90" ht="15.0" customHeight="1">
      <c r="A90" s="9">
        <v>45957.0</v>
      </c>
      <c r="B90" s="8" t="s">
        <v>202</v>
      </c>
      <c r="C90" s="8" t="s">
        <v>167</v>
      </c>
      <c r="D90" s="8" t="s">
        <v>469</v>
      </c>
      <c r="E90" s="8" t="b">
        <f t="shared" si="10"/>
        <v>0</v>
      </c>
      <c r="F90" s="8">
        <v>234.0</v>
      </c>
    </row>
    <row r="91" ht="15.0" customHeight="1">
      <c r="A91" s="9">
        <v>45957.0</v>
      </c>
      <c r="B91" s="8" t="s">
        <v>219</v>
      </c>
      <c r="C91" s="8" t="s">
        <v>116</v>
      </c>
      <c r="D91" s="8" t="s">
        <v>116</v>
      </c>
      <c r="E91" s="8" t="b">
        <f>TRUE()</f>
        <v>1</v>
      </c>
      <c r="F91" s="8">
        <v>234.0</v>
      </c>
    </row>
    <row r="92" ht="15.0" customHeight="1">
      <c r="A92" s="9">
        <v>45964.0</v>
      </c>
      <c r="B92" s="8" t="s">
        <v>470</v>
      </c>
      <c r="C92" s="8" t="s">
        <v>167</v>
      </c>
      <c r="D92" s="8" t="s">
        <v>472</v>
      </c>
      <c r="E92" s="8" t="b">
        <f t="shared" ref="E92:E96" si="11">FALSE()</f>
        <v>0</v>
      </c>
      <c r="F92" s="8">
        <v>216.0</v>
      </c>
    </row>
    <row r="93" ht="15.0" customHeight="1">
      <c r="A93" s="9">
        <v>45964.0</v>
      </c>
      <c r="B93" s="8" t="s">
        <v>477</v>
      </c>
      <c r="C93" s="8" t="s">
        <v>167</v>
      </c>
      <c r="D93" s="8" t="s">
        <v>472</v>
      </c>
      <c r="E93" s="8" t="b">
        <f t="shared" si="11"/>
        <v>0</v>
      </c>
      <c r="F93" s="8">
        <v>216.0</v>
      </c>
    </row>
    <row r="94" ht="15.0" customHeight="1">
      <c r="A94" s="9">
        <v>45964.0</v>
      </c>
      <c r="B94" s="8" t="s">
        <v>34</v>
      </c>
      <c r="C94" s="8" t="s">
        <v>167</v>
      </c>
      <c r="D94" s="8" t="s">
        <v>469</v>
      </c>
      <c r="E94" s="8" t="b">
        <f t="shared" si="11"/>
        <v>0</v>
      </c>
      <c r="F94" s="8">
        <v>216.0</v>
      </c>
    </row>
    <row r="95" ht="15.0" customHeight="1">
      <c r="A95" s="9">
        <v>45964.0</v>
      </c>
      <c r="B95" s="8" t="s">
        <v>480</v>
      </c>
      <c r="C95" s="8" t="s">
        <v>167</v>
      </c>
      <c r="D95" s="8" t="s">
        <v>472</v>
      </c>
      <c r="E95" s="8" t="b">
        <f t="shared" si="11"/>
        <v>0</v>
      </c>
      <c r="F95" s="8">
        <v>216.0</v>
      </c>
    </row>
    <row r="96" ht="15.0" customHeight="1">
      <c r="A96" s="9">
        <v>45964.0</v>
      </c>
      <c r="B96" s="8" t="s">
        <v>481</v>
      </c>
      <c r="C96" s="8" t="s">
        <v>167</v>
      </c>
      <c r="D96" s="8" t="s">
        <v>486</v>
      </c>
      <c r="E96" s="8" t="b">
        <f t="shared" si="11"/>
        <v>0</v>
      </c>
      <c r="F96" s="8">
        <v>216.0</v>
      </c>
    </row>
    <row r="97" ht="15.0" customHeight="1">
      <c r="A97" s="9">
        <v>45964.0</v>
      </c>
      <c r="B97" s="8" t="s">
        <v>78</v>
      </c>
      <c r="C97" s="8" t="s">
        <v>116</v>
      </c>
      <c r="D97" s="8" t="s">
        <v>116</v>
      </c>
      <c r="E97" s="8" t="b">
        <f t="shared" ref="E97:E99" si="12">TRUE()</f>
        <v>1</v>
      </c>
      <c r="F97" s="8">
        <v>216.0</v>
      </c>
    </row>
    <row r="98" ht="15.0" customHeight="1">
      <c r="A98" s="9">
        <v>45964.0</v>
      </c>
      <c r="B98" s="8" t="s">
        <v>92</v>
      </c>
      <c r="C98" s="8" t="s">
        <v>428</v>
      </c>
      <c r="D98" s="8" t="s">
        <v>428</v>
      </c>
      <c r="E98" s="8" t="b">
        <f t="shared" si="12"/>
        <v>1</v>
      </c>
      <c r="F98" s="8">
        <v>216.0</v>
      </c>
    </row>
    <row r="99" ht="15.0" customHeight="1">
      <c r="A99" s="9">
        <v>45964.0</v>
      </c>
      <c r="B99" s="8" t="s">
        <v>212</v>
      </c>
      <c r="C99" s="8" t="s">
        <v>116</v>
      </c>
      <c r="D99" s="8" t="s">
        <v>116</v>
      </c>
      <c r="E99" s="8" t="b">
        <f t="shared" si="12"/>
        <v>1</v>
      </c>
      <c r="F99" s="8">
        <v>216.0</v>
      </c>
    </row>
    <row r="100" ht="15.0" customHeight="1">
      <c r="A100" s="9">
        <v>45964.0</v>
      </c>
      <c r="B100" s="8" t="s">
        <v>493</v>
      </c>
      <c r="C100" s="8" t="s">
        <v>167</v>
      </c>
      <c r="D100" s="8" t="s">
        <v>472</v>
      </c>
      <c r="E100" s="8" t="b">
        <f t="shared" ref="E100:E103" si="13">FALSE()</f>
        <v>0</v>
      </c>
      <c r="F100" s="8">
        <v>216.0</v>
      </c>
    </row>
    <row r="101" ht="15.0" customHeight="1">
      <c r="A101" s="9">
        <v>45964.0</v>
      </c>
      <c r="B101" s="8" t="s">
        <v>517</v>
      </c>
      <c r="C101" s="8" t="s">
        <v>167</v>
      </c>
      <c r="D101" s="8" t="s">
        <v>472</v>
      </c>
      <c r="E101" s="8" t="b">
        <f t="shared" si="13"/>
        <v>0</v>
      </c>
      <c r="F101" s="8">
        <v>216.0</v>
      </c>
    </row>
    <row r="102" ht="15.0" customHeight="1">
      <c r="A102" s="9">
        <v>45964.0</v>
      </c>
      <c r="B102" s="8" t="s">
        <v>284</v>
      </c>
      <c r="C102" s="8" t="s">
        <v>167</v>
      </c>
      <c r="D102" s="8" t="s">
        <v>486</v>
      </c>
      <c r="E102" s="8" t="b">
        <f t="shared" si="13"/>
        <v>0</v>
      </c>
      <c r="F102" s="8">
        <v>216.0</v>
      </c>
    </row>
    <row r="103" ht="15.0" customHeight="1">
      <c r="A103" s="9">
        <v>45964.0</v>
      </c>
      <c r="B103" s="8" t="s">
        <v>546</v>
      </c>
      <c r="C103" s="8" t="s">
        <v>167</v>
      </c>
      <c r="D103" s="8" t="s">
        <v>469</v>
      </c>
      <c r="E103" s="8" t="b">
        <f t="shared" si="13"/>
        <v>0</v>
      </c>
      <c r="F103" s="8">
        <v>216.0</v>
      </c>
    </row>
    <row r="104" ht="15.0" customHeight="1">
      <c r="A104" s="9">
        <v>45964.0</v>
      </c>
      <c r="B104" s="8" t="s">
        <v>289</v>
      </c>
      <c r="C104" s="8" t="s">
        <v>167</v>
      </c>
      <c r="D104" s="8" t="s">
        <v>486</v>
      </c>
      <c r="E104" s="8" t="b">
        <f>TRUE()</f>
        <v>1</v>
      </c>
      <c r="F104" s="8">
        <v>216.0</v>
      </c>
    </row>
    <row r="105" ht="15.0" customHeight="1">
      <c r="A105" s="9">
        <v>45964.0</v>
      </c>
      <c r="B105" s="8" t="s">
        <v>496</v>
      </c>
      <c r="C105" s="8" t="s">
        <v>167</v>
      </c>
      <c r="D105" s="8" t="s">
        <v>486</v>
      </c>
      <c r="E105" s="8" t="b">
        <f t="shared" ref="E105:E116" si="14">FALSE()</f>
        <v>0</v>
      </c>
      <c r="F105" s="8">
        <v>216.0</v>
      </c>
    </row>
    <row r="106" ht="15.0" customHeight="1">
      <c r="A106" s="9">
        <v>45964.0</v>
      </c>
      <c r="B106" s="8" t="s">
        <v>519</v>
      </c>
      <c r="C106" s="8" t="s">
        <v>167</v>
      </c>
      <c r="D106" s="8" t="s">
        <v>472</v>
      </c>
      <c r="E106" s="8" t="b">
        <f t="shared" si="14"/>
        <v>0</v>
      </c>
      <c r="F106" s="8">
        <v>216.0</v>
      </c>
    </row>
    <row r="107" ht="15.0" customHeight="1">
      <c r="A107" s="9">
        <v>45964.0</v>
      </c>
      <c r="B107" s="8" t="s">
        <v>131</v>
      </c>
      <c r="C107" s="8" t="s">
        <v>167</v>
      </c>
      <c r="D107" s="8" t="s">
        <v>486</v>
      </c>
      <c r="E107" s="8" t="b">
        <f t="shared" si="14"/>
        <v>0</v>
      </c>
      <c r="F107" s="8">
        <v>216.0</v>
      </c>
    </row>
    <row r="108" ht="15.0" customHeight="1">
      <c r="A108" s="9">
        <v>45964.0</v>
      </c>
      <c r="B108" s="8" t="s">
        <v>501</v>
      </c>
      <c r="C108" s="8" t="s">
        <v>167</v>
      </c>
      <c r="D108" s="8" t="s">
        <v>486</v>
      </c>
      <c r="E108" s="8" t="b">
        <f t="shared" si="14"/>
        <v>0</v>
      </c>
      <c r="F108" s="8">
        <v>216.0</v>
      </c>
    </row>
    <row r="109" ht="15.0" customHeight="1">
      <c r="A109" s="9">
        <v>45964.0</v>
      </c>
      <c r="B109" s="8" t="s">
        <v>303</v>
      </c>
      <c r="C109" s="8" t="s">
        <v>167</v>
      </c>
      <c r="D109" s="8" t="s">
        <v>469</v>
      </c>
      <c r="E109" s="8" t="b">
        <f t="shared" si="14"/>
        <v>0</v>
      </c>
      <c r="F109" s="8">
        <v>216.0</v>
      </c>
    </row>
    <row r="110" ht="15.0" customHeight="1">
      <c r="A110" s="9">
        <v>45964.0</v>
      </c>
      <c r="B110" s="8" t="s">
        <v>521</v>
      </c>
      <c r="C110" s="8" t="s">
        <v>377</v>
      </c>
      <c r="D110" s="8" t="s">
        <v>482</v>
      </c>
      <c r="E110" s="8" t="b">
        <f t="shared" si="14"/>
        <v>0</v>
      </c>
      <c r="F110" s="8">
        <v>216.0</v>
      </c>
    </row>
    <row r="111" ht="15.0" customHeight="1">
      <c r="A111" s="9">
        <v>45964.0</v>
      </c>
      <c r="B111" s="8" t="s">
        <v>521</v>
      </c>
      <c r="C111" s="8" t="s">
        <v>167</v>
      </c>
      <c r="D111" s="8" t="s">
        <v>472</v>
      </c>
      <c r="E111" s="8" t="b">
        <f t="shared" si="14"/>
        <v>0</v>
      </c>
      <c r="F111" s="8">
        <v>216.0</v>
      </c>
    </row>
    <row r="112" ht="15.0" customHeight="1">
      <c r="A112" s="9">
        <v>45964.0</v>
      </c>
      <c r="B112" s="8" t="s">
        <v>522</v>
      </c>
      <c r="C112" s="8" t="s">
        <v>167</v>
      </c>
      <c r="D112" s="8" t="s">
        <v>469</v>
      </c>
      <c r="E112" s="8" t="b">
        <f t="shared" si="14"/>
        <v>0</v>
      </c>
      <c r="F112" s="8">
        <v>216.0</v>
      </c>
    </row>
    <row r="113" ht="15.0" customHeight="1">
      <c r="A113" s="9">
        <v>45964.0</v>
      </c>
      <c r="B113" s="8" t="s">
        <v>506</v>
      </c>
      <c r="C113" s="8" t="s">
        <v>377</v>
      </c>
      <c r="D113" s="8" t="s">
        <v>482</v>
      </c>
      <c r="E113" s="8" t="b">
        <f t="shared" si="14"/>
        <v>0</v>
      </c>
      <c r="F113" s="8">
        <v>216.0</v>
      </c>
    </row>
    <row r="114" ht="15.0" customHeight="1">
      <c r="A114" s="9">
        <v>45964.0</v>
      </c>
      <c r="B114" s="8" t="s">
        <v>506</v>
      </c>
      <c r="C114" s="8" t="s">
        <v>167</v>
      </c>
      <c r="D114" s="8" t="s">
        <v>472</v>
      </c>
      <c r="E114" s="8" t="b">
        <f t="shared" si="14"/>
        <v>0</v>
      </c>
      <c r="F114" s="8">
        <v>216.0</v>
      </c>
    </row>
    <row r="115" ht="15.0" customHeight="1">
      <c r="A115" s="9">
        <v>45964.0</v>
      </c>
      <c r="B115" s="8" t="s">
        <v>526</v>
      </c>
      <c r="C115" s="8" t="s">
        <v>167</v>
      </c>
      <c r="D115" s="8" t="s">
        <v>469</v>
      </c>
      <c r="E115" s="8" t="b">
        <f t="shared" si="14"/>
        <v>0</v>
      </c>
      <c r="F115" s="8">
        <v>216.0</v>
      </c>
    </row>
    <row r="116" ht="15.0" customHeight="1">
      <c r="A116" s="9">
        <v>45964.0</v>
      </c>
      <c r="B116" s="8" t="s">
        <v>197</v>
      </c>
      <c r="C116" s="8" t="s">
        <v>167</v>
      </c>
      <c r="D116" s="8" t="s">
        <v>469</v>
      </c>
      <c r="E116" s="8" t="b">
        <f t="shared" si="14"/>
        <v>0</v>
      </c>
      <c r="F116" s="8">
        <v>216.0</v>
      </c>
    </row>
    <row r="117" ht="15.0" customHeight="1">
      <c r="A117" s="9">
        <v>45964.0</v>
      </c>
      <c r="B117" s="8" t="s">
        <v>202</v>
      </c>
      <c r="C117" s="8" t="s">
        <v>167</v>
      </c>
      <c r="D117" s="8" t="s">
        <v>469</v>
      </c>
      <c r="E117" s="8" t="b">
        <f t="shared" ref="E117:E118" si="15">TRUE()</f>
        <v>1</v>
      </c>
      <c r="F117" s="8">
        <v>216.0</v>
      </c>
    </row>
    <row r="118" ht="15.0" customHeight="1">
      <c r="A118" s="9">
        <v>45964.0</v>
      </c>
      <c r="B118" s="8" t="s">
        <v>219</v>
      </c>
      <c r="C118" s="8" t="s">
        <v>116</v>
      </c>
      <c r="D118" s="8" t="s">
        <v>116</v>
      </c>
      <c r="E118" s="8" t="b">
        <f t="shared" si="15"/>
        <v>1</v>
      </c>
      <c r="F118" s="8">
        <v>216.0</v>
      </c>
    </row>
    <row r="119" ht="15.0" customHeight="1">
      <c r="A119" s="9">
        <v>45971.0</v>
      </c>
      <c r="B119" s="8" t="s">
        <v>468</v>
      </c>
      <c r="C119" s="8" t="s">
        <v>167</v>
      </c>
      <c r="D119" s="8" t="s">
        <v>469</v>
      </c>
      <c r="E119" s="8" t="b">
        <f t="shared" ref="E119:E127" si="16">FALSE()</f>
        <v>0</v>
      </c>
      <c r="F119" s="8">
        <v>209.0</v>
      </c>
    </row>
    <row r="120" ht="15.0" customHeight="1">
      <c r="A120" s="9">
        <v>45971.0</v>
      </c>
      <c r="B120" s="8" t="s">
        <v>477</v>
      </c>
      <c r="C120" s="8" t="s">
        <v>167</v>
      </c>
      <c r="D120" s="8" t="s">
        <v>472</v>
      </c>
      <c r="E120" s="8" t="b">
        <f t="shared" si="16"/>
        <v>0</v>
      </c>
      <c r="F120" s="8">
        <v>209.0</v>
      </c>
    </row>
    <row r="121" ht="15.0" customHeight="1">
      <c r="A121" s="9">
        <v>45971.0</v>
      </c>
      <c r="B121" s="8" t="s">
        <v>553</v>
      </c>
      <c r="C121" s="8" t="s">
        <v>377</v>
      </c>
      <c r="D121" s="8" t="s">
        <v>482</v>
      </c>
      <c r="E121" s="8" t="b">
        <f t="shared" si="16"/>
        <v>0</v>
      </c>
      <c r="F121" s="8">
        <v>209.0</v>
      </c>
    </row>
    <row r="122" ht="15.0" customHeight="1">
      <c r="A122" s="9">
        <v>45971.0</v>
      </c>
      <c r="B122" s="8" t="s">
        <v>415</v>
      </c>
      <c r="C122" s="8" t="s">
        <v>377</v>
      </c>
      <c r="D122" s="8" t="s">
        <v>482</v>
      </c>
      <c r="E122" s="8" t="b">
        <f t="shared" si="16"/>
        <v>0</v>
      </c>
      <c r="F122" s="8">
        <v>209.0</v>
      </c>
    </row>
    <row r="123" ht="15.0" customHeight="1">
      <c r="A123" s="9">
        <v>45971.0</v>
      </c>
      <c r="B123" s="8" t="s">
        <v>207</v>
      </c>
      <c r="C123" s="8" t="s">
        <v>377</v>
      </c>
      <c r="D123" s="8" t="s">
        <v>482</v>
      </c>
      <c r="E123" s="8" t="b">
        <f t="shared" si="16"/>
        <v>0</v>
      </c>
      <c r="F123" s="8">
        <v>209.0</v>
      </c>
    </row>
    <row r="124" ht="15.0" customHeight="1">
      <c r="A124" s="9">
        <v>45971.0</v>
      </c>
      <c r="B124" s="8" t="s">
        <v>207</v>
      </c>
      <c r="C124" s="8" t="s">
        <v>167</v>
      </c>
      <c r="D124" s="8" t="s">
        <v>472</v>
      </c>
      <c r="E124" s="8" t="b">
        <f t="shared" si="16"/>
        <v>0</v>
      </c>
      <c r="F124" s="8">
        <v>209.0</v>
      </c>
    </row>
    <row r="125" ht="15.0" customHeight="1">
      <c r="A125" s="9">
        <v>45971.0</v>
      </c>
      <c r="B125" s="8" t="s">
        <v>34</v>
      </c>
      <c r="C125" s="8" t="s">
        <v>167</v>
      </c>
      <c r="D125" s="8" t="s">
        <v>469</v>
      </c>
      <c r="E125" s="8" t="b">
        <f t="shared" si="16"/>
        <v>0</v>
      </c>
      <c r="F125" s="8">
        <v>209.0</v>
      </c>
    </row>
    <row r="126" ht="15.0" customHeight="1">
      <c r="A126" s="9">
        <v>45971.0</v>
      </c>
      <c r="B126" s="8" t="s">
        <v>480</v>
      </c>
      <c r="C126" s="8" t="s">
        <v>167</v>
      </c>
      <c r="D126" s="8" t="s">
        <v>472</v>
      </c>
      <c r="E126" s="8" t="b">
        <f t="shared" si="16"/>
        <v>0</v>
      </c>
      <c r="F126" s="8">
        <v>209.0</v>
      </c>
    </row>
    <row r="127" ht="15.0" customHeight="1">
      <c r="A127" s="9">
        <v>45971.0</v>
      </c>
      <c r="B127" s="8" t="s">
        <v>481</v>
      </c>
      <c r="C127" s="8" t="s">
        <v>167</v>
      </c>
      <c r="D127" s="8" t="s">
        <v>486</v>
      </c>
      <c r="E127" s="8" t="b">
        <f t="shared" si="16"/>
        <v>0</v>
      </c>
      <c r="F127" s="8">
        <v>209.0</v>
      </c>
    </row>
    <row r="128" ht="15.0" customHeight="1">
      <c r="A128" s="9">
        <v>45971.0</v>
      </c>
      <c r="B128" s="8" t="s">
        <v>78</v>
      </c>
      <c r="C128" s="8" t="s">
        <v>313</v>
      </c>
      <c r="D128" s="8" t="s">
        <v>313</v>
      </c>
      <c r="E128" s="8" t="b">
        <f t="shared" ref="E128:E130" si="17">TRUE()</f>
        <v>1</v>
      </c>
      <c r="F128" s="8">
        <v>209.0</v>
      </c>
    </row>
    <row r="129" ht="15.0" customHeight="1">
      <c r="A129" s="9">
        <v>45971.0</v>
      </c>
      <c r="B129" s="8" t="s">
        <v>92</v>
      </c>
      <c r="C129" s="8" t="s">
        <v>428</v>
      </c>
      <c r="D129" s="8" t="s">
        <v>428</v>
      </c>
      <c r="E129" s="8" t="b">
        <f t="shared" si="17"/>
        <v>1</v>
      </c>
      <c r="F129" s="8">
        <v>209.0</v>
      </c>
    </row>
    <row r="130" ht="15.0" customHeight="1">
      <c r="A130" s="9">
        <v>45971.0</v>
      </c>
      <c r="B130" s="8" t="s">
        <v>212</v>
      </c>
      <c r="C130" s="8" t="s">
        <v>116</v>
      </c>
      <c r="D130" s="8" t="s">
        <v>116</v>
      </c>
      <c r="E130" s="8" t="b">
        <f t="shared" si="17"/>
        <v>1</v>
      </c>
      <c r="F130" s="8">
        <v>209.0</v>
      </c>
    </row>
    <row r="131" ht="15.0" customHeight="1">
      <c r="A131" s="9">
        <v>45971.0</v>
      </c>
      <c r="B131" s="8" t="s">
        <v>493</v>
      </c>
      <c r="C131" s="8" t="s">
        <v>167</v>
      </c>
      <c r="D131" s="8" t="s">
        <v>472</v>
      </c>
      <c r="E131" s="8" t="b">
        <f t="shared" ref="E131:E145" si="18">FALSE()</f>
        <v>0</v>
      </c>
      <c r="F131" s="8">
        <v>209.0</v>
      </c>
    </row>
    <row r="132" ht="15.0" customHeight="1">
      <c r="A132" s="9">
        <v>45971.0</v>
      </c>
      <c r="B132" s="8" t="s">
        <v>517</v>
      </c>
      <c r="C132" s="8" t="s">
        <v>167</v>
      </c>
      <c r="D132" s="8" t="s">
        <v>472</v>
      </c>
      <c r="E132" s="8" t="b">
        <f t="shared" si="18"/>
        <v>0</v>
      </c>
      <c r="F132" s="8">
        <v>209.0</v>
      </c>
    </row>
    <row r="133" ht="15.0" customHeight="1">
      <c r="A133" s="9">
        <v>45971.0</v>
      </c>
      <c r="B133" s="8" t="s">
        <v>284</v>
      </c>
      <c r="C133" s="8" t="s">
        <v>167</v>
      </c>
      <c r="D133" s="8" t="s">
        <v>486</v>
      </c>
      <c r="E133" s="8" t="b">
        <f t="shared" si="18"/>
        <v>0</v>
      </c>
      <c r="F133" s="8">
        <v>209.0</v>
      </c>
    </row>
    <row r="134" ht="15.0" customHeight="1">
      <c r="A134" s="9">
        <v>45971.0</v>
      </c>
      <c r="B134" s="8" t="s">
        <v>546</v>
      </c>
      <c r="C134" s="8" t="s">
        <v>167</v>
      </c>
      <c r="D134" s="8" t="s">
        <v>469</v>
      </c>
      <c r="E134" s="8" t="b">
        <f t="shared" si="18"/>
        <v>0</v>
      </c>
      <c r="F134" s="8">
        <v>209.0</v>
      </c>
    </row>
    <row r="135" ht="15.0" customHeight="1">
      <c r="A135" s="9">
        <v>45971.0</v>
      </c>
      <c r="B135" s="8" t="s">
        <v>289</v>
      </c>
      <c r="C135" s="8" t="s">
        <v>167</v>
      </c>
      <c r="D135" s="8" t="s">
        <v>486</v>
      </c>
      <c r="E135" s="8" t="b">
        <f t="shared" si="18"/>
        <v>0</v>
      </c>
      <c r="F135" s="8">
        <v>209.0</v>
      </c>
    </row>
    <row r="136" ht="15.0" customHeight="1">
      <c r="A136" s="9">
        <v>45971.0</v>
      </c>
      <c r="B136" s="8" t="s">
        <v>496</v>
      </c>
      <c r="C136" s="8" t="s">
        <v>167</v>
      </c>
      <c r="D136" s="8" t="s">
        <v>486</v>
      </c>
      <c r="E136" s="8" t="b">
        <f t="shared" si="18"/>
        <v>0</v>
      </c>
      <c r="F136" s="8">
        <v>209.0</v>
      </c>
    </row>
    <row r="137" ht="15.0" customHeight="1">
      <c r="A137" s="9">
        <v>45971.0</v>
      </c>
      <c r="B137" s="8" t="s">
        <v>559</v>
      </c>
      <c r="C137" s="8" t="s">
        <v>377</v>
      </c>
      <c r="D137" s="8" t="s">
        <v>482</v>
      </c>
      <c r="E137" s="8" t="b">
        <f t="shared" si="18"/>
        <v>0</v>
      </c>
      <c r="F137" s="8">
        <v>209.0</v>
      </c>
    </row>
    <row r="138" ht="15.0" customHeight="1">
      <c r="A138" s="9">
        <v>45971.0</v>
      </c>
      <c r="B138" s="8" t="s">
        <v>559</v>
      </c>
      <c r="C138" s="8" t="s">
        <v>167</v>
      </c>
      <c r="D138" s="8" t="s">
        <v>472</v>
      </c>
      <c r="E138" s="8" t="b">
        <f t="shared" si="18"/>
        <v>0</v>
      </c>
      <c r="F138" s="8">
        <v>209.0</v>
      </c>
    </row>
    <row r="139" ht="15.0" customHeight="1">
      <c r="A139" s="9">
        <v>45971.0</v>
      </c>
      <c r="B139" s="8" t="s">
        <v>131</v>
      </c>
      <c r="C139" s="8" t="s">
        <v>167</v>
      </c>
      <c r="D139" s="8" t="s">
        <v>486</v>
      </c>
      <c r="E139" s="8" t="b">
        <f t="shared" si="18"/>
        <v>0</v>
      </c>
      <c r="F139" s="8">
        <v>209.0</v>
      </c>
    </row>
    <row r="140" ht="15.0" customHeight="1">
      <c r="A140" s="9">
        <v>45971.0</v>
      </c>
      <c r="B140" s="8" t="s">
        <v>501</v>
      </c>
      <c r="C140" s="8" t="s">
        <v>167</v>
      </c>
      <c r="D140" s="8" t="s">
        <v>486</v>
      </c>
      <c r="E140" s="8" t="b">
        <f t="shared" si="18"/>
        <v>0</v>
      </c>
      <c r="F140" s="8">
        <v>209.0</v>
      </c>
    </row>
    <row r="141" ht="15.0" customHeight="1">
      <c r="A141" s="9">
        <v>45971.0</v>
      </c>
      <c r="B141" s="8" t="s">
        <v>502</v>
      </c>
      <c r="C141" s="8" t="s">
        <v>167</v>
      </c>
      <c r="D141" s="8" t="s">
        <v>469</v>
      </c>
      <c r="E141" s="8" t="b">
        <f t="shared" si="18"/>
        <v>0</v>
      </c>
      <c r="F141" s="8">
        <v>209.0</v>
      </c>
    </row>
    <row r="142" ht="15.0" customHeight="1">
      <c r="A142" s="9">
        <v>45971.0</v>
      </c>
      <c r="B142" s="8" t="s">
        <v>563</v>
      </c>
      <c r="C142" s="8" t="s">
        <v>377</v>
      </c>
      <c r="D142" s="8" t="s">
        <v>482</v>
      </c>
      <c r="E142" s="8" t="b">
        <f t="shared" si="18"/>
        <v>0</v>
      </c>
      <c r="F142" s="8">
        <v>209.0</v>
      </c>
    </row>
    <row r="143" ht="15.0" customHeight="1">
      <c r="A143" s="9">
        <v>45971.0</v>
      </c>
      <c r="B143" s="8" t="s">
        <v>564</v>
      </c>
      <c r="C143" s="8" t="s">
        <v>167</v>
      </c>
      <c r="D143" s="8" t="s">
        <v>486</v>
      </c>
      <c r="E143" s="8" t="b">
        <f t="shared" si="18"/>
        <v>0</v>
      </c>
      <c r="F143" s="8">
        <v>209.0</v>
      </c>
    </row>
    <row r="144" ht="15.0" customHeight="1">
      <c r="A144" s="9">
        <v>45971.0</v>
      </c>
      <c r="B144" s="8" t="s">
        <v>565</v>
      </c>
      <c r="C144" s="8" t="s">
        <v>167</v>
      </c>
      <c r="D144" s="8" t="s">
        <v>469</v>
      </c>
      <c r="E144" s="8" t="b">
        <f t="shared" si="18"/>
        <v>0</v>
      </c>
      <c r="F144" s="8">
        <v>209.0</v>
      </c>
    </row>
    <row r="145" ht="15.0" customHeight="1">
      <c r="A145" s="9">
        <v>45971.0</v>
      </c>
      <c r="B145" s="8" t="s">
        <v>197</v>
      </c>
      <c r="C145" s="8" t="s">
        <v>167</v>
      </c>
      <c r="D145" s="8" t="s">
        <v>469</v>
      </c>
      <c r="E145" s="8" t="b">
        <f t="shared" si="18"/>
        <v>0</v>
      </c>
      <c r="F145" s="8">
        <v>209.0</v>
      </c>
    </row>
    <row r="146" ht="15.0" customHeight="1">
      <c r="A146" s="9">
        <v>45971.0</v>
      </c>
      <c r="B146" s="8" t="s">
        <v>202</v>
      </c>
      <c r="C146" s="8" t="s">
        <v>167</v>
      </c>
      <c r="D146" s="8" t="s">
        <v>469</v>
      </c>
      <c r="E146" s="8" t="b">
        <f>TRUE()</f>
        <v>1</v>
      </c>
      <c r="F146" s="8">
        <v>209.0</v>
      </c>
    </row>
    <row r="147" ht="15.0" customHeight="1">
      <c r="A147" s="9">
        <v>45971.0</v>
      </c>
      <c r="B147" s="8" t="s">
        <v>569</v>
      </c>
      <c r="C147" s="8" t="s">
        <v>167</v>
      </c>
      <c r="D147" s="8" t="s">
        <v>472</v>
      </c>
      <c r="E147" s="8" t="b">
        <f t="shared" ref="E147:E157" si="19">FALSE()</f>
        <v>0</v>
      </c>
      <c r="F147" s="8">
        <v>209.0</v>
      </c>
    </row>
    <row r="148" ht="15.0" customHeight="1">
      <c r="A148" s="9">
        <v>45978.0</v>
      </c>
      <c r="B148" s="8" t="s">
        <v>468</v>
      </c>
      <c r="C148" s="8" t="s">
        <v>167</v>
      </c>
      <c r="D148" s="8" t="s">
        <v>469</v>
      </c>
      <c r="E148" s="8" t="b">
        <f t="shared" si="19"/>
        <v>0</v>
      </c>
      <c r="F148" s="8">
        <v>208.0</v>
      </c>
    </row>
    <row r="149" ht="15.0" customHeight="1">
      <c r="A149" s="9">
        <v>45978.0</v>
      </c>
      <c r="B149" s="8" t="s">
        <v>477</v>
      </c>
      <c r="C149" s="8" t="s">
        <v>167</v>
      </c>
      <c r="D149" s="8" t="s">
        <v>472</v>
      </c>
      <c r="E149" s="8" t="b">
        <f t="shared" si="19"/>
        <v>0</v>
      </c>
      <c r="F149" s="8">
        <v>208.0</v>
      </c>
    </row>
    <row r="150" ht="15.0" customHeight="1">
      <c r="A150" s="9">
        <v>45978.0</v>
      </c>
      <c r="B150" s="8" t="s">
        <v>570</v>
      </c>
      <c r="C150" s="8" t="s">
        <v>167</v>
      </c>
      <c r="D150" s="8" t="s">
        <v>486</v>
      </c>
      <c r="E150" s="8" t="b">
        <f t="shared" si="19"/>
        <v>0</v>
      </c>
      <c r="F150" s="8">
        <v>208.0</v>
      </c>
    </row>
    <row r="151" ht="15.0" customHeight="1">
      <c r="A151" s="9">
        <v>45978.0</v>
      </c>
      <c r="B151" s="8" t="s">
        <v>207</v>
      </c>
      <c r="C151" s="8" t="s">
        <v>377</v>
      </c>
      <c r="D151" s="8" t="s">
        <v>482</v>
      </c>
      <c r="E151" s="8" t="b">
        <f t="shared" si="19"/>
        <v>0</v>
      </c>
      <c r="F151" s="8">
        <v>208.0</v>
      </c>
    </row>
    <row r="152" ht="15.0" customHeight="1">
      <c r="A152" s="9">
        <v>45978.0</v>
      </c>
      <c r="B152" s="8" t="s">
        <v>207</v>
      </c>
      <c r="C152" s="8" t="s">
        <v>167</v>
      </c>
      <c r="D152" s="8" t="s">
        <v>472</v>
      </c>
      <c r="E152" s="8" t="b">
        <f t="shared" si="19"/>
        <v>0</v>
      </c>
      <c r="F152" s="8">
        <v>208.0</v>
      </c>
    </row>
    <row r="153" ht="15.0" customHeight="1">
      <c r="A153" s="9">
        <v>45978.0</v>
      </c>
      <c r="B153" s="8" t="s">
        <v>34</v>
      </c>
      <c r="C153" s="8" t="s">
        <v>167</v>
      </c>
      <c r="D153" s="8" t="s">
        <v>469</v>
      </c>
      <c r="E153" s="8" t="b">
        <f t="shared" si="19"/>
        <v>0</v>
      </c>
      <c r="F153" s="8">
        <v>208.0</v>
      </c>
    </row>
    <row r="154" ht="15.0" customHeight="1">
      <c r="A154" s="9">
        <v>45978.0</v>
      </c>
      <c r="B154" s="8" t="s">
        <v>480</v>
      </c>
      <c r="C154" s="8" t="s">
        <v>167</v>
      </c>
      <c r="D154" s="8" t="s">
        <v>472</v>
      </c>
      <c r="E154" s="8" t="b">
        <f t="shared" si="19"/>
        <v>0</v>
      </c>
      <c r="F154" s="8">
        <v>208.0</v>
      </c>
    </row>
    <row r="155" ht="15.0" customHeight="1">
      <c r="A155" s="9">
        <v>45978.0</v>
      </c>
      <c r="B155" s="8" t="s">
        <v>481</v>
      </c>
      <c r="C155" s="8" t="s">
        <v>167</v>
      </c>
      <c r="D155" s="8" t="s">
        <v>486</v>
      </c>
      <c r="E155" s="8" t="b">
        <f t="shared" si="19"/>
        <v>0</v>
      </c>
      <c r="F155" s="8">
        <v>208.0</v>
      </c>
    </row>
    <row r="156" ht="15.0" customHeight="1">
      <c r="A156" s="9">
        <v>45978.0</v>
      </c>
      <c r="B156" s="8" t="s">
        <v>250</v>
      </c>
      <c r="C156" s="8" t="s">
        <v>167</v>
      </c>
      <c r="D156" s="8" t="s">
        <v>486</v>
      </c>
      <c r="E156" s="8" t="b">
        <f t="shared" si="19"/>
        <v>0</v>
      </c>
      <c r="F156" s="8">
        <v>208.0</v>
      </c>
    </row>
    <row r="157" ht="15.0" customHeight="1">
      <c r="A157" s="9">
        <v>45978.0</v>
      </c>
      <c r="B157" s="8" t="s">
        <v>78</v>
      </c>
      <c r="C157" s="8" t="s">
        <v>313</v>
      </c>
      <c r="D157" s="8" t="s">
        <v>313</v>
      </c>
      <c r="E157" s="8" t="b">
        <f t="shared" si="19"/>
        <v>0</v>
      </c>
      <c r="F157" s="8">
        <v>208.0</v>
      </c>
    </row>
    <row r="158" ht="15.0" customHeight="1">
      <c r="A158" s="9">
        <v>45978.0</v>
      </c>
      <c r="B158" s="8" t="s">
        <v>92</v>
      </c>
      <c r="C158" s="8" t="s">
        <v>428</v>
      </c>
      <c r="D158" s="8" t="s">
        <v>428</v>
      </c>
      <c r="E158" s="8" t="b">
        <f>TRUE()</f>
        <v>1</v>
      </c>
      <c r="F158" s="8">
        <v>208.0</v>
      </c>
    </row>
    <row r="159" ht="15.0" customHeight="1">
      <c r="A159" s="9">
        <v>45978.0</v>
      </c>
      <c r="B159" s="8" t="s">
        <v>574</v>
      </c>
      <c r="C159" s="8" t="s">
        <v>167</v>
      </c>
      <c r="D159" s="8" t="s">
        <v>486</v>
      </c>
      <c r="E159" s="8" t="b">
        <f t="shared" ref="E159:E174" si="20">FALSE()</f>
        <v>0</v>
      </c>
      <c r="F159" s="8">
        <v>208.0</v>
      </c>
    </row>
    <row r="160" ht="15.0" customHeight="1">
      <c r="A160" s="9">
        <v>45978.0</v>
      </c>
      <c r="B160" s="8" t="s">
        <v>493</v>
      </c>
      <c r="C160" s="8" t="s">
        <v>167</v>
      </c>
      <c r="D160" s="8" t="s">
        <v>472</v>
      </c>
      <c r="E160" s="8" t="b">
        <f t="shared" si="20"/>
        <v>0</v>
      </c>
      <c r="F160" s="8">
        <v>208.0</v>
      </c>
    </row>
    <row r="161" ht="15.0" customHeight="1">
      <c r="A161" s="9">
        <v>45978.0</v>
      </c>
      <c r="B161" s="8" t="s">
        <v>577</v>
      </c>
      <c r="C161" s="8" t="s">
        <v>167</v>
      </c>
      <c r="D161" s="8" t="s">
        <v>472</v>
      </c>
      <c r="E161" s="8" t="b">
        <f t="shared" si="20"/>
        <v>0</v>
      </c>
      <c r="F161" s="8">
        <v>208.0</v>
      </c>
    </row>
    <row r="162" ht="15.0" customHeight="1">
      <c r="A162" s="9">
        <v>45978.0</v>
      </c>
      <c r="B162" s="8" t="s">
        <v>580</v>
      </c>
      <c r="C162" s="8" t="s">
        <v>435</v>
      </c>
      <c r="D162" s="8" t="s">
        <v>581</v>
      </c>
      <c r="E162" s="8" t="b">
        <f t="shared" si="20"/>
        <v>0</v>
      </c>
      <c r="F162" s="8">
        <v>208.0</v>
      </c>
    </row>
    <row r="163" ht="15.0" customHeight="1">
      <c r="A163" s="9">
        <v>45978.0</v>
      </c>
      <c r="B163" s="8" t="s">
        <v>289</v>
      </c>
      <c r="C163" s="8" t="s">
        <v>167</v>
      </c>
      <c r="D163" s="8" t="s">
        <v>486</v>
      </c>
      <c r="E163" s="8" t="b">
        <f t="shared" si="20"/>
        <v>0</v>
      </c>
      <c r="F163" s="8">
        <v>208.0</v>
      </c>
    </row>
    <row r="164" ht="15.0" customHeight="1">
      <c r="A164" s="9">
        <v>45978.0</v>
      </c>
      <c r="B164" s="8" t="s">
        <v>582</v>
      </c>
      <c r="C164" s="8" t="s">
        <v>167</v>
      </c>
      <c r="D164" s="8" t="s">
        <v>486</v>
      </c>
      <c r="E164" s="8" t="b">
        <f t="shared" si="20"/>
        <v>0</v>
      </c>
      <c r="F164" s="8">
        <v>208.0</v>
      </c>
    </row>
    <row r="165" ht="15.0" customHeight="1">
      <c r="A165" s="9">
        <v>45978.0</v>
      </c>
      <c r="B165" s="8" t="s">
        <v>559</v>
      </c>
      <c r="C165" s="8" t="s">
        <v>377</v>
      </c>
      <c r="D165" s="8" t="s">
        <v>482</v>
      </c>
      <c r="E165" s="8" t="b">
        <f t="shared" si="20"/>
        <v>0</v>
      </c>
      <c r="F165" s="8">
        <v>208.0</v>
      </c>
    </row>
    <row r="166" ht="15.0" customHeight="1">
      <c r="A166" s="9">
        <v>45978.0</v>
      </c>
      <c r="B166" s="8" t="s">
        <v>559</v>
      </c>
      <c r="C166" s="8" t="s">
        <v>167</v>
      </c>
      <c r="D166" s="8" t="s">
        <v>472</v>
      </c>
      <c r="E166" s="8" t="b">
        <f t="shared" si="20"/>
        <v>0</v>
      </c>
      <c r="F166" s="8">
        <v>208.0</v>
      </c>
    </row>
    <row r="167" ht="15.0" customHeight="1">
      <c r="A167" s="9">
        <v>45978.0</v>
      </c>
      <c r="B167" s="8" t="s">
        <v>131</v>
      </c>
      <c r="C167" s="8" t="s">
        <v>313</v>
      </c>
      <c r="D167" s="8" t="s">
        <v>313</v>
      </c>
      <c r="E167" s="8" t="b">
        <f t="shared" si="20"/>
        <v>0</v>
      </c>
      <c r="F167" s="8">
        <v>208.0</v>
      </c>
    </row>
    <row r="168" ht="15.0" customHeight="1">
      <c r="A168" s="9">
        <v>45978.0</v>
      </c>
      <c r="B168" s="8" t="s">
        <v>501</v>
      </c>
      <c r="C168" s="8" t="s">
        <v>167</v>
      </c>
      <c r="D168" s="8" t="s">
        <v>486</v>
      </c>
      <c r="E168" s="8" t="b">
        <f t="shared" si="20"/>
        <v>0</v>
      </c>
      <c r="F168" s="8">
        <v>208.0</v>
      </c>
    </row>
    <row r="169" ht="15.0" customHeight="1">
      <c r="A169" s="9">
        <v>45978.0</v>
      </c>
      <c r="B169" s="8" t="s">
        <v>586</v>
      </c>
      <c r="C169" s="8" t="s">
        <v>167</v>
      </c>
      <c r="D169" s="8" t="s">
        <v>472</v>
      </c>
      <c r="E169" s="8" t="b">
        <f t="shared" si="20"/>
        <v>0</v>
      </c>
      <c r="F169" s="8">
        <v>208.0</v>
      </c>
    </row>
    <row r="170" ht="15.0" customHeight="1">
      <c r="A170" s="9">
        <v>45978.0</v>
      </c>
      <c r="B170" s="8" t="s">
        <v>502</v>
      </c>
      <c r="C170" s="8" t="s">
        <v>167</v>
      </c>
      <c r="D170" s="8" t="s">
        <v>469</v>
      </c>
      <c r="E170" s="8" t="b">
        <f t="shared" si="20"/>
        <v>0</v>
      </c>
      <c r="F170" s="8">
        <v>208.0</v>
      </c>
    </row>
    <row r="171" ht="15.0" customHeight="1">
      <c r="A171" s="9">
        <v>45978.0</v>
      </c>
      <c r="B171" s="8" t="s">
        <v>563</v>
      </c>
      <c r="C171" s="8" t="s">
        <v>167</v>
      </c>
      <c r="D171" s="8" t="s">
        <v>469</v>
      </c>
      <c r="E171" s="8" t="b">
        <f t="shared" si="20"/>
        <v>0</v>
      </c>
      <c r="F171" s="8">
        <v>208.0</v>
      </c>
    </row>
    <row r="172" ht="15.0" customHeight="1">
      <c r="A172" s="9">
        <v>45978.0</v>
      </c>
      <c r="B172" s="8" t="s">
        <v>564</v>
      </c>
      <c r="C172" s="8" t="s">
        <v>167</v>
      </c>
      <c r="D172" s="8" t="s">
        <v>486</v>
      </c>
      <c r="E172" s="8" t="b">
        <f t="shared" si="20"/>
        <v>0</v>
      </c>
      <c r="F172" s="8">
        <v>208.0</v>
      </c>
    </row>
    <row r="173" ht="15.0" customHeight="1">
      <c r="A173" s="9">
        <v>45978.0</v>
      </c>
      <c r="B173" s="8" t="s">
        <v>197</v>
      </c>
      <c r="C173" s="8" t="s">
        <v>167</v>
      </c>
      <c r="D173" s="8" t="s">
        <v>469</v>
      </c>
      <c r="E173" s="8" t="b">
        <f t="shared" si="20"/>
        <v>0</v>
      </c>
      <c r="F173" s="8">
        <v>208.0</v>
      </c>
    </row>
    <row r="174" ht="15.0" customHeight="1">
      <c r="A174" s="9">
        <v>45978.0</v>
      </c>
      <c r="B174" s="8" t="s">
        <v>587</v>
      </c>
      <c r="C174" s="8" t="s">
        <v>377</v>
      </c>
      <c r="D174" s="8" t="s">
        <v>482</v>
      </c>
      <c r="E174" s="8" t="b">
        <f t="shared" si="20"/>
        <v>0</v>
      </c>
      <c r="F174" s="8">
        <v>208.0</v>
      </c>
    </row>
    <row r="175" ht="15.0" customHeight="1">
      <c r="A175" s="9">
        <v>45978.0</v>
      </c>
      <c r="B175" s="8" t="s">
        <v>202</v>
      </c>
      <c r="C175" s="8" t="s">
        <v>116</v>
      </c>
      <c r="D175" s="8" t="s">
        <v>116</v>
      </c>
      <c r="E175" s="8" t="b">
        <f>TRUE()</f>
        <v>1</v>
      </c>
      <c r="F175" s="8">
        <v>208.0</v>
      </c>
    </row>
    <row r="176" ht="15.0" customHeight="1">
      <c r="A176" s="9">
        <v>45978.0</v>
      </c>
      <c r="B176" s="8" t="s">
        <v>569</v>
      </c>
      <c r="C176" s="8" t="s">
        <v>167</v>
      </c>
      <c r="D176" s="8" t="s">
        <v>472</v>
      </c>
      <c r="E176" s="8" t="b">
        <f t="shared" ref="E176:E181" si="21">FALSE()</f>
        <v>0</v>
      </c>
      <c r="F176" s="8">
        <v>208.0</v>
      </c>
    </row>
    <row r="177" ht="15.0" customHeight="1">
      <c r="A177" s="9">
        <v>45985.0</v>
      </c>
      <c r="B177" s="8" t="s">
        <v>468</v>
      </c>
      <c r="C177" s="8" t="s">
        <v>167</v>
      </c>
      <c r="D177" s="8" t="s">
        <v>469</v>
      </c>
      <c r="E177" s="8" t="b">
        <f t="shared" si="21"/>
        <v>0</v>
      </c>
      <c r="F177" s="8">
        <v>192.0</v>
      </c>
    </row>
    <row r="178" ht="15.0" customHeight="1">
      <c r="A178" s="9">
        <v>45985.0</v>
      </c>
      <c r="B178" s="8" t="s">
        <v>477</v>
      </c>
      <c r="C178" s="8" t="s">
        <v>167</v>
      </c>
      <c r="D178" s="8" t="s">
        <v>472</v>
      </c>
      <c r="E178" s="8" t="b">
        <f t="shared" si="21"/>
        <v>0</v>
      </c>
      <c r="F178" s="8">
        <v>192.0</v>
      </c>
    </row>
    <row r="179" ht="15.0" customHeight="1">
      <c r="A179" s="9">
        <v>45985.0</v>
      </c>
      <c r="B179" s="8" t="s">
        <v>590</v>
      </c>
      <c r="C179" s="8" t="s">
        <v>377</v>
      </c>
      <c r="D179" s="8" t="s">
        <v>482</v>
      </c>
      <c r="E179" s="8" t="b">
        <f t="shared" si="21"/>
        <v>0</v>
      </c>
      <c r="F179" s="8">
        <v>192.0</v>
      </c>
    </row>
    <row r="180" ht="15.0" customHeight="1">
      <c r="A180" s="9">
        <v>45985.0</v>
      </c>
      <c r="B180" s="8" t="s">
        <v>570</v>
      </c>
      <c r="C180" s="8" t="s">
        <v>167</v>
      </c>
      <c r="D180" s="8" t="s">
        <v>486</v>
      </c>
      <c r="E180" s="8" t="b">
        <f t="shared" si="21"/>
        <v>0</v>
      </c>
      <c r="F180" s="8">
        <v>192.0</v>
      </c>
    </row>
    <row r="181" ht="15.0" customHeight="1">
      <c r="A181" s="9">
        <v>45985.0</v>
      </c>
      <c r="B181" s="8" t="s">
        <v>207</v>
      </c>
      <c r="C181" s="8" t="s">
        <v>377</v>
      </c>
      <c r="D181" s="8" t="s">
        <v>482</v>
      </c>
      <c r="E181" s="8" t="b">
        <f t="shared" si="21"/>
        <v>0</v>
      </c>
      <c r="F181" s="8">
        <v>192.0</v>
      </c>
    </row>
    <row r="182" ht="15.0" customHeight="1">
      <c r="A182" s="9">
        <v>45985.0</v>
      </c>
      <c r="B182" s="8" t="s">
        <v>207</v>
      </c>
      <c r="C182" s="8" t="s">
        <v>167</v>
      </c>
      <c r="D182" s="8" t="s">
        <v>472</v>
      </c>
      <c r="E182" s="8" t="b">
        <f t="shared" ref="E182:E183" si="22">TRUE()</f>
        <v>1</v>
      </c>
      <c r="F182" s="8">
        <v>192.0</v>
      </c>
    </row>
    <row r="183" ht="15.0" customHeight="1">
      <c r="A183" s="9">
        <v>45985.0</v>
      </c>
      <c r="B183" s="8" t="s">
        <v>34</v>
      </c>
      <c r="C183" s="8" t="s">
        <v>116</v>
      </c>
      <c r="D183" s="8" t="s">
        <v>116</v>
      </c>
      <c r="E183" s="8" t="b">
        <f t="shared" si="22"/>
        <v>1</v>
      </c>
      <c r="F183" s="8">
        <v>192.0</v>
      </c>
    </row>
    <row r="184" ht="15.0" customHeight="1">
      <c r="A184" s="9">
        <v>45985.0</v>
      </c>
      <c r="B184" s="8" t="s">
        <v>481</v>
      </c>
      <c r="C184" s="8" t="s">
        <v>377</v>
      </c>
      <c r="D184" s="8" t="s">
        <v>482</v>
      </c>
      <c r="E184" s="8" t="b">
        <f t="shared" ref="E184:E187" si="23">FALSE()</f>
        <v>0</v>
      </c>
      <c r="F184" s="8">
        <v>192.0</v>
      </c>
    </row>
    <row r="185" ht="15.0" customHeight="1">
      <c r="A185" s="9">
        <v>45985.0</v>
      </c>
      <c r="B185" s="8" t="s">
        <v>481</v>
      </c>
      <c r="C185" s="8" t="s">
        <v>167</v>
      </c>
      <c r="D185" s="8" t="s">
        <v>486</v>
      </c>
      <c r="E185" s="8" t="b">
        <f t="shared" si="23"/>
        <v>0</v>
      </c>
      <c r="F185" s="8">
        <v>192.0</v>
      </c>
    </row>
    <row r="186" ht="15.0" customHeight="1">
      <c r="A186" s="9">
        <v>45985.0</v>
      </c>
      <c r="B186" s="8" t="s">
        <v>250</v>
      </c>
      <c r="C186" s="8" t="s">
        <v>167</v>
      </c>
      <c r="D186" s="8" t="s">
        <v>486</v>
      </c>
      <c r="E186" s="8" t="b">
        <f t="shared" si="23"/>
        <v>0</v>
      </c>
      <c r="F186" s="8">
        <v>192.0</v>
      </c>
    </row>
    <row r="187" ht="15.0" customHeight="1">
      <c r="A187" s="9">
        <v>45985.0</v>
      </c>
      <c r="B187" s="8" t="s">
        <v>78</v>
      </c>
      <c r="C187" s="8" t="s">
        <v>313</v>
      </c>
      <c r="D187" s="8" t="s">
        <v>313</v>
      </c>
      <c r="E187" s="8" t="b">
        <f t="shared" si="23"/>
        <v>0</v>
      </c>
      <c r="F187" s="8">
        <v>192.0</v>
      </c>
    </row>
    <row r="188" ht="15.0" customHeight="1">
      <c r="A188" s="9">
        <v>45985.0</v>
      </c>
      <c r="B188" s="8" t="s">
        <v>92</v>
      </c>
      <c r="C188" s="8" t="s">
        <v>428</v>
      </c>
      <c r="D188" s="8" t="s">
        <v>428</v>
      </c>
      <c r="E188" s="8" t="b">
        <f>TRUE()</f>
        <v>1</v>
      </c>
      <c r="F188" s="8">
        <v>192.0</v>
      </c>
    </row>
    <row r="189" ht="15.0" customHeight="1">
      <c r="A189" s="9">
        <v>45985.0</v>
      </c>
      <c r="B189" s="8" t="s">
        <v>574</v>
      </c>
      <c r="C189" s="8" t="s">
        <v>167</v>
      </c>
      <c r="D189" s="8" t="s">
        <v>486</v>
      </c>
      <c r="E189" s="8" t="b">
        <f t="shared" ref="E189:E204" si="24">FALSE()</f>
        <v>0</v>
      </c>
      <c r="F189" s="8">
        <v>192.0</v>
      </c>
    </row>
    <row r="190" ht="15.0" customHeight="1">
      <c r="A190" s="9">
        <v>45985.0</v>
      </c>
      <c r="B190" s="8" t="s">
        <v>493</v>
      </c>
      <c r="C190" s="8" t="s">
        <v>167</v>
      </c>
      <c r="D190" s="8" t="s">
        <v>472</v>
      </c>
      <c r="E190" s="8" t="b">
        <f t="shared" si="24"/>
        <v>0</v>
      </c>
      <c r="F190" s="8">
        <v>192.0</v>
      </c>
    </row>
    <row r="191" ht="15.0" customHeight="1">
      <c r="A191" s="9">
        <v>45985.0</v>
      </c>
      <c r="B191" s="8" t="s">
        <v>577</v>
      </c>
      <c r="C191" s="8" t="s">
        <v>167</v>
      </c>
      <c r="D191" s="8" t="s">
        <v>472</v>
      </c>
      <c r="E191" s="8" t="b">
        <f t="shared" si="24"/>
        <v>0</v>
      </c>
      <c r="F191" s="8">
        <v>192.0</v>
      </c>
    </row>
    <row r="192" ht="15.0" customHeight="1">
      <c r="A192" s="9">
        <v>45985.0</v>
      </c>
      <c r="B192" s="8" t="s">
        <v>580</v>
      </c>
      <c r="C192" s="8" t="s">
        <v>435</v>
      </c>
      <c r="D192" s="8" t="s">
        <v>581</v>
      </c>
      <c r="E192" s="8" t="b">
        <f t="shared" si="24"/>
        <v>0</v>
      </c>
      <c r="F192" s="8">
        <v>192.0</v>
      </c>
    </row>
    <row r="193" ht="15.0" customHeight="1">
      <c r="A193" s="9">
        <v>45985.0</v>
      </c>
      <c r="B193" s="8" t="s">
        <v>289</v>
      </c>
      <c r="C193" s="8" t="s">
        <v>167</v>
      </c>
      <c r="D193" s="8" t="s">
        <v>486</v>
      </c>
      <c r="E193" s="8" t="b">
        <f t="shared" si="24"/>
        <v>0</v>
      </c>
      <c r="F193" s="8">
        <v>192.0</v>
      </c>
    </row>
    <row r="194" ht="15.0" customHeight="1">
      <c r="A194" s="9">
        <v>45985.0</v>
      </c>
      <c r="B194" s="8" t="s">
        <v>582</v>
      </c>
      <c r="C194" s="8" t="s">
        <v>167</v>
      </c>
      <c r="D194" s="8" t="s">
        <v>486</v>
      </c>
      <c r="E194" s="8" t="b">
        <f t="shared" si="24"/>
        <v>0</v>
      </c>
      <c r="F194" s="8">
        <v>192.0</v>
      </c>
    </row>
    <row r="195" ht="15.0" customHeight="1">
      <c r="A195" s="9">
        <v>45985.0</v>
      </c>
      <c r="B195" s="8" t="s">
        <v>559</v>
      </c>
      <c r="C195" s="8" t="s">
        <v>377</v>
      </c>
      <c r="D195" s="8" t="s">
        <v>482</v>
      </c>
      <c r="E195" s="8" t="b">
        <f t="shared" si="24"/>
        <v>0</v>
      </c>
      <c r="F195" s="8">
        <v>192.0</v>
      </c>
    </row>
    <row r="196" ht="15.0" customHeight="1">
      <c r="A196" s="9">
        <v>45985.0</v>
      </c>
      <c r="B196" s="8" t="s">
        <v>559</v>
      </c>
      <c r="C196" s="8" t="s">
        <v>167</v>
      </c>
      <c r="D196" s="8" t="s">
        <v>472</v>
      </c>
      <c r="E196" s="8" t="b">
        <f t="shared" si="24"/>
        <v>0</v>
      </c>
      <c r="F196" s="8">
        <v>192.0</v>
      </c>
    </row>
    <row r="197" ht="15.0" customHeight="1">
      <c r="A197" s="9">
        <v>45985.0</v>
      </c>
      <c r="B197" s="8" t="s">
        <v>131</v>
      </c>
      <c r="C197" s="8" t="s">
        <v>313</v>
      </c>
      <c r="D197" s="8" t="s">
        <v>313</v>
      </c>
      <c r="E197" s="8" t="b">
        <f t="shared" si="24"/>
        <v>0</v>
      </c>
      <c r="F197" s="8">
        <v>192.0</v>
      </c>
    </row>
    <row r="198" ht="15.0" customHeight="1">
      <c r="A198" s="9">
        <v>45985.0</v>
      </c>
      <c r="B198" s="8" t="s">
        <v>501</v>
      </c>
      <c r="C198" s="8" t="s">
        <v>167</v>
      </c>
      <c r="D198" s="8" t="s">
        <v>486</v>
      </c>
      <c r="E198" s="8" t="b">
        <f t="shared" si="24"/>
        <v>0</v>
      </c>
      <c r="F198" s="8">
        <v>192.0</v>
      </c>
    </row>
    <row r="199" ht="15.0" customHeight="1">
      <c r="A199" s="9">
        <v>45985.0</v>
      </c>
      <c r="B199" s="8" t="s">
        <v>586</v>
      </c>
      <c r="C199" s="8" t="s">
        <v>167</v>
      </c>
      <c r="D199" s="8" t="s">
        <v>472</v>
      </c>
      <c r="E199" s="8" t="b">
        <f t="shared" si="24"/>
        <v>0</v>
      </c>
      <c r="F199" s="8">
        <v>192.0</v>
      </c>
    </row>
    <row r="200" ht="15.0" customHeight="1">
      <c r="A200" s="9">
        <v>45985.0</v>
      </c>
      <c r="B200" s="8" t="s">
        <v>502</v>
      </c>
      <c r="C200" s="8" t="s">
        <v>167</v>
      </c>
      <c r="D200" s="8" t="s">
        <v>469</v>
      </c>
      <c r="E200" s="8" t="b">
        <f t="shared" si="24"/>
        <v>0</v>
      </c>
      <c r="F200" s="8">
        <v>192.0</v>
      </c>
    </row>
    <row r="201" ht="15.0" customHeight="1">
      <c r="A201" s="9">
        <v>45985.0</v>
      </c>
      <c r="B201" s="8" t="s">
        <v>563</v>
      </c>
      <c r="C201" s="8" t="s">
        <v>167</v>
      </c>
      <c r="D201" s="8" t="s">
        <v>469</v>
      </c>
      <c r="E201" s="8" t="b">
        <f t="shared" si="24"/>
        <v>0</v>
      </c>
      <c r="F201" s="8">
        <v>192.0</v>
      </c>
    </row>
    <row r="202" ht="15.0" customHeight="1">
      <c r="A202" s="9">
        <v>45985.0</v>
      </c>
      <c r="B202" s="8" t="s">
        <v>564</v>
      </c>
      <c r="C202" s="8" t="s">
        <v>167</v>
      </c>
      <c r="D202" s="8" t="s">
        <v>486</v>
      </c>
      <c r="E202" s="8" t="b">
        <f t="shared" si="24"/>
        <v>0</v>
      </c>
      <c r="F202" s="8">
        <v>192.0</v>
      </c>
    </row>
    <row r="203" ht="15.0" customHeight="1">
      <c r="A203" s="9">
        <v>45985.0</v>
      </c>
      <c r="B203" s="8" t="s">
        <v>197</v>
      </c>
      <c r="C203" s="8" t="s">
        <v>167</v>
      </c>
      <c r="D203" s="8" t="s">
        <v>469</v>
      </c>
      <c r="E203" s="8" t="b">
        <f t="shared" si="24"/>
        <v>0</v>
      </c>
      <c r="F203" s="8">
        <v>192.0</v>
      </c>
    </row>
    <row r="204" ht="15.0" customHeight="1">
      <c r="A204" s="9">
        <v>45985.0</v>
      </c>
      <c r="B204" s="8" t="s">
        <v>587</v>
      </c>
      <c r="C204" s="8" t="s">
        <v>167</v>
      </c>
      <c r="D204" s="8" t="s">
        <v>469</v>
      </c>
      <c r="E204" s="8" t="b">
        <f t="shared" si="24"/>
        <v>0</v>
      </c>
      <c r="F204" s="8">
        <v>192.0</v>
      </c>
    </row>
    <row r="205" ht="15.0" customHeight="1">
      <c r="A205" s="9">
        <v>45985.0</v>
      </c>
      <c r="B205" s="8" t="s">
        <v>202</v>
      </c>
      <c r="C205" s="8" t="s">
        <v>116</v>
      </c>
      <c r="D205" s="8" t="s">
        <v>116</v>
      </c>
      <c r="E205" s="8" t="b">
        <f>TRUE()</f>
        <v>1</v>
      </c>
      <c r="F205" s="8">
        <v>192.0</v>
      </c>
    </row>
    <row r="206" ht="15.0" customHeight="1">
      <c r="A206" s="9">
        <v>45992.0</v>
      </c>
      <c r="B206" s="8" t="s">
        <v>468</v>
      </c>
      <c r="C206" s="8" t="s">
        <v>167</v>
      </c>
      <c r="D206" s="8" t="s">
        <v>469</v>
      </c>
      <c r="E206" s="8" t="b">
        <f t="shared" ref="E206:E211" si="25">FALSE()</f>
        <v>0</v>
      </c>
      <c r="F206" s="8">
        <v>191.0</v>
      </c>
    </row>
    <row r="207" ht="15.0" customHeight="1">
      <c r="A207" s="9">
        <v>45992.0</v>
      </c>
      <c r="B207" s="8" t="s">
        <v>477</v>
      </c>
      <c r="C207" s="8" t="s">
        <v>167</v>
      </c>
      <c r="D207" s="8" t="s">
        <v>472</v>
      </c>
      <c r="E207" s="8" t="b">
        <f t="shared" si="25"/>
        <v>0</v>
      </c>
      <c r="F207" s="8">
        <v>191.0</v>
      </c>
    </row>
    <row r="208" ht="15.0" customHeight="1">
      <c r="A208" s="9">
        <v>45992.0</v>
      </c>
      <c r="B208" s="8" t="s">
        <v>590</v>
      </c>
      <c r="C208" s="8" t="s">
        <v>377</v>
      </c>
      <c r="D208" s="8" t="s">
        <v>482</v>
      </c>
      <c r="E208" s="8" t="b">
        <f t="shared" si="25"/>
        <v>0</v>
      </c>
      <c r="F208" s="8">
        <v>191.0</v>
      </c>
    </row>
    <row r="209" ht="15.0" customHeight="1">
      <c r="A209" s="9">
        <v>45992.0</v>
      </c>
      <c r="B209" s="8" t="s">
        <v>590</v>
      </c>
      <c r="C209" s="8" t="s">
        <v>167</v>
      </c>
      <c r="D209" s="8" t="s">
        <v>469</v>
      </c>
      <c r="E209" s="8" t="b">
        <f t="shared" si="25"/>
        <v>0</v>
      </c>
      <c r="F209" s="8">
        <v>191.0</v>
      </c>
    </row>
    <row r="210" ht="15.0" customHeight="1">
      <c r="A210" s="9">
        <v>45992.0</v>
      </c>
      <c r="B210" s="8" t="s">
        <v>570</v>
      </c>
      <c r="C210" s="8" t="s">
        <v>167</v>
      </c>
      <c r="D210" s="8" t="s">
        <v>486</v>
      </c>
      <c r="E210" s="8" t="b">
        <f t="shared" si="25"/>
        <v>0</v>
      </c>
      <c r="F210" s="8">
        <v>191.0</v>
      </c>
    </row>
    <row r="211" ht="15.0" customHeight="1">
      <c r="A211" s="9">
        <v>45992.0</v>
      </c>
      <c r="B211" s="8" t="s">
        <v>207</v>
      </c>
      <c r="C211" s="8" t="s">
        <v>377</v>
      </c>
      <c r="D211" s="8" t="s">
        <v>482</v>
      </c>
      <c r="E211" s="8" t="b">
        <f t="shared" si="25"/>
        <v>0</v>
      </c>
      <c r="F211" s="8">
        <v>191.0</v>
      </c>
    </row>
    <row r="212" ht="15.0" customHeight="1">
      <c r="A212" s="9">
        <v>45992.0</v>
      </c>
      <c r="B212" s="8" t="s">
        <v>207</v>
      </c>
      <c r="C212" s="8" t="s">
        <v>167</v>
      </c>
      <c r="D212" s="8" t="s">
        <v>472</v>
      </c>
      <c r="E212" s="8" t="b">
        <f t="shared" ref="E212:E213" si="26">TRUE()</f>
        <v>1</v>
      </c>
      <c r="F212" s="8">
        <v>191.0</v>
      </c>
    </row>
    <row r="213" ht="15.0" customHeight="1">
      <c r="A213" s="9">
        <v>45992.0</v>
      </c>
      <c r="B213" s="8" t="s">
        <v>34</v>
      </c>
      <c r="C213" s="8" t="s">
        <v>116</v>
      </c>
      <c r="D213" s="8" t="s">
        <v>116</v>
      </c>
      <c r="E213" s="8" t="b">
        <f t="shared" si="26"/>
        <v>1</v>
      </c>
      <c r="F213" s="8">
        <v>191.0</v>
      </c>
    </row>
    <row r="214" ht="15.0" customHeight="1">
      <c r="A214" s="9">
        <v>45992.0</v>
      </c>
      <c r="B214" s="8" t="s">
        <v>481</v>
      </c>
      <c r="C214" s="8" t="s">
        <v>377</v>
      </c>
      <c r="D214" s="8" t="s">
        <v>482</v>
      </c>
      <c r="E214" s="8" t="b">
        <f t="shared" ref="E214:E217" si="27">FALSE()</f>
        <v>0</v>
      </c>
      <c r="F214" s="8">
        <v>191.0</v>
      </c>
    </row>
    <row r="215" ht="15.0" customHeight="1">
      <c r="A215" s="9">
        <v>45992.0</v>
      </c>
      <c r="B215" s="8" t="s">
        <v>481</v>
      </c>
      <c r="C215" s="8" t="s">
        <v>167</v>
      </c>
      <c r="D215" s="8" t="s">
        <v>486</v>
      </c>
      <c r="E215" s="8" t="b">
        <f t="shared" si="27"/>
        <v>0</v>
      </c>
      <c r="F215" s="8">
        <v>191.0</v>
      </c>
    </row>
    <row r="216" ht="15.0" customHeight="1">
      <c r="A216" s="9">
        <v>45992.0</v>
      </c>
      <c r="B216" s="8" t="s">
        <v>250</v>
      </c>
      <c r="C216" s="8" t="s">
        <v>167</v>
      </c>
      <c r="D216" s="8" t="s">
        <v>486</v>
      </c>
      <c r="E216" s="8" t="b">
        <f t="shared" si="27"/>
        <v>0</v>
      </c>
      <c r="F216" s="8">
        <v>191.0</v>
      </c>
    </row>
    <row r="217" ht="15.0" customHeight="1">
      <c r="A217" s="9">
        <v>45992.0</v>
      </c>
      <c r="B217" s="8" t="s">
        <v>78</v>
      </c>
      <c r="C217" s="8" t="s">
        <v>313</v>
      </c>
      <c r="D217" s="8" t="s">
        <v>313</v>
      </c>
      <c r="E217" s="8" t="b">
        <f t="shared" si="27"/>
        <v>0</v>
      </c>
      <c r="F217" s="8">
        <v>191.0</v>
      </c>
    </row>
    <row r="218" ht="15.0" customHeight="1">
      <c r="A218" s="9">
        <v>45992.0</v>
      </c>
      <c r="B218" s="8" t="s">
        <v>92</v>
      </c>
      <c r="C218" s="8" t="s">
        <v>54</v>
      </c>
      <c r="D218" s="8" t="s">
        <v>606</v>
      </c>
      <c r="E218" s="8" t="b">
        <f>TRUE()</f>
        <v>1</v>
      </c>
      <c r="F218" s="8">
        <v>191.0</v>
      </c>
    </row>
    <row r="219" ht="15.0" customHeight="1">
      <c r="A219" s="9">
        <v>45992.0</v>
      </c>
      <c r="B219" s="8" t="s">
        <v>574</v>
      </c>
      <c r="C219" s="8" t="s">
        <v>167</v>
      </c>
      <c r="D219" s="8" t="s">
        <v>486</v>
      </c>
      <c r="E219" s="8" t="b">
        <f t="shared" ref="E219:E234" si="28">FALSE()</f>
        <v>0</v>
      </c>
      <c r="F219" s="8">
        <v>191.0</v>
      </c>
    </row>
    <row r="220" ht="15.0" customHeight="1">
      <c r="A220" s="9">
        <v>45992.0</v>
      </c>
      <c r="B220" s="8" t="s">
        <v>493</v>
      </c>
      <c r="C220" s="8" t="s">
        <v>167</v>
      </c>
      <c r="D220" s="8" t="s">
        <v>472</v>
      </c>
      <c r="E220" s="8" t="b">
        <f t="shared" si="28"/>
        <v>0</v>
      </c>
      <c r="F220" s="8">
        <v>191.0</v>
      </c>
    </row>
    <row r="221" ht="15.0" customHeight="1">
      <c r="A221" s="9">
        <v>45992.0</v>
      </c>
      <c r="B221" s="8" t="s">
        <v>577</v>
      </c>
      <c r="C221" s="8" t="s">
        <v>167</v>
      </c>
      <c r="D221" s="8" t="s">
        <v>472</v>
      </c>
      <c r="E221" s="8" t="b">
        <f t="shared" si="28"/>
        <v>0</v>
      </c>
      <c r="F221" s="8">
        <v>191.0</v>
      </c>
    </row>
    <row r="222" ht="15.0" customHeight="1">
      <c r="A222" s="9">
        <v>45992.0</v>
      </c>
      <c r="B222" s="8" t="s">
        <v>580</v>
      </c>
      <c r="C222" s="8" t="s">
        <v>435</v>
      </c>
      <c r="D222" s="8" t="s">
        <v>581</v>
      </c>
      <c r="E222" s="8" t="b">
        <f t="shared" si="28"/>
        <v>0</v>
      </c>
      <c r="F222" s="8">
        <v>191.0</v>
      </c>
    </row>
    <row r="223" ht="15.0" customHeight="1">
      <c r="A223" s="9">
        <v>45992.0</v>
      </c>
      <c r="B223" s="8" t="s">
        <v>289</v>
      </c>
      <c r="C223" s="8" t="s">
        <v>167</v>
      </c>
      <c r="D223" s="8" t="s">
        <v>486</v>
      </c>
      <c r="E223" s="8" t="b">
        <f t="shared" si="28"/>
        <v>0</v>
      </c>
      <c r="F223" s="8">
        <v>191.0</v>
      </c>
    </row>
    <row r="224" ht="15.0" customHeight="1">
      <c r="A224" s="9">
        <v>45992.0</v>
      </c>
      <c r="B224" s="8" t="s">
        <v>582</v>
      </c>
      <c r="C224" s="8" t="s">
        <v>167</v>
      </c>
      <c r="D224" s="8" t="s">
        <v>486</v>
      </c>
      <c r="E224" s="8" t="b">
        <f t="shared" si="28"/>
        <v>0</v>
      </c>
      <c r="F224" s="8">
        <v>191.0</v>
      </c>
    </row>
    <row r="225" ht="15.0" customHeight="1">
      <c r="A225" s="9">
        <v>45992.0</v>
      </c>
      <c r="B225" s="8" t="s">
        <v>559</v>
      </c>
      <c r="C225" s="8" t="s">
        <v>377</v>
      </c>
      <c r="D225" s="8" t="s">
        <v>482</v>
      </c>
      <c r="E225" s="8" t="b">
        <f t="shared" si="28"/>
        <v>0</v>
      </c>
      <c r="F225" s="8">
        <v>191.0</v>
      </c>
    </row>
    <row r="226" ht="15.0" customHeight="1">
      <c r="A226" s="9">
        <v>45992.0</v>
      </c>
      <c r="B226" s="8" t="s">
        <v>559</v>
      </c>
      <c r="C226" s="8" t="s">
        <v>167</v>
      </c>
      <c r="D226" s="8" t="s">
        <v>472</v>
      </c>
      <c r="E226" s="8" t="b">
        <f t="shared" si="28"/>
        <v>0</v>
      </c>
      <c r="F226" s="8">
        <v>191.0</v>
      </c>
    </row>
    <row r="227" ht="15.0" customHeight="1">
      <c r="A227" s="9">
        <v>45992.0</v>
      </c>
      <c r="B227" s="8" t="s">
        <v>131</v>
      </c>
      <c r="C227" s="8" t="s">
        <v>313</v>
      </c>
      <c r="D227" s="8" t="s">
        <v>313</v>
      </c>
      <c r="E227" s="8" t="b">
        <f t="shared" si="28"/>
        <v>0</v>
      </c>
      <c r="F227" s="8">
        <v>191.0</v>
      </c>
    </row>
    <row r="228" ht="15.0" customHeight="1">
      <c r="A228" s="9">
        <v>45992.0</v>
      </c>
      <c r="B228" s="8" t="s">
        <v>501</v>
      </c>
      <c r="C228" s="8" t="s">
        <v>167</v>
      </c>
      <c r="D228" s="8" t="s">
        <v>486</v>
      </c>
      <c r="E228" s="8" t="b">
        <f t="shared" si="28"/>
        <v>0</v>
      </c>
      <c r="F228" s="8">
        <v>191.0</v>
      </c>
    </row>
    <row r="229" ht="15.0" customHeight="1">
      <c r="A229" s="9">
        <v>45992.0</v>
      </c>
      <c r="B229" s="8" t="s">
        <v>586</v>
      </c>
      <c r="C229" s="8" t="s">
        <v>167</v>
      </c>
      <c r="D229" s="8" t="s">
        <v>472</v>
      </c>
      <c r="E229" s="8" t="b">
        <f t="shared" si="28"/>
        <v>0</v>
      </c>
      <c r="F229" s="8">
        <v>191.0</v>
      </c>
    </row>
    <row r="230" ht="15.0" customHeight="1">
      <c r="A230" s="9">
        <v>45992.0</v>
      </c>
      <c r="B230" s="8" t="s">
        <v>502</v>
      </c>
      <c r="C230" s="8" t="s">
        <v>167</v>
      </c>
      <c r="D230" s="8" t="s">
        <v>469</v>
      </c>
      <c r="E230" s="8" t="b">
        <f t="shared" si="28"/>
        <v>0</v>
      </c>
      <c r="F230" s="8">
        <v>191.0</v>
      </c>
    </row>
    <row r="231" ht="15.0" customHeight="1">
      <c r="A231" s="9">
        <v>45992.0</v>
      </c>
      <c r="B231" s="8" t="s">
        <v>563</v>
      </c>
      <c r="C231" s="8" t="s">
        <v>167</v>
      </c>
      <c r="D231" s="8" t="s">
        <v>469</v>
      </c>
      <c r="E231" s="8" t="b">
        <f t="shared" si="28"/>
        <v>0</v>
      </c>
      <c r="F231" s="8">
        <v>191.0</v>
      </c>
    </row>
    <row r="232" ht="15.0" customHeight="1">
      <c r="A232" s="9">
        <v>45992.0</v>
      </c>
      <c r="B232" s="8" t="s">
        <v>564</v>
      </c>
      <c r="C232" s="8" t="s">
        <v>167</v>
      </c>
      <c r="D232" s="8" t="s">
        <v>486</v>
      </c>
      <c r="E232" s="8" t="b">
        <f t="shared" si="28"/>
        <v>0</v>
      </c>
      <c r="F232" s="8">
        <v>191.0</v>
      </c>
    </row>
    <row r="233" ht="15.0" customHeight="1">
      <c r="A233" s="9">
        <v>45992.0</v>
      </c>
      <c r="B233" s="8" t="s">
        <v>197</v>
      </c>
      <c r="C233" s="8" t="s">
        <v>167</v>
      </c>
      <c r="D233" s="8" t="s">
        <v>469</v>
      </c>
      <c r="E233" s="8" t="b">
        <f t="shared" si="28"/>
        <v>0</v>
      </c>
      <c r="F233" s="8">
        <v>191.0</v>
      </c>
    </row>
    <row r="234" ht="15.0" customHeight="1">
      <c r="A234" s="9">
        <v>45992.0</v>
      </c>
      <c r="B234" s="8" t="s">
        <v>587</v>
      </c>
      <c r="C234" s="8" t="s">
        <v>167</v>
      </c>
      <c r="D234" s="8" t="s">
        <v>469</v>
      </c>
      <c r="E234" s="8" t="b">
        <f t="shared" si="28"/>
        <v>0</v>
      </c>
      <c r="F234" s="8">
        <v>191.0</v>
      </c>
    </row>
    <row r="235" ht="15.0" customHeight="1">
      <c r="A235" s="9">
        <v>45992.0</v>
      </c>
      <c r="B235" s="8" t="s">
        <v>202</v>
      </c>
      <c r="C235" s="8" t="s">
        <v>116</v>
      </c>
      <c r="D235" s="8" t="s">
        <v>116</v>
      </c>
      <c r="E235" s="8" t="b">
        <f>TRUE()</f>
        <v>1</v>
      </c>
      <c r="F235" s="8">
        <v>191.0</v>
      </c>
    </row>
    <row r="236" ht="15.0" customHeight="1">
      <c r="A236" s="9">
        <v>45999.0</v>
      </c>
      <c r="B236" s="8" t="s">
        <v>468</v>
      </c>
      <c r="C236" s="8" t="s">
        <v>167</v>
      </c>
      <c r="D236" s="8" t="s">
        <v>469</v>
      </c>
      <c r="E236" s="8" t="b">
        <f t="shared" ref="E236:E239" si="29">FALSE()</f>
        <v>0</v>
      </c>
      <c r="F236" s="8">
        <v>189.0</v>
      </c>
    </row>
    <row r="237" ht="15.0" customHeight="1">
      <c r="A237" s="9">
        <v>45999.0</v>
      </c>
      <c r="B237" s="8" t="s">
        <v>590</v>
      </c>
      <c r="C237" s="8" t="s">
        <v>167</v>
      </c>
      <c r="D237" s="8" t="s">
        <v>469</v>
      </c>
      <c r="E237" s="8" t="b">
        <f t="shared" si="29"/>
        <v>0</v>
      </c>
      <c r="F237" s="8">
        <v>189.0</v>
      </c>
    </row>
    <row r="238" ht="15.0" customHeight="1">
      <c r="A238" s="9">
        <v>45999.0</v>
      </c>
      <c r="B238" s="8" t="s">
        <v>570</v>
      </c>
      <c r="C238" s="8" t="s">
        <v>167</v>
      </c>
      <c r="D238" s="8" t="s">
        <v>486</v>
      </c>
      <c r="E238" s="8" t="b">
        <f t="shared" si="29"/>
        <v>0</v>
      </c>
      <c r="F238" s="8">
        <v>189.0</v>
      </c>
    </row>
    <row r="239" ht="15.0" customHeight="1">
      <c r="A239" s="9">
        <v>45999.0</v>
      </c>
      <c r="B239" s="8" t="s">
        <v>207</v>
      </c>
      <c r="C239" s="8" t="s">
        <v>377</v>
      </c>
      <c r="D239" s="8" t="s">
        <v>482</v>
      </c>
      <c r="E239" s="8" t="b">
        <f t="shared" si="29"/>
        <v>0</v>
      </c>
      <c r="F239" s="8">
        <v>189.0</v>
      </c>
    </row>
    <row r="240" ht="15.0" customHeight="1">
      <c r="A240" s="9">
        <v>45999.0</v>
      </c>
      <c r="B240" s="8" t="s">
        <v>207</v>
      </c>
      <c r="C240" s="8" t="s">
        <v>167</v>
      </c>
      <c r="D240" s="8" t="s">
        <v>472</v>
      </c>
      <c r="E240" s="8" t="b">
        <f t="shared" ref="E240:E241" si="30">TRUE()</f>
        <v>1</v>
      </c>
      <c r="F240" s="8">
        <v>189.0</v>
      </c>
    </row>
    <row r="241" ht="15.0" customHeight="1">
      <c r="A241" s="9">
        <v>45999.0</v>
      </c>
      <c r="B241" s="8" t="s">
        <v>34</v>
      </c>
      <c r="C241" s="8" t="s">
        <v>428</v>
      </c>
      <c r="D241" s="8" t="s">
        <v>428</v>
      </c>
      <c r="E241" s="8" t="b">
        <f t="shared" si="30"/>
        <v>1</v>
      </c>
      <c r="F241" s="8">
        <v>189.0</v>
      </c>
    </row>
    <row r="242" ht="15.0" customHeight="1">
      <c r="A242" s="9">
        <v>45999.0</v>
      </c>
      <c r="B242" s="8" t="s">
        <v>481</v>
      </c>
      <c r="C242" s="8" t="s">
        <v>377</v>
      </c>
      <c r="D242" s="8" t="s">
        <v>482</v>
      </c>
      <c r="E242" s="8" t="b">
        <f t="shared" ref="E242:E243" si="31">FALSE()</f>
        <v>0</v>
      </c>
      <c r="F242" s="8">
        <v>189.0</v>
      </c>
    </row>
    <row r="243" ht="15.0" customHeight="1">
      <c r="A243" s="9">
        <v>45999.0</v>
      </c>
      <c r="B243" s="8" t="s">
        <v>481</v>
      </c>
      <c r="C243" s="8" t="s">
        <v>167</v>
      </c>
      <c r="D243" s="8" t="s">
        <v>486</v>
      </c>
      <c r="E243" s="8" t="b">
        <f t="shared" si="31"/>
        <v>0</v>
      </c>
      <c r="F243" s="8">
        <v>189.0</v>
      </c>
    </row>
    <row r="244" ht="15.0" customHeight="1">
      <c r="A244" s="9">
        <v>45999.0</v>
      </c>
      <c r="B244" s="8" t="s">
        <v>250</v>
      </c>
      <c r="C244" s="8" t="s">
        <v>167</v>
      </c>
      <c r="D244" s="8" t="s">
        <v>486</v>
      </c>
      <c r="E244" s="8" t="b">
        <f>TRUE()</f>
        <v>1</v>
      </c>
      <c r="F244" s="8">
        <v>189.0</v>
      </c>
    </row>
    <row r="245" ht="15.0" customHeight="1">
      <c r="A245" s="9">
        <v>45999.0</v>
      </c>
      <c r="B245" s="8" t="s">
        <v>78</v>
      </c>
      <c r="C245" s="8" t="s">
        <v>313</v>
      </c>
      <c r="D245" s="8" t="s">
        <v>313</v>
      </c>
      <c r="E245" s="8" t="b">
        <f>FALSE()</f>
        <v>0</v>
      </c>
      <c r="F245" s="8">
        <v>189.0</v>
      </c>
    </row>
    <row r="246" ht="15.0" customHeight="1">
      <c r="A246" s="9">
        <v>45999.0</v>
      </c>
      <c r="B246" s="8" t="s">
        <v>92</v>
      </c>
      <c r="C246" s="8" t="s">
        <v>54</v>
      </c>
      <c r="D246" s="8" t="s">
        <v>606</v>
      </c>
      <c r="E246" s="8" t="b">
        <f>TRUE()</f>
        <v>1</v>
      </c>
      <c r="F246" s="8">
        <v>189.0</v>
      </c>
    </row>
    <row r="247" ht="15.0" customHeight="1">
      <c r="A247" s="9">
        <v>45999.0</v>
      </c>
      <c r="B247" s="8" t="s">
        <v>574</v>
      </c>
      <c r="C247" s="8" t="s">
        <v>167</v>
      </c>
      <c r="D247" s="8" t="s">
        <v>486</v>
      </c>
      <c r="E247" s="8" t="b">
        <f t="shared" ref="E247:E266" si="32">FALSE()</f>
        <v>0</v>
      </c>
      <c r="F247" s="8">
        <v>189.0</v>
      </c>
    </row>
    <row r="248" ht="15.0" customHeight="1">
      <c r="A248" s="9">
        <v>45999.0</v>
      </c>
      <c r="B248" s="8" t="s">
        <v>577</v>
      </c>
      <c r="C248" s="8" t="s">
        <v>167</v>
      </c>
      <c r="D248" s="8" t="s">
        <v>472</v>
      </c>
      <c r="E248" s="8" t="b">
        <f t="shared" si="32"/>
        <v>0</v>
      </c>
      <c r="F248" s="8">
        <v>189.0</v>
      </c>
    </row>
    <row r="249" ht="15.0" customHeight="1">
      <c r="A249" s="9">
        <v>45999.0</v>
      </c>
      <c r="B249" s="8" t="s">
        <v>580</v>
      </c>
      <c r="C249" s="8" t="s">
        <v>435</v>
      </c>
      <c r="D249" s="8" t="s">
        <v>581</v>
      </c>
      <c r="E249" s="8" t="b">
        <f t="shared" si="32"/>
        <v>0</v>
      </c>
      <c r="F249" s="8">
        <v>189.0</v>
      </c>
    </row>
    <row r="250" ht="15.0" customHeight="1">
      <c r="A250" s="9">
        <v>45999.0</v>
      </c>
      <c r="B250" s="8" t="s">
        <v>618</v>
      </c>
      <c r="C250" s="8" t="s">
        <v>167</v>
      </c>
      <c r="D250" s="8" t="s">
        <v>472</v>
      </c>
      <c r="E250" s="8" t="b">
        <f t="shared" si="32"/>
        <v>0</v>
      </c>
      <c r="F250" s="8">
        <v>189.0</v>
      </c>
    </row>
    <row r="251" ht="15.0" customHeight="1">
      <c r="A251" s="9">
        <v>45999.0</v>
      </c>
      <c r="B251" s="8" t="s">
        <v>289</v>
      </c>
      <c r="C251" s="8" t="s">
        <v>167</v>
      </c>
      <c r="D251" s="8" t="s">
        <v>486</v>
      </c>
      <c r="E251" s="8" t="b">
        <f t="shared" si="32"/>
        <v>0</v>
      </c>
      <c r="F251" s="8">
        <v>189.0</v>
      </c>
    </row>
    <row r="252" ht="15.0" customHeight="1">
      <c r="A252" s="9">
        <v>45999.0</v>
      </c>
      <c r="B252" s="8" t="s">
        <v>582</v>
      </c>
      <c r="C252" s="8" t="s">
        <v>167</v>
      </c>
      <c r="D252" s="8" t="s">
        <v>486</v>
      </c>
      <c r="E252" s="8" t="b">
        <f t="shared" si="32"/>
        <v>0</v>
      </c>
      <c r="F252" s="8">
        <v>189.0</v>
      </c>
    </row>
    <row r="253" ht="15.0" customHeight="1">
      <c r="A253" s="9">
        <v>45999.0</v>
      </c>
      <c r="B253" s="8" t="s">
        <v>559</v>
      </c>
      <c r="C253" s="8" t="s">
        <v>377</v>
      </c>
      <c r="D253" s="8" t="s">
        <v>482</v>
      </c>
      <c r="E253" s="8" t="b">
        <f t="shared" si="32"/>
        <v>0</v>
      </c>
      <c r="F253" s="8">
        <v>189.0</v>
      </c>
    </row>
    <row r="254" ht="15.0" customHeight="1">
      <c r="A254" s="9">
        <v>45999.0</v>
      </c>
      <c r="B254" s="8" t="s">
        <v>559</v>
      </c>
      <c r="C254" s="8" t="s">
        <v>167</v>
      </c>
      <c r="D254" s="8" t="s">
        <v>472</v>
      </c>
      <c r="E254" s="8" t="b">
        <f t="shared" si="32"/>
        <v>0</v>
      </c>
      <c r="F254" s="8">
        <v>189.0</v>
      </c>
    </row>
    <row r="255" ht="15.0" customHeight="1">
      <c r="A255" s="9">
        <v>45999.0</v>
      </c>
      <c r="B255" s="8" t="s">
        <v>131</v>
      </c>
      <c r="C255" s="8" t="s">
        <v>313</v>
      </c>
      <c r="D255" s="8" t="s">
        <v>313</v>
      </c>
      <c r="E255" s="8" t="b">
        <f t="shared" si="32"/>
        <v>0</v>
      </c>
      <c r="F255" s="8">
        <v>189.0</v>
      </c>
    </row>
    <row r="256" ht="15.0" customHeight="1">
      <c r="A256" s="9">
        <v>45999.0</v>
      </c>
      <c r="B256" s="8" t="s">
        <v>501</v>
      </c>
      <c r="C256" s="8" t="s">
        <v>167</v>
      </c>
      <c r="D256" s="8" t="s">
        <v>486</v>
      </c>
      <c r="E256" s="8" t="b">
        <f t="shared" si="32"/>
        <v>0</v>
      </c>
      <c r="F256" s="8">
        <v>189.0</v>
      </c>
    </row>
    <row r="257" ht="15.0" customHeight="1">
      <c r="A257" s="9">
        <v>45999.0</v>
      </c>
      <c r="B257" s="8" t="s">
        <v>586</v>
      </c>
      <c r="C257" s="8" t="s">
        <v>167</v>
      </c>
      <c r="D257" s="8" t="s">
        <v>472</v>
      </c>
      <c r="E257" s="8" t="b">
        <f t="shared" si="32"/>
        <v>0</v>
      </c>
      <c r="F257" s="8">
        <v>189.0</v>
      </c>
    </row>
    <row r="258" ht="15.0" customHeight="1">
      <c r="A258" s="9">
        <v>45999.0</v>
      </c>
      <c r="B258" s="8" t="s">
        <v>502</v>
      </c>
      <c r="C258" s="8" t="s">
        <v>167</v>
      </c>
      <c r="D258" s="8" t="s">
        <v>469</v>
      </c>
      <c r="E258" s="8" t="b">
        <f t="shared" si="32"/>
        <v>0</v>
      </c>
      <c r="F258" s="8">
        <v>189.0</v>
      </c>
    </row>
    <row r="259" ht="15.0" customHeight="1">
      <c r="A259" s="9">
        <v>45999.0</v>
      </c>
      <c r="B259" s="8" t="s">
        <v>563</v>
      </c>
      <c r="C259" s="8" t="s">
        <v>167</v>
      </c>
      <c r="D259" s="8" t="s">
        <v>469</v>
      </c>
      <c r="E259" s="8" t="b">
        <f t="shared" si="32"/>
        <v>0</v>
      </c>
      <c r="F259" s="8">
        <v>189.0</v>
      </c>
    </row>
    <row r="260" ht="15.0" customHeight="1">
      <c r="A260" s="9">
        <v>45999.0</v>
      </c>
      <c r="B260" s="8" t="s">
        <v>564</v>
      </c>
      <c r="C260" s="8" t="s">
        <v>167</v>
      </c>
      <c r="D260" s="8" t="s">
        <v>486</v>
      </c>
      <c r="E260" s="8" t="b">
        <f t="shared" si="32"/>
        <v>0</v>
      </c>
      <c r="F260" s="8">
        <v>189.0</v>
      </c>
    </row>
    <row r="261" ht="15.0" customHeight="1">
      <c r="A261" s="9">
        <v>45999.0</v>
      </c>
      <c r="B261" s="8" t="s">
        <v>197</v>
      </c>
      <c r="C261" s="8" t="s">
        <v>167</v>
      </c>
      <c r="D261" s="8" t="s">
        <v>469</v>
      </c>
      <c r="E261" s="8" t="b">
        <f t="shared" si="32"/>
        <v>0</v>
      </c>
      <c r="F261" s="8">
        <v>189.0</v>
      </c>
    </row>
    <row r="262" ht="15.0" customHeight="1">
      <c r="A262" s="9">
        <v>45999.0</v>
      </c>
      <c r="B262" s="8" t="s">
        <v>587</v>
      </c>
      <c r="C262" s="8" t="s">
        <v>313</v>
      </c>
      <c r="D262" s="8" t="s">
        <v>313</v>
      </c>
      <c r="E262" s="8" t="b">
        <f t="shared" si="32"/>
        <v>0</v>
      </c>
      <c r="F262" s="8">
        <v>189.0</v>
      </c>
    </row>
    <row r="263" ht="15.0" customHeight="1">
      <c r="A263" s="9">
        <v>45999.0</v>
      </c>
      <c r="B263" s="8" t="s">
        <v>202</v>
      </c>
      <c r="C263" s="8" t="s">
        <v>116</v>
      </c>
      <c r="D263" s="8" t="s">
        <v>116</v>
      </c>
      <c r="E263" s="8" t="b">
        <f t="shared" si="32"/>
        <v>0</v>
      </c>
      <c r="F263" s="8">
        <v>189.0</v>
      </c>
    </row>
    <row r="264" ht="15.0" customHeight="1">
      <c r="A264" s="9">
        <v>46006.0</v>
      </c>
      <c r="B264" s="8" t="s">
        <v>468</v>
      </c>
      <c r="C264" s="8" t="s">
        <v>167</v>
      </c>
      <c r="D264" s="8" t="s">
        <v>469</v>
      </c>
      <c r="E264" s="8" t="b">
        <f t="shared" si="32"/>
        <v>0</v>
      </c>
      <c r="F264" s="8">
        <v>183.0</v>
      </c>
    </row>
    <row r="265" ht="15.0" customHeight="1">
      <c r="A265" s="9">
        <v>46006.0</v>
      </c>
      <c r="B265" s="8" t="s">
        <v>590</v>
      </c>
      <c r="C265" s="8" t="s">
        <v>167</v>
      </c>
      <c r="D265" s="8" t="s">
        <v>469</v>
      </c>
      <c r="E265" s="8" t="b">
        <f t="shared" si="32"/>
        <v>0</v>
      </c>
      <c r="F265" s="8">
        <v>183.0</v>
      </c>
    </row>
    <row r="266" ht="15.0" customHeight="1">
      <c r="A266" s="9">
        <v>46006.0</v>
      </c>
      <c r="B266" s="8" t="s">
        <v>236</v>
      </c>
      <c r="C266" s="8" t="s">
        <v>167</v>
      </c>
      <c r="D266" s="8" t="s">
        <v>486</v>
      </c>
      <c r="E266" s="8" t="b">
        <f t="shared" si="32"/>
        <v>0</v>
      </c>
      <c r="F266" s="8">
        <v>183.0</v>
      </c>
    </row>
    <row r="267" ht="15.0" customHeight="1">
      <c r="A267" s="9">
        <v>46006.0</v>
      </c>
      <c r="B267" s="8" t="s">
        <v>207</v>
      </c>
      <c r="C267" s="8" t="s">
        <v>54</v>
      </c>
      <c r="D267" s="8" t="s">
        <v>606</v>
      </c>
      <c r="E267" s="8" t="b">
        <f>TRUE()</f>
        <v>1</v>
      </c>
      <c r="F267" s="8">
        <v>183.0</v>
      </c>
    </row>
    <row r="268" ht="15.0" customHeight="1">
      <c r="A268" s="9">
        <v>46006.0</v>
      </c>
      <c r="B268" s="8" t="s">
        <v>207</v>
      </c>
      <c r="C268" s="8" t="s">
        <v>377</v>
      </c>
      <c r="D268" s="8" t="s">
        <v>482</v>
      </c>
      <c r="E268" s="8" t="b">
        <f>FALSE()</f>
        <v>0</v>
      </c>
      <c r="F268" s="8">
        <v>183.0</v>
      </c>
    </row>
    <row r="269" ht="15.0" customHeight="1">
      <c r="A269" s="9">
        <v>46006.0</v>
      </c>
      <c r="B269" s="8" t="s">
        <v>34</v>
      </c>
      <c r="C269" s="8" t="s">
        <v>54</v>
      </c>
      <c r="D269" s="8" t="s">
        <v>606</v>
      </c>
      <c r="E269" s="8" t="b">
        <f t="shared" ref="E269:E270" si="33">TRUE()</f>
        <v>1</v>
      </c>
      <c r="F269" s="8">
        <v>183.0</v>
      </c>
    </row>
    <row r="270" ht="15.0" customHeight="1">
      <c r="A270" s="9">
        <v>46006.0</v>
      </c>
      <c r="B270" s="8" t="s">
        <v>250</v>
      </c>
      <c r="C270" s="8" t="s">
        <v>116</v>
      </c>
      <c r="D270" s="8" t="s">
        <v>116</v>
      </c>
      <c r="E270" s="8" t="b">
        <f t="shared" si="33"/>
        <v>1</v>
      </c>
      <c r="F270" s="8">
        <v>183.0</v>
      </c>
    </row>
    <row r="271" ht="15.0" customHeight="1">
      <c r="A271" s="9">
        <v>46006.0</v>
      </c>
      <c r="B271" s="8" t="s">
        <v>78</v>
      </c>
      <c r="C271" s="8" t="s">
        <v>313</v>
      </c>
      <c r="D271" s="8" t="s">
        <v>313</v>
      </c>
      <c r="E271" s="8" t="b">
        <f>FALSE()</f>
        <v>0</v>
      </c>
      <c r="F271" s="8">
        <v>183.0</v>
      </c>
    </row>
    <row r="272" ht="15.0" customHeight="1">
      <c r="A272" s="9">
        <v>46006.0</v>
      </c>
      <c r="B272" s="8" t="s">
        <v>92</v>
      </c>
      <c r="C272" s="8" t="s">
        <v>54</v>
      </c>
      <c r="D272" s="8" t="s">
        <v>606</v>
      </c>
      <c r="E272" s="8" t="b">
        <f>TRUE()</f>
        <v>1</v>
      </c>
      <c r="F272" s="8">
        <v>183.0</v>
      </c>
    </row>
    <row r="273" ht="15.0" customHeight="1">
      <c r="A273" s="9">
        <v>46006.0</v>
      </c>
      <c r="B273" s="8" t="s">
        <v>574</v>
      </c>
      <c r="C273" s="8" t="s">
        <v>167</v>
      </c>
      <c r="D273" s="8" t="s">
        <v>486</v>
      </c>
      <c r="E273" s="8" t="b">
        <f t="shared" ref="E273:E286" si="34">FALSE()</f>
        <v>0</v>
      </c>
      <c r="F273" s="8">
        <v>183.0</v>
      </c>
    </row>
    <row r="274" ht="15.0" customHeight="1">
      <c r="A274" s="9">
        <v>46006.0</v>
      </c>
      <c r="B274" s="8" t="s">
        <v>577</v>
      </c>
      <c r="C274" s="8" t="s">
        <v>167</v>
      </c>
      <c r="D274" s="8" t="s">
        <v>472</v>
      </c>
      <c r="E274" s="8" t="b">
        <f t="shared" si="34"/>
        <v>0</v>
      </c>
      <c r="F274" s="8">
        <v>183.0</v>
      </c>
    </row>
    <row r="275" ht="15.0" customHeight="1">
      <c r="A275" s="9">
        <v>46006.0</v>
      </c>
      <c r="B275" s="8" t="s">
        <v>580</v>
      </c>
      <c r="C275" s="8" t="s">
        <v>435</v>
      </c>
      <c r="D275" s="8" t="s">
        <v>581</v>
      </c>
      <c r="E275" s="8" t="b">
        <f t="shared" si="34"/>
        <v>0</v>
      </c>
      <c r="F275" s="8">
        <v>183.0</v>
      </c>
    </row>
    <row r="276" ht="15.0" customHeight="1">
      <c r="A276" s="9">
        <v>46006.0</v>
      </c>
      <c r="B276" s="8" t="s">
        <v>618</v>
      </c>
      <c r="C276" s="8" t="s">
        <v>167</v>
      </c>
      <c r="D276" s="8" t="s">
        <v>472</v>
      </c>
      <c r="E276" s="8" t="b">
        <f t="shared" si="34"/>
        <v>0</v>
      </c>
      <c r="F276" s="8">
        <v>183.0</v>
      </c>
    </row>
    <row r="277" ht="15.0" customHeight="1">
      <c r="A277" s="9">
        <v>46006.0</v>
      </c>
      <c r="B277" s="8" t="s">
        <v>289</v>
      </c>
      <c r="C277" s="8" t="s">
        <v>167</v>
      </c>
      <c r="D277" s="8" t="s">
        <v>486</v>
      </c>
      <c r="E277" s="8" t="b">
        <f t="shared" si="34"/>
        <v>0</v>
      </c>
      <c r="F277" s="8">
        <v>183.0</v>
      </c>
    </row>
    <row r="278" ht="15.0" customHeight="1">
      <c r="A278" s="9">
        <v>46006.0</v>
      </c>
      <c r="B278" s="8" t="s">
        <v>582</v>
      </c>
      <c r="C278" s="8" t="s">
        <v>167</v>
      </c>
      <c r="D278" s="8" t="s">
        <v>486</v>
      </c>
      <c r="E278" s="8" t="b">
        <f t="shared" si="34"/>
        <v>0</v>
      </c>
      <c r="F278" s="8">
        <v>183.0</v>
      </c>
    </row>
    <row r="279" ht="15.0" customHeight="1">
      <c r="A279" s="9">
        <v>46006.0</v>
      </c>
      <c r="B279" s="8" t="s">
        <v>559</v>
      </c>
      <c r="C279" s="8" t="s">
        <v>377</v>
      </c>
      <c r="D279" s="8" t="s">
        <v>482</v>
      </c>
      <c r="E279" s="8" t="b">
        <f t="shared" si="34"/>
        <v>0</v>
      </c>
      <c r="F279" s="8">
        <v>183.0</v>
      </c>
    </row>
    <row r="280" ht="15.0" customHeight="1">
      <c r="A280" s="9">
        <v>46006.0</v>
      </c>
      <c r="B280" s="8" t="s">
        <v>559</v>
      </c>
      <c r="C280" s="8" t="s">
        <v>167</v>
      </c>
      <c r="D280" s="8" t="s">
        <v>472</v>
      </c>
      <c r="E280" s="8" t="b">
        <f t="shared" si="34"/>
        <v>0</v>
      </c>
      <c r="F280" s="8">
        <v>183.0</v>
      </c>
    </row>
    <row r="281" ht="15.0" customHeight="1">
      <c r="A281" s="9">
        <v>46006.0</v>
      </c>
      <c r="B281" s="8" t="s">
        <v>131</v>
      </c>
      <c r="C281" s="8" t="s">
        <v>313</v>
      </c>
      <c r="D281" s="8" t="s">
        <v>313</v>
      </c>
      <c r="E281" s="8" t="b">
        <f t="shared" si="34"/>
        <v>0</v>
      </c>
      <c r="F281" s="8">
        <v>183.0</v>
      </c>
    </row>
    <row r="282" ht="15.0" customHeight="1">
      <c r="A282" s="9">
        <v>46006.0</v>
      </c>
      <c r="B282" s="8" t="s">
        <v>501</v>
      </c>
      <c r="C282" s="8" t="s">
        <v>167</v>
      </c>
      <c r="D282" s="8" t="s">
        <v>486</v>
      </c>
      <c r="E282" s="8" t="b">
        <f t="shared" si="34"/>
        <v>0</v>
      </c>
      <c r="F282" s="8">
        <v>183.0</v>
      </c>
    </row>
    <row r="283" ht="15.0" customHeight="1">
      <c r="A283" s="9">
        <v>46006.0</v>
      </c>
      <c r="B283" s="8" t="s">
        <v>586</v>
      </c>
      <c r="C283" s="8" t="s">
        <v>167</v>
      </c>
      <c r="D283" s="8" t="s">
        <v>472</v>
      </c>
      <c r="E283" s="8" t="b">
        <f t="shared" si="34"/>
        <v>0</v>
      </c>
      <c r="F283" s="8">
        <v>183.0</v>
      </c>
    </row>
    <row r="284" ht="15.0" customHeight="1">
      <c r="A284" s="9">
        <v>46006.0</v>
      </c>
      <c r="B284" s="8" t="s">
        <v>629</v>
      </c>
      <c r="C284" s="8" t="s">
        <v>167</v>
      </c>
      <c r="D284" s="8" t="s">
        <v>472</v>
      </c>
      <c r="E284" s="8" t="b">
        <f t="shared" si="34"/>
        <v>0</v>
      </c>
      <c r="F284" s="8">
        <v>183.0</v>
      </c>
    </row>
    <row r="285" ht="15.0" customHeight="1">
      <c r="A285" s="9">
        <v>46006.0</v>
      </c>
      <c r="B285" s="8" t="s">
        <v>563</v>
      </c>
      <c r="C285" s="8" t="s">
        <v>167</v>
      </c>
      <c r="D285" s="8" t="s">
        <v>469</v>
      </c>
      <c r="E285" s="8" t="b">
        <f t="shared" si="34"/>
        <v>0</v>
      </c>
      <c r="F285" s="8">
        <v>183.0</v>
      </c>
    </row>
    <row r="286" ht="15.0" customHeight="1">
      <c r="A286" s="9">
        <v>46006.0</v>
      </c>
      <c r="B286" s="8" t="s">
        <v>564</v>
      </c>
      <c r="C286" s="8" t="s">
        <v>167</v>
      </c>
      <c r="D286" s="8" t="s">
        <v>486</v>
      </c>
      <c r="E286" s="8" t="b">
        <f t="shared" si="34"/>
        <v>0</v>
      </c>
      <c r="F286" s="8">
        <v>183.0</v>
      </c>
    </row>
    <row r="287" ht="15.0" customHeight="1">
      <c r="A287" s="9">
        <v>46006.0</v>
      </c>
      <c r="B287" s="8" t="s">
        <v>197</v>
      </c>
      <c r="C287" s="8" t="s">
        <v>167</v>
      </c>
      <c r="D287" s="8" t="s">
        <v>469</v>
      </c>
      <c r="E287" s="8" t="b">
        <f>TRUE()</f>
        <v>1</v>
      </c>
      <c r="F287" s="8">
        <v>183.0</v>
      </c>
    </row>
    <row r="288" ht="15.0" customHeight="1">
      <c r="A288" s="9">
        <v>46006.0</v>
      </c>
      <c r="B288" s="8" t="s">
        <v>587</v>
      </c>
      <c r="C288" s="8" t="s">
        <v>313</v>
      </c>
      <c r="D288" s="8" t="s">
        <v>313</v>
      </c>
      <c r="E288" s="8" t="b">
        <f t="shared" ref="E288:E292" si="35">FALSE()</f>
        <v>0</v>
      </c>
      <c r="F288" s="8">
        <v>183.0</v>
      </c>
    </row>
    <row r="289" ht="15.0" customHeight="1">
      <c r="A289" s="9">
        <v>46006.0</v>
      </c>
      <c r="B289" s="8" t="s">
        <v>202</v>
      </c>
      <c r="C289" s="8" t="s">
        <v>116</v>
      </c>
      <c r="D289" s="8" t="s">
        <v>116</v>
      </c>
      <c r="E289" s="8" t="b">
        <f t="shared" si="35"/>
        <v>0</v>
      </c>
      <c r="F289" s="8">
        <v>183.0</v>
      </c>
    </row>
    <row r="290" ht="15.0" customHeight="1">
      <c r="A290" s="9">
        <v>46027.0</v>
      </c>
      <c r="B290" s="8" t="s">
        <v>468</v>
      </c>
      <c r="C290" s="8" t="s">
        <v>167</v>
      </c>
      <c r="D290" s="8" t="s">
        <v>469</v>
      </c>
      <c r="E290" s="8" t="b">
        <f t="shared" si="35"/>
        <v>0</v>
      </c>
      <c r="F290" s="8">
        <v>182.0</v>
      </c>
    </row>
    <row r="291" ht="15.0" customHeight="1">
      <c r="A291" s="9">
        <v>46027.0</v>
      </c>
      <c r="B291" s="8" t="s">
        <v>590</v>
      </c>
      <c r="C291" s="8" t="s">
        <v>167</v>
      </c>
      <c r="D291" s="8" t="s">
        <v>469</v>
      </c>
      <c r="E291" s="8" t="b">
        <f t="shared" si="35"/>
        <v>0</v>
      </c>
      <c r="F291" s="8">
        <v>182.0</v>
      </c>
    </row>
    <row r="292" ht="15.0" customHeight="1">
      <c r="A292" s="9">
        <v>46027.0</v>
      </c>
      <c r="B292" s="8" t="s">
        <v>236</v>
      </c>
      <c r="C292" s="8" t="s">
        <v>167</v>
      </c>
      <c r="D292" s="8" t="s">
        <v>486</v>
      </c>
      <c r="E292" s="8" t="b">
        <f t="shared" si="35"/>
        <v>0</v>
      </c>
      <c r="F292" s="8">
        <v>182.0</v>
      </c>
    </row>
    <row r="293" ht="15.0" customHeight="1">
      <c r="A293" s="9">
        <v>46027.0</v>
      </c>
      <c r="B293" s="8" t="s">
        <v>34</v>
      </c>
      <c r="C293" s="8" t="s">
        <v>54</v>
      </c>
      <c r="D293" s="8" t="s">
        <v>606</v>
      </c>
      <c r="E293" s="8" t="b">
        <f>TRUE()</f>
        <v>1</v>
      </c>
      <c r="F293" s="8">
        <v>182.0</v>
      </c>
    </row>
    <row r="294" ht="15.0" customHeight="1">
      <c r="A294" s="9">
        <v>46027.0</v>
      </c>
      <c r="B294" s="8" t="s">
        <v>250</v>
      </c>
      <c r="C294" s="8" t="s">
        <v>116</v>
      </c>
      <c r="D294" s="8" t="s">
        <v>116</v>
      </c>
      <c r="E294" s="8" t="b">
        <f t="shared" ref="E294:E295" si="36">FALSE()</f>
        <v>0</v>
      </c>
      <c r="F294" s="8">
        <v>182.0</v>
      </c>
    </row>
    <row r="295" ht="15.0" customHeight="1">
      <c r="A295" s="9">
        <v>46027.0</v>
      </c>
      <c r="B295" s="8" t="s">
        <v>78</v>
      </c>
      <c r="C295" s="8" t="s">
        <v>313</v>
      </c>
      <c r="D295" s="8" t="s">
        <v>313</v>
      </c>
      <c r="E295" s="8" t="b">
        <f t="shared" si="36"/>
        <v>0</v>
      </c>
      <c r="F295" s="8">
        <v>182.0</v>
      </c>
    </row>
    <row r="296" ht="15.0" customHeight="1">
      <c r="A296" s="9">
        <v>46027.0</v>
      </c>
      <c r="B296" s="8" t="s">
        <v>92</v>
      </c>
      <c r="C296" s="8" t="s">
        <v>54</v>
      </c>
      <c r="D296" s="8" t="s">
        <v>606</v>
      </c>
      <c r="E296" s="8" t="b">
        <f>TRUE()</f>
        <v>1</v>
      </c>
      <c r="F296" s="8">
        <v>182.0</v>
      </c>
    </row>
    <row r="297" ht="15.0" customHeight="1">
      <c r="A297" s="9">
        <v>46027.0</v>
      </c>
      <c r="B297" s="8" t="s">
        <v>574</v>
      </c>
      <c r="C297" s="8" t="s">
        <v>167</v>
      </c>
      <c r="D297" s="8" t="s">
        <v>486</v>
      </c>
      <c r="E297" s="8" t="b">
        <f t="shared" ref="E297:E318" si="37">FALSE()</f>
        <v>0</v>
      </c>
      <c r="F297" s="8">
        <v>182.0</v>
      </c>
    </row>
    <row r="298" ht="15.0" customHeight="1">
      <c r="A298" s="9">
        <v>46027.0</v>
      </c>
      <c r="B298" s="8" t="s">
        <v>580</v>
      </c>
      <c r="C298" s="8" t="s">
        <v>435</v>
      </c>
      <c r="D298" s="8" t="s">
        <v>581</v>
      </c>
      <c r="E298" s="8" t="b">
        <f t="shared" si="37"/>
        <v>0</v>
      </c>
      <c r="F298" s="8">
        <v>182.0</v>
      </c>
    </row>
    <row r="299" ht="15.0" customHeight="1">
      <c r="A299" s="9">
        <v>46027.0</v>
      </c>
      <c r="B299" s="8" t="s">
        <v>636</v>
      </c>
      <c r="C299" s="8" t="s">
        <v>377</v>
      </c>
      <c r="D299" s="8" t="s">
        <v>482</v>
      </c>
      <c r="E299" s="8" t="b">
        <f t="shared" si="37"/>
        <v>0</v>
      </c>
      <c r="F299" s="8">
        <v>182.0</v>
      </c>
    </row>
    <row r="300" ht="15.0" customHeight="1">
      <c r="A300" s="9">
        <v>46027.0</v>
      </c>
      <c r="B300" s="8" t="s">
        <v>618</v>
      </c>
      <c r="C300" s="8" t="s">
        <v>167</v>
      </c>
      <c r="D300" s="8" t="s">
        <v>472</v>
      </c>
      <c r="E300" s="8" t="b">
        <f t="shared" si="37"/>
        <v>0</v>
      </c>
      <c r="F300" s="8">
        <v>182.0</v>
      </c>
    </row>
    <row r="301" ht="15.0" customHeight="1">
      <c r="A301" s="9">
        <v>46027.0</v>
      </c>
      <c r="B301" s="8" t="s">
        <v>582</v>
      </c>
      <c r="C301" s="8" t="s">
        <v>167</v>
      </c>
      <c r="D301" s="8" t="s">
        <v>486</v>
      </c>
      <c r="E301" s="8" t="b">
        <f t="shared" si="37"/>
        <v>0</v>
      </c>
      <c r="F301" s="8">
        <v>182.0</v>
      </c>
    </row>
    <row r="302" ht="15.0" customHeight="1">
      <c r="A302" s="9">
        <v>46027.0</v>
      </c>
      <c r="B302" s="8" t="s">
        <v>559</v>
      </c>
      <c r="C302" s="8" t="s">
        <v>377</v>
      </c>
      <c r="D302" s="8" t="s">
        <v>482</v>
      </c>
      <c r="E302" s="8" t="b">
        <f t="shared" si="37"/>
        <v>0</v>
      </c>
      <c r="F302" s="8">
        <v>182.0</v>
      </c>
    </row>
    <row r="303" ht="15.0" customHeight="1">
      <c r="A303" s="9">
        <v>46027.0</v>
      </c>
      <c r="B303" s="8" t="s">
        <v>559</v>
      </c>
      <c r="C303" s="8" t="s">
        <v>167</v>
      </c>
      <c r="D303" s="8" t="s">
        <v>472</v>
      </c>
      <c r="E303" s="8" t="b">
        <f t="shared" si="37"/>
        <v>0</v>
      </c>
      <c r="F303" s="8">
        <v>182.0</v>
      </c>
    </row>
    <row r="304" ht="15.0" customHeight="1">
      <c r="A304" s="9">
        <v>46027.0</v>
      </c>
      <c r="B304" s="8" t="s">
        <v>131</v>
      </c>
      <c r="C304" s="8" t="s">
        <v>313</v>
      </c>
      <c r="D304" s="8" t="s">
        <v>313</v>
      </c>
      <c r="E304" s="8" t="b">
        <f t="shared" si="37"/>
        <v>0</v>
      </c>
      <c r="F304" s="8">
        <v>182.0</v>
      </c>
    </row>
    <row r="305" ht="15.0" customHeight="1">
      <c r="A305" s="9">
        <v>46027.0</v>
      </c>
      <c r="B305" s="8" t="s">
        <v>586</v>
      </c>
      <c r="C305" s="8" t="s">
        <v>167</v>
      </c>
      <c r="D305" s="8" t="s">
        <v>472</v>
      </c>
      <c r="E305" s="8" t="b">
        <f t="shared" si="37"/>
        <v>0</v>
      </c>
      <c r="F305" s="8">
        <v>182.0</v>
      </c>
    </row>
    <row r="306" ht="15.0" customHeight="1">
      <c r="A306" s="9">
        <v>46027.0</v>
      </c>
      <c r="B306" s="8" t="s">
        <v>629</v>
      </c>
      <c r="C306" s="8" t="s">
        <v>167</v>
      </c>
      <c r="D306" s="8" t="s">
        <v>472</v>
      </c>
      <c r="E306" s="8" t="b">
        <f t="shared" si="37"/>
        <v>0</v>
      </c>
      <c r="F306" s="8">
        <v>182.0</v>
      </c>
    </row>
    <row r="307" ht="15.0" customHeight="1">
      <c r="A307" s="9">
        <v>46027.0</v>
      </c>
      <c r="B307" s="8" t="s">
        <v>640</v>
      </c>
      <c r="C307" s="8" t="s">
        <v>377</v>
      </c>
      <c r="D307" s="8" t="s">
        <v>482</v>
      </c>
      <c r="E307" s="8" t="b">
        <f t="shared" si="37"/>
        <v>0</v>
      </c>
      <c r="F307" s="8">
        <v>182.0</v>
      </c>
    </row>
    <row r="308" ht="15.0" customHeight="1">
      <c r="A308" s="9">
        <v>46027.0</v>
      </c>
      <c r="B308" s="8" t="s">
        <v>640</v>
      </c>
      <c r="C308" s="8" t="s">
        <v>167</v>
      </c>
      <c r="D308" s="8" t="s">
        <v>472</v>
      </c>
      <c r="E308" s="8" t="b">
        <f t="shared" si="37"/>
        <v>0</v>
      </c>
      <c r="F308" s="8">
        <v>182.0</v>
      </c>
    </row>
    <row r="309" ht="15.0" customHeight="1">
      <c r="A309" s="9">
        <v>46027.0</v>
      </c>
      <c r="B309" s="8" t="s">
        <v>563</v>
      </c>
      <c r="C309" s="8" t="s">
        <v>167</v>
      </c>
      <c r="D309" s="8" t="s">
        <v>469</v>
      </c>
      <c r="E309" s="8" t="b">
        <f t="shared" si="37"/>
        <v>0</v>
      </c>
      <c r="F309" s="8">
        <v>182.0</v>
      </c>
    </row>
    <row r="310" ht="15.0" customHeight="1">
      <c r="A310" s="9">
        <v>46027.0</v>
      </c>
      <c r="B310" s="8" t="s">
        <v>564</v>
      </c>
      <c r="C310" s="8" t="s">
        <v>167</v>
      </c>
      <c r="D310" s="8" t="s">
        <v>486</v>
      </c>
      <c r="E310" s="8" t="b">
        <f t="shared" si="37"/>
        <v>0</v>
      </c>
      <c r="F310" s="8">
        <v>182.0</v>
      </c>
    </row>
    <row r="311" ht="15.0" customHeight="1">
      <c r="A311" s="9">
        <v>46027.0</v>
      </c>
      <c r="B311" s="8" t="s">
        <v>197</v>
      </c>
      <c r="C311" s="8" t="s">
        <v>116</v>
      </c>
      <c r="D311" s="8" t="s">
        <v>116</v>
      </c>
      <c r="E311" s="8" t="b">
        <f t="shared" si="37"/>
        <v>0</v>
      </c>
      <c r="F311" s="8">
        <v>182.0</v>
      </c>
    </row>
    <row r="312" ht="15.0" customHeight="1">
      <c r="A312" s="9">
        <v>46027.0</v>
      </c>
      <c r="B312" s="8" t="s">
        <v>587</v>
      </c>
      <c r="C312" s="8" t="s">
        <v>313</v>
      </c>
      <c r="D312" s="8" t="s">
        <v>313</v>
      </c>
      <c r="E312" s="8" t="b">
        <f t="shared" si="37"/>
        <v>0</v>
      </c>
      <c r="F312" s="8">
        <v>182.0</v>
      </c>
    </row>
    <row r="313" ht="15.0" customHeight="1">
      <c r="A313" s="9">
        <v>46027.0</v>
      </c>
      <c r="B313" s="8" t="s">
        <v>202</v>
      </c>
      <c r="C313" s="8" t="s">
        <v>167</v>
      </c>
      <c r="D313" s="8" t="s">
        <v>469</v>
      </c>
      <c r="E313" s="8" t="b">
        <f t="shared" si="37"/>
        <v>0</v>
      </c>
      <c r="F313" s="8">
        <v>182.0</v>
      </c>
    </row>
    <row r="314" ht="15.0" customHeight="1">
      <c r="A314" s="9">
        <v>46034.0</v>
      </c>
      <c r="B314" s="8" t="s">
        <v>468</v>
      </c>
      <c r="C314" s="8" t="s">
        <v>167</v>
      </c>
      <c r="D314" s="8" t="s">
        <v>469</v>
      </c>
      <c r="E314" s="8" t="b">
        <f t="shared" si="37"/>
        <v>0</v>
      </c>
      <c r="F314" s="8">
        <v>179.0</v>
      </c>
    </row>
    <row r="315" ht="15.0" customHeight="1">
      <c r="A315" s="9">
        <v>46034.0</v>
      </c>
      <c r="B315" s="8" t="s">
        <v>585</v>
      </c>
      <c r="C315" s="8" t="s">
        <v>167</v>
      </c>
      <c r="D315" s="8" t="s">
        <v>472</v>
      </c>
      <c r="E315" s="8" t="b">
        <f t="shared" si="37"/>
        <v>0</v>
      </c>
      <c r="F315" s="8">
        <v>179.0</v>
      </c>
    </row>
    <row r="316" ht="15.0" customHeight="1">
      <c r="A316" s="9">
        <v>46034.0</v>
      </c>
      <c r="B316" s="8" t="s">
        <v>590</v>
      </c>
      <c r="C316" s="8" t="s">
        <v>167</v>
      </c>
      <c r="D316" s="8" t="s">
        <v>469</v>
      </c>
      <c r="E316" s="8" t="b">
        <f t="shared" si="37"/>
        <v>0</v>
      </c>
      <c r="F316" s="8">
        <v>179.0</v>
      </c>
    </row>
    <row r="317" ht="15.0" customHeight="1">
      <c r="A317" s="9">
        <v>46034.0</v>
      </c>
      <c r="B317" s="8" t="s">
        <v>603</v>
      </c>
      <c r="C317" s="8" t="s">
        <v>167</v>
      </c>
      <c r="D317" s="8" t="s">
        <v>469</v>
      </c>
      <c r="E317" s="8" t="b">
        <f t="shared" si="37"/>
        <v>0</v>
      </c>
      <c r="F317" s="8">
        <v>179.0</v>
      </c>
    </row>
    <row r="318" ht="15.0" customHeight="1">
      <c r="A318" s="9">
        <v>46034.0</v>
      </c>
      <c r="B318" s="8" t="s">
        <v>236</v>
      </c>
      <c r="C318" s="8" t="s">
        <v>167</v>
      </c>
      <c r="D318" s="8" t="s">
        <v>486</v>
      </c>
      <c r="E318" s="8" t="b">
        <f t="shared" si="37"/>
        <v>0</v>
      </c>
      <c r="F318" s="8">
        <v>179.0</v>
      </c>
    </row>
    <row r="319" ht="15.0" customHeight="1">
      <c r="A319" s="9">
        <v>46034.0</v>
      </c>
      <c r="B319" s="8" t="s">
        <v>34</v>
      </c>
      <c r="C319" s="8" t="s">
        <v>54</v>
      </c>
      <c r="D319" s="8" t="s">
        <v>606</v>
      </c>
      <c r="E319" s="8" t="b">
        <f>TRUE()</f>
        <v>1</v>
      </c>
      <c r="F319" s="8">
        <v>179.0</v>
      </c>
    </row>
    <row r="320" ht="15.0" customHeight="1">
      <c r="A320" s="9">
        <v>46034.0</v>
      </c>
      <c r="B320" s="8" t="s">
        <v>250</v>
      </c>
      <c r="C320" s="8" t="s">
        <v>116</v>
      </c>
      <c r="D320" s="8" t="s">
        <v>116</v>
      </c>
      <c r="E320" s="8" t="b">
        <f t="shared" ref="E320:E321" si="38">FALSE()</f>
        <v>0</v>
      </c>
      <c r="F320" s="8">
        <v>179.0</v>
      </c>
    </row>
    <row r="321" ht="15.0" customHeight="1">
      <c r="A321" s="9">
        <v>46034.0</v>
      </c>
      <c r="B321" s="8" t="s">
        <v>78</v>
      </c>
      <c r="C321" s="8" t="s">
        <v>313</v>
      </c>
      <c r="D321" s="8" t="s">
        <v>313</v>
      </c>
      <c r="E321" s="8" t="b">
        <f t="shared" si="38"/>
        <v>0</v>
      </c>
      <c r="F321" s="8">
        <v>179.0</v>
      </c>
    </row>
    <row r="322" ht="15.0" customHeight="1">
      <c r="A322" s="9">
        <v>46034.0</v>
      </c>
      <c r="B322" s="8" t="s">
        <v>92</v>
      </c>
      <c r="C322" s="8" t="s">
        <v>54</v>
      </c>
      <c r="D322" s="8" t="s">
        <v>606</v>
      </c>
      <c r="E322" s="8" t="b">
        <f>TRUE()</f>
        <v>1</v>
      </c>
      <c r="F322" s="8">
        <v>179.0</v>
      </c>
    </row>
    <row r="323" ht="15.0" customHeight="1">
      <c r="A323" s="9">
        <v>46034.0</v>
      </c>
      <c r="B323" s="8" t="s">
        <v>574</v>
      </c>
      <c r="C323" s="8" t="s">
        <v>167</v>
      </c>
      <c r="D323" s="8" t="s">
        <v>486</v>
      </c>
      <c r="E323" s="8" t="b">
        <f t="shared" ref="E323:E335" si="39">FALSE()</f>
        <v>0</v>
      </c>
      <c r="F323" s="8">
        <v>179.0</v>
      </c>
    </row>
    <row r="324" ht="15.0" customHeight="1">
      <c r="A324" s="9">
        <v>46034.0</v>
      </c>
      <c r="B324" s="8" t="s">
        <v>646</v>
      </c>
      <c r="C324" s="8" t="s">
        <v>167</v>
      </c>
      <c r="D324" s="8" t="s">
        <v>486</v>
      </c>
      <c r="E324" s="8" t="b">
        <f t="shared" si="39"/>
        <v>0</v>
      </c>
      <c r="F324" s="8">
        <v>179.0</v>
      </c>
    </row>
    <row r="325" ht="15.0" customHeight="1">
      <c r="A325" s="9">
        <v>46034.0</v>
      </c>
      <c r="B325" s="8" t="s">
        <v>580</v>
      </c>
      <c r="C325" s="8" t="s">
        <v>435</v>
      </c>
      <c r="D325" s="8" t="s">
        <v>581</v>
      </c>
      <c r="E325" s="8" t="b">
        <f t="shared" si="39"/>
        <v>0</v>
      </c>
      <c r="F325" s="8">
        <v>179.0</v>
      </c>
    </row>
    <row r="326" ht="15.0" customHeight="1">
      <c r="A326" s="9">
        <v>46034.0</v>
      </c>
      <c r="B326" s="8" t="s">
        <v>636</v>
      </c>
      <c r="C326" s="8" t="s">
        <v>167</v>
      </c>
      <c r="D326" s="8" t="s">
        <v>469</v>
      </c>
      <c r="E326" s="8" t="b">
        <f t="shared" si="39"/>
        <v>0</v>
      </c>
      <c r="F326" s="8">
        <v>179.0</v>
      </c>
    </row>
    <row r="327" ht="15.0" customHeight="1">
      <c r="A327" s="9">
        <v>46034.0</v>
      </c>
      <c r="B327" s="8" t="s">
        <v>582</v>
      </c>
      <c r="C327" s="8" t="s">
        <v>167</v>
      </c>
      <c r="D327" s="8" t="s">
        <v>486</v>
      </c>
      <c r="E327" s="8" t="b">
        <f t="shared" si="39"/>
        <v>0</v>
      </c>
      <c r="F327" s="8">
        <v>179.0</v>
      </c>
    </row>
    <row r="328" ht="15.0" customHeight="1">
      <c r="A328" s="9">
        <v>46034.0</v>
      </c>
      <c r="B328" s="8" t="s">
        <v>559</v>
      </c>
      <c r="C328" s="8" t="s">
        <v>167</v>
      </c>
      <c r="D328" s="8" t="s">
        <v>472</v>
      </c>
      <c r="E328" s="8" t="b">
        <f t="shared" si="39"/>
        <v>0</v>
      </c>
      <c r="F328" s="8">
        <v>179.0</v>
      </c>
    </row>
    <row r="329" ht="15.0" customHeight="1">
      <c r="A329" s="9">
        <v>46034.0</v>
      </c>
      <c r="B329" s="8" t="s">
        <v>131</v>
      </c>
      <c r="C329" s="8" t="s">
        <v>313</v>
      </c>
      <c r="D329" s="8" t="s">
        <v>313</v>
      </c>
      <c r="E329" s="8" t="b">
        <f t="shared" si="39"/>
        <v>0</v>
      </c>
      <c r="F329" s="8">
        <v>179.0</v>
      </c>
    </row>
    <row r="330" ht="15.0" customHeight="1">
      <c r="A330" s="9">
        <v>46034.0</v>
      </c>
      <c r="B330" s="8" t="s">
        <v>586</v>
      </c>
      <c r="C330" s="8" t="s">
        <v>167</v>
      </c>
      <c r="D330" s="8" t="s">
        <v>472</v>
      </c>
      <c r="E330" s="8" t="b">
        <f t="shared" si="39"/>
        <v>0</v>
      </c>
      <c r="F330" s="8">
        <v>179.0</v>
      </c>
    </row>
    <row r="331" ht="15.0" customHeight="1">
      <c r="A331" s="9">
        <v>46034.0</v>
      </c>
      <c r="B331" s="8" t="s">
        <v>629</v>
      </c>
      <c r="C331" s="8" t="s">
        <v>167</v>
      </c>
      <c r="D331" s="8" t="s">
        <v>472</v>
      </c>
      <c r="E331" s="8" t="b">
        <f t="shared" si="39"/>
        <v>0</v>
      </c>
      <c r="F331" s="8">
        <v>179.0</v>
      </c>
    </row>
    <row r="332" ht="15.0" customHeight="1">
      <c r="A332" s="9">
        <v>46034.0</v>
      </c>
      <c r="B332" s="8" t="s">
        <v>640</v>
      </c>
      <c r="C332" s="8" t="s">
        <v>377</v>
      </c>
      <c r="D332" s="8" t="s">
        <v>482</v>
      </c>
      <c r="E332" s="8" t="b">
        <f t="shared" si="39"/>
        <v>0</v>
      </c>
      <c r="F332" s="8">
        <v>179.0</v>
      </c>
    </row>
    <row r="333" ht="15.0" customHeight="1">
      <c r="A333" s="9">
        <v>46034.0</v>
      </c>
      <c r="B333" s="8" t="s">
        <v>640</v>
      </c>
      <c r="C333" s="8" t="s">
        <v>167</v>
      </c>
      <c r="D333" s="8" t="s">
        <v>472</v>
      </c>
      <c r="E333" s="8" t="b">
        <f t="shared" si="39"/>
        <v>0</v>
      </c>
      <c r="F333" s="8">
        <v>179.0</v>
      </c>
    </row>
    <row r="334" ht="15.0" customHeight="1">
      <c r="A334" s="9">
        <v>46034.0</v>
      </c>
      <c r="B334" s="8" t="s">
        <v>563</v>
      </c>
      <c r="C334" s="8" t="s">
        <v>167</v>
      </c>
      <c r="D334" s="8" t="s">
        <v>469</v>
      </c>
      <c r="E334" s="8" t="b">
        <f t="shared" si="39"/>
        <v>0</v>
      </c>
      <c r="F334" s="8">
        <v>179.0</v>
      </c>
    </row>
    <row r="335" ht="15.0" customHeight="1">
      <c r="A335" s="9">
        <v>46034.0</v>
      </c>
      <c r="B335" s="8" t="s">
        <v>564</v>
      </c>
      <c r="C335" s="8" t="s">
        <v>167</v>
      </c>
      <c r="D335" s="8" t="s">
        <v>486</v>
      </c>
      <c r="E335" s="8" t="b">
        <f t="shared" si="39"/>
        <v>0</v>
      </c>
      <c r="F335" s="8">
        <v>179.0</v>
      </c>
    </row>
    <row r="336" ht="15.0" customHeight="1">
      <c r="A336" s="9">
        <v>46034.0</v>
      </c>
      <c r="B336" s="8" t="s">
        <v>197</v>
      </c>
      <c r="C336" s="8" t="s">
        <v>116</v>
      </c>
      <c r="D336" s="8" t="s">
        <v>116</v>
      </c>
      <c r="E336" s="8" t="b">
        <f>TRUE()</f>
        <v>1</v>
      </c>
      <c r="F336" s="8">
        <v>179.0</v>
      </c>
    </row>
    <row r="337" ht="15.0" customHeight="1">
      <c r="A337" s="9">
        <v>46034.0</v>
      </c>
      <c r="B337" s="8" t="s">
        <v>587</v>
      </c>
      <c r="C337" s="8" t="s">
        <v>313</v>
      </c>
      <c r="D337" s="8" t="s">
        <v>313</v>
      </c>
      <c r="E337" s="8" t="b">
        <f t="shared" ref="E337:E345" si="40">FALSE()</f>
        <v>0</v>
      </c>
      <c r="F337" s="8">
        <v>179.0</v>
      </c>
    </row>
    <row r="338" ht="15.0" customHeight="1">
      <c r="A338" s="9">
        <v>46034.0</v>
      </c>
      <c r="B338" s="8" t="s">
        <v>202</v>
      </c>
      <c r="C338" s="8" t="s">
        <v>167</v>
      </c>
      <c r="D338" s="8" t="s">
        <v>469</v>
      </c>
      <c r="E338" s="8" t="b">
        <f t="shared" si="40"/>
        <v>0</v>
      </c>
      <c r="F338" s="8">
        <v>179.0</v>
      </c>
    </row>
    <row r="339" ht="15.0" customHeight="1">
      <c r="A339" s="9">
        <v>46034.0</v>
      </c>
      <c r="B339" s="8" t="s">
        <v>669</v>
      </c>
      <c r="C339" s="8" t="s">
        <v>167</v>
      </c>
      <c r="D339" s="8" t="s">
        <v>486</v>
      </c>
      <c r="E339" s="8" t="b">
        <f t="shared" si="40"/>
        <v>0</v>
      </c>
      <c r="F339" s="8">
        <v>179.0</v>
      </c>
    </row>
    <row r="340" ht="15.0" customHeight="1">
      <c r="A340" s="9">
        <v>46034.0</v>
      </c>
      <c r="B340" s="8" t="s">
        <v>672</v>
      </c>
      <c r="C340" s="8" t="s">
        <v>167</v>
      </c>
      <c r="D340" s="8" t="s">
        <v>469</v>
      </c>
      <c r="E340" s="8" t="b">
        <f t="shared" si="40"/>
        <v>0</v>
      </c>
      <c r="F340" s="8">
        <v>179.0</v>
      </c>
    </row>
    <row r="341" ht="15.0" customHeight="1">
      <c r="A341" s="9">
        <v>46042.0</v>
      </c>
      <c r="B341" s="8" t="s">
        <v>468</v>
      </c>
      <c r="C341" s="8" t="s">
        <v>167</v>
      </c>
      <c r="D341" s="8" t="s">
        <v>469</v>
      </c>
      <c r="E341" s="8" t="b">
        <f t="shared" si="40"/>
        <v>0</v>
      </c>
      <c r="F341" s="8">
        <v>178.0</v>
      </c>
    </row>
    <row r="342" ht="15.0" customHeight="1">
      <c r="A342" s="9">
        <v>46042.0</v>
      </c>
      <c r="B342" s="8" t="s">
        <v>585</v>
      </c>
      <c r="C342" s="8" t="s">
        <v>167</v>
      </c>
      <c r="D342" s="8" t="s">
        <v>472</v>
      </c>
      <c r="E342" s="8" t="b">
        <f t="shared" si="40"/>
        <v>0</v>
      </c>
      <c r="F342" s="8">
        <v>178.0</v>
      </c>
    </row>
    <row r="343" ht="15.0" customHeight="1">
      <c r="A343" s="9">
        <v>46042.0</v>
      </c>
      <c r="B343" s="8" t="s">
        <v>590</v>
      </c>
      <c r="C343" s="8" t="s">
        <v>167</v>
      </c>
      <c r="D343" s="8" t="s">
        <v>469</v>
      </c>
      <c r="E343" s="8" t="b">
        <f t="shared" si="40"/>
        <v>0</v>
      </c>
      <c r="F343" s="8">
        <v>178.0</v>
      </c>
    </row>
    <row r="344" ht="15.0" customHeight="1">
      <c r="A344" s="9">
        <v>46042.0</v>
      </c>
      <c r="B344" s="8" t="s">
        <v>603</v>
      </c>
      <c r="C344" s="8" t="s">
        <v>167</v>
      </c>
      <c r="D344" s="8" t="s">
        <v>469</v>
      </c>
      <c r="E344" s="8" t="b">
        <f t="shared" si="40"/>
        <v>0</v>
      </c>
      <c r="F344" s="8">
        <v>178.0</v>
      </c>
    </row>
    <row r="345" ht="15.0" customHeight="1">
      <c r="A345" s="9">
        <v>46042.0</v>
      </c>
      <c r="B345" s="8" t="s">
        <v>236</v>
      </c>
      <c r="C345" s="8" t="s">
        <v>167</v>
      </c>
      <c r="D345" s="8" t="s">
        <v>486</v>
      </c>
      <c r="E345" s="8" t="b">
        <f t="shared" si="40"/>
        <v>0</v>
      </c>
      <c r="F345" s="8">
        <v>178.0</v>
      </c>
    </row>
    <row r="346" ht="15.0" customHeight="1">
      <c r="A346" s="9">
        <v>46042.0</v>
      </c>
      <c r="B346" s="8" t="s">
        <v>34</v>
      </c>
      <c r="C346" s="8" t="s">
        <v>54</v>
      </c>
      <c r="D346" s="8" t="s">
        <v>606</v>
      </c>
      <c r="E346" s="8" t="b">
        <f>TRUE()</f>
        <v>1</v>
      </c>
      <c r="F346" s="8">
        <v>178.0</v>
      </c>
    </row>
    <row r="347" ht="15.0" customHeight="1">
      <c r="A347" s="9">
        <v>46042.0</v>
      </c>
      <c r="B347" s="8" t="s">
        <v>78</v>
      </c>
      <c r="C347" s="8" t="s">
        <v>313</v>
      </c>
      <c r="D347" s="8" t="s">
        <v>313</v>
      </c>
      <c r="E347" s="8" t="b">
        <f>FALSE()</f>
        <v>0</v>
      </c>
      <c r="F347" s="8">
        <v>178.0</v>
      </c>
    </row>
    <row r="348" ht="15.0" customHeight="1">
      <c r="A348" s="9">
        <v>46042.0</v>
      </c>
      <c r="B348" s="8" t="s">
        <v>92</v>
      </c>
      <c r="C348" s="8" t="s">
        <v>54</v>
      </c>
      <c r="D348" s="8" t="s">
        <v>606</v>
      </c>
      <c r="E348" s="8" t="b">
        <f>TRUE()</f>
        <v>1</v>
      </c>
      <c r="F348" s="8">
        <v>178.0</v>
      </c>
    </row>
    <row r="349" ht="15.0" customHeight="1">
      <c r="A349" s="9">
        <v>46042.0</v>
      </c>
      <c r="B349" s="8" t="s">
        <v>574</v>
      </c>
      <c r="C349" s="8" t="s">
        <v>167</v>
      </c>
      <c r="D349" s="8" t="s">
        <v>486</v>
      </c>
      <c r="E349" s="8" t="b">
        <f t="shared" ref="E349:E362" si="41">FALSE()</f>
        <v>0</v>
      </c>
      <c r="F349" s="8">
        <v>178.0</v>
      </c>
    </row>
    <row r="350" ht="15.0" customHeight="1">
      <c r="A350" s="9">
        <v>46042.0</v>
      </c>
      <c r="B350" s="8" t="s">
        <v>646</v>
      </c>
      <c r="C350" s="8" t="s">
        <v>167</v>
      </c>
      <c r="D350" s="8" t="s">
        <v>486</v>
      </c>
      <c r="E350" s="8" t="b">
        <f t="shared" si="41"/>
        <v>0</v>
      </c>
      <c r="F350" s="8">
        <v>178.0</v>
      </c>
    </row>
    <row r="351" ht="15.0" customHeight="1">
      <c r="A351" s="9">
        <v>46042.0</v>
      </c>
      <c r="B351" s="8" t="s">
        <v>279</v>
      </c>
      <c r="C351" s="8" t="s">
        <v>167</v>
      </c>
      <c r="D351" s="8" t="s">
        <v>486</v>
      </c>
      <c r="E351" s="8" t="b">
        <f t="shared" si="41"/>
        <v>0</v>
      </c>
      <c r="F351" s="8">
        <v>178.0</v>
      </c>
    </row>
    <row r="352" ht="15.0" customHeight="1">
      <c r="A352" s="9">
        <v>46042.0</v>
      </c>
      <c r="B352" s="8" t="s">
        <v>580</v>
      </c>
      <c r="C352" s="8" t="s">
        <v>435</v>
      </c>
      <c r="D352" s="8" t="s">
        <v>581</v>
      </c>
      <c r="E352" s="8" t="b">
        <f t="shared" si="41"/>
        <v>0</v>
      </c>
      <c r="F352" s="8">
        <v>178.0</v>
      </c>
    </row>
    <row r="353" ht="15.0" customHeight="1">
      <c r="A353" s="9">
        <v>46042.0</v>
      </c>
      <c r="B353" s="8" t="s">
        <v>636</v>
      </c>
      <c r="C353" s="8" t="s">
        <v>167</v>
      </c>
      <c r="D353" s="8" t="s">
        <v>469</v>
      </c>
      <c r="E353" s="8" t="b">
        <f t="shared" si="41"/>
        <v>0</v>
      </c>
      <c r="F353" s="8">
        <v>178.0</v>
      </c>
    </row>
    <row r="354" ht="15.0" customHeight="1">
      <c r="A354" s="9">
        <v>46042.0</v>
      </c>
      <c r="B354" s="8" t="s">
        <v>582</v>
      </c>
      <c r="C354" s="8" t="s">
        <v>167</v>
      </c>
      <c r="D354" s="8" t="s">
        <v>486</v>
      </c>
      <c r="E354" s="8" t="b">
        <f t="shared" si="41"/>
        <v>0</v>
      </c>
      <c r="F354" s="8">
        <v>178.0</v>
      </c>
    </row>
    <row r="355" ht="15.0" customHeight="1">
      <c r="A355" s="9">
        <v>46042.0</v>
      </c>
      <c r="B355" s="8" t="s">
        <v>559</v>
      </c>
      <c r="C355" s="8" t="s">
        <v>167</v>
      </c>
      <c r="D355" s="8" t="s">
        <v>472</v>
      </c>
      <c r="E355" s="8" t="b">
        <f t="shared" si="41"/>
        <v>0</v>
      </c>
      <c r="F355" s="8">
        <v>178.0</v>
      </c>
    </row>
    <row r="356" ht="15.0" customHeight="1">
      <c r="A356" s="9">
        <v>46042.0</v>
      </c>
      <c r="B356" s="8" t="s">
        <v>131</v>
      </c>
      <c r="C356" s="8" t="s">
        <v>313</v>
      </c>
      <c r="D356" s="8" t="s">
        <v>313</v>
      </c>
      <c r="E356" s="8" t="b">
        <f t="shared" si="41"/>
        <v>0</v>
      </c>
      <c r="F356" s="8">
        <v>178.0</v>
      </c>
    </row>
    <row r="357" ht="15.0" customHeight="1">
      <c r="A357" s="9">
        <v>46042.0</v>
      </c>
      <c r="B357" s="8" t="s">
        <v>586</v>
      </c>
      <c r="C357" s="8" t="s">
        <v>167</v>
      </c>
      <c r="D357" s="8" t="s">
        <v>472</v>
      </c>
      <c r="E357" s="8" t="b">
        <f t="shared" si="41"/>
        <v>0</v>
      </c>
      <c r="F357" s="8">
        <v>178.0</v>
      </c>
    </row>
    <row r="358" ht="15.0" customHeight="1">
      <c r="A358" s="9">
        <v>46042.0</v>
      </c>
      <c r="B358" s="8" t="s">
        <v>629</v>
      </c>
      <c r="C358" s="8" t="s">
        <v>167</v>
      </c>
      <c r="D358" s="8" t="s">
        <v>472</v>
      </c>
      <c r="E358" s="8" t="b">
        <f t="shared" si="41"/>
        <v>0</v>
      </c>
      <c r="F358" s="8">
        <v>178.0</v>
      </c>
    </row>
    <row r="359" ht="15.0" customHeight="1">
      <c r="A359" s="9">
        <v>46042.0</v>
      </c>
      <c r="B359" s="8" t="s">
        <v>640</v>
      </c>
      <c r="C359" s="8" t="s">
        <v>377</v>
      </c>
      <c r="D359" s="8" t="s">
        <v>482</v>
      </c>
      <c r="E359" s="8" t="b">
        <f t="shared" si="41"/>
        <v>0</v>
      </c>
      <c r="F359" s="8">
        <v>178.0</v>
      </c>
    </row>
    <row r="360" ht="15.0" customHeight="1">
      <c r="A360" s="9">
        <v>46042.0</v>
      </c>
      <c r="B360" s="8" t="s">
        <v>640</v>
      </c>
      <c r="C360" s="8" t="s">
        <v>167</v>
      </c>
      <c r="D360" s="8" t="s">
        <v>472</v>
      </c>
      <c r="E360" s="8" t="b">
        <f t="shared" si="41"/>
        <v>0</v>
      </c>
      <c r="F360" s="8">
        <v>178.0</v>
      </c>
    </row>
    <row r="361" ht="15.0" customHeight="1">
      <c r="A361" s="9">
        <v>46042.0</v>
      </c>
      <c r="B361" s="8" t="s">
        <v>563</v>
      </c>
      <c r="C361" s="8" t="s">
        <v>167</v>
      </c>
      <c r="D361" s="8" t="s">
        <v>469</v>
      </c>
      <c r="E361" s="8" t="b">
        <f t="shared" si="41"/>
        <v>0</v>
      </c>
      <c r="F361" s="8">
        <v>178.0</v>
      </c>
    </row>
    <row r="362" ht="15.0" customHeight="1">
      <c r="A362" s="9">
        <v>46042.0</v>
      </c>
      <c r="B362" s="8" t="s">
        <v>564</v>
      </c>
      <c r="C362" s="8" t="s">
        <v>167</v>
      </c>
      <c r="D362" s="8" t="s">
        <v>486</v>
      </c>
      <c r="E362" s="8" t="b">
        <f t="shared" si="41"/>
        <v>0</v>
      </c>
      <c r="F362" s="8">
        <v>178.0</v>
      </c>
    </row>
    <row r="363" ht="15.0" customHeight="1">
      <c r="A363" s="9">
        <v>46042.0</v>
      </c>
      <c r="B363" s="8" t="s">
        <v>197</v>
      </c>
      <c r="C363" s="8" t="s">
        <v>116</v>
      </c>
      <c r="D363" s="8" t="s">
        <v>116</v>
      </c>
      <c r="E363" s="8" t="b">
        <f>TRUE()</f>
        <v>1</v>
      </c>
      <c r="F363" s="8">
        <v>178.0</v>
      </c>
    </row>
    <row r="364" ht="15.0" customHeight="1">
      <c r="A364" s="9">
        <v>46042.0</v>
      </c>
      <c r="B364" s="8" t="s">
        <v>587</v>
      </c>
      <c r="C364" s="8" t="s">
        <v>313</v>
      </c>
      <c r="D364" s="8" t="s">
        <v>313</v>
      </c>
      <c r="E364" s="8" t="b">
        <f t="shared" ref="E364:E373" si="42">FALSE()</f>
        <v>0</v>
      </c>
      <c r="F364" s="8">
        <v>178.0</v>
      </c>
    </row>
    <row r="365" ht="15.0" customHeight="1">
      <c r="A365" s="9">
        <v>46042.0</v>
      </c>
      <c r="B365" s="8" t="s">
        <v>202</v>
      </c>
      <c r="C365" s="8" t="s">
        <v>167</v>
      </c>
      <c r="D365" s="8" t="s">
        <v>469</v>
      </c>
      <c r="E365" s="8" t="b">
        <f t="shared" si="42"/>
        <v>0</v>
      </c>
      <c r="F365" s="8">
        <v>178.0</v>
      </c>
    </row>
    <row r="366" ht="15.0" customHeight="1">
      <c r="A366" s="9">
        <v>46042.0</v>
      </c>
      <c r="B366" s="8" t="s">
        <v>669</v>
      </c>
      <c r="C366" s="8" t="s">
        <v>167</v>
      </c>
      <c r="D366" s="8" t="s">
        <v>486</v>
      </c>
      <c r="E366" s="8" t="b">
        <f t="shared" si="42"/>
        <v>0</v>
      </c>
      <c r="F366" s="8">
        <v>178.0</v>
      </c>
    </row>
    <row r="367" ht="15.0" customHeight="1">
      <c r="A367" s="9">
        <v>46042.0</v>
      </c>
      <c r="B367" s="8" t="s">
        <v>672</v>
      </c>
      <c r="C367" s="8" t="s">
        <v>167</v>
      </c>
      <c r="D367" s="8" t="s">
        <v>469</v>
      </c>
      <c r="E367" s="8" t="b">
        <f t="shared" si="42"/>
        <v>0</v>
      </c>
      <c r="F367" s="8">
        <v>178.0</v>
      </c>
    </row>
    <row r="368" ht="15.0" customHeight="1">
      <c r="A368" s="9">
        <v>46048.0</v>
      </c>
      <c r="B368" s="8" t="s">
        <v>585</v>
      </c>
      <c r="C368" s="8" t="s">
        <v>377</v>
      </c>
      <c r="D368" s="8" t="s">
        <v>482</v>
      </c>
      <c r="E368" s="8" t="b">
        <f t="shared" si="42"/>
        <v>0</v>
      </c>
      <c r="F368" s="8">
        <v>175.0</v>
      </c>
    </row>
    <row r="369" ht="15.0" customHeight="1">
      <c r="A369" s="9">
        <v>46048.0</v>
      </c>
      <c r="B369" s="8" t="s">
        <v>585</v>
      </c>
      <c r="C369" s="8" t="s">
        <v>167</v>
      </c>
      <c r="D369" s="8" t="s">
        <v>472</v>
      </c>
      <c r="E369" s="8" t="b">
        <f t="shared" si="42"/>
        <v>0</v>
      </c>
      <c r="F369" s="8">
        <v>175.0</v>
      </c>
    </row>
    <row r="370" ht="15.0" customHeight="1">
      <c r="A370" s="9">
        <v>46048.0</v>
      </c>
      <c r="B370" s="8" t="s">
        <v>590</v>
      </c>
      <c r="C370" s="8" t="s">
        <v>167</v>
      </c>
      <c r="D370" s="8" t="s">
        <v>469</v>
      </c>
      <c r="E370" s="8" t="b">
        <f t="shared" si="42"/>
        <v>0</v>
      </c>
      <c r="F370" s="8">
        <v>175.0</v>
      </c>
    </row>
    <row r="371" ht="15.0" customHeight="1">
      <c r="A371" s="9">
        <v>46048.0</v>
      </c>
      <c r="B371" s="8" t="s">
        <v>603</v>
      </c>
      <c r="C371" s="8" t="s">
        <v>167</v>
      </c>
      <c r="D371" s="8" t="s">
        <v>469</v>
      </c>
      <c r="E371" s="8" t="b">
        <f t="shared" si="42"/>
        <v>0</v>
      </c>
      <c r="F371" s="8">
        <v>175.0</v>
      </c>
    </row>
    <row r="372" ht="15.0" customHeight="1">
      <c r="A372" s="9">
        <v>46048.0</v>
      </c>
      <c r="B372" s="8" t="s">
        <v>236</v>
      </c>
      <c r="C372" s="8" t="s">
        <v>167</v>
      </c>
      <c r="D372" s="8" t="s">
        <v>486</v>
      </c>
      <c r="E372" s="8" t="b">
        <f t="shared" si="42"/>
        <v>0</v>
      </c>
      <c r="F372" s="8">
        <v>175.0</v>
      </c>
    </row>
    <row r="373" ht="15.0" customHeight="1">
      <c r="A373" s="9">
        <v>46048.0</v>
      </c>
      <c r="B373" s="8" t="s">
        <v>623</v>
      </c>
      <c r="C373" s="8" t="s">
        <v>167</v>
      </c>
      <c r="D373" s="8" t="s">
        <v>472</v>
      </c>
      <c r="E373" s="8" t="b">
        <f t="shared" si="42"/>
        <v>0</v>
      </c>
      <c r="F373" s="8">
        <v>175.0</v>
      </c>
    </row>
    <row r="374" ht="15.0" customHeight="1">
      <c r="A374" s="9">
        <v>46048.0</v>
      </c>
      <c r="B374" s="8" t="s">
        <v>34</v>
      </c>
      <c r="C374" s="8" t="s">
        <v>54</v>
      </c>
      <c r="D374" s="8" t="s">
        <v>606</v>
      </c>
      <c r="E374" s="8" t="b">
        <f t="shared" ref="E374:E376" si="43">TRUE()</f>
        <v>1</v>
      </c>
      <c r="F374" s="8">
        <v>175.0</v>
      </c>
    </row>
    <row r="375" ht="15.0" customHeight="1">
      <c r="A375" s="9">
        <v>46048.0</v>
      </c>
      <c r="B375" s="8" t="s">
        <v>78</v>
      </c>
      <c r="C375" s="8" t="s">
        <v>313</v>
      </c>
      <c r="D375" s="8" t="s">
        <v>313</v>
      </c>
      <c r="E375" s="8" t="b">
        <f t="shared" si="43"/>
        <v>1</v>
      </c>
      <c r="F375" s="8">
        <v>175.0</v>
      </c>
    </row>
    <row r="376" ht="15.0" customHeight="1">
      <c r="A376" s="9">
        <v>46048.0</v>
      </c>
      <c r="B376" s="8" t="s">
        <v>92</v>
      </c>
      <c r="C376" s="8" t="s">
        <v>54</v>
      </c>
      <c r="D376" s="8" t="s">
        <v>606</v>
      </c>
      <c r="E376" s="8" t="b">
        <f t="shared" si="43"/>
        <v>1</v>
      </c>
      <c r="F376" s="8">
        <v>175.0</v>
      </c>
    </row>
    <row r="377" ht="15.0" customHeight="1">
      <c r="A377" s="9">
        <v>46048.0</v>
      </c>
      <c r="B377" s="8" t="s">
        <v>269</v>
      </c>
      <c r="C377" s="8" t="s">
        <v>377</v>
      </c>
      <c r="D377" s="8" t="s">
        <v>482</v>
      </c>
      <c r="E377" s="8" t="b">
        <f t="shared" ref="E377:E378" si="44">FALSE()</f>
        <v>0</v>
      </c>
      <c r="F377" s="8">
        <v>175.0</v>
      </c>
    </row>
    <row r="378" ht="15.0" customHeight="1">
      <c r="A378" s="9">
        <v>46048.0</v>
      </c>
      <c r="B378" s="8" t="s">
        <v>646</v>
      </c>
      <c r="C378" s="8" t="s">
        <v>167</v>
      </c>
      <c r="D378" s="8" t="s">
        <v>486</v>
      </c>
      <c r="E378" s="8" t="b">
        <f t="shared" si="44"/>
        <v>0</v>
      </c>
      <c r="F378" s="8">
        <v>175.0</v>
      </c>
    </row>
    <row r="379" ht="15.0" customHeight="1">
      <c r="A379" s="9">
        <v>46048.0</v>
      </c>
      <c r="B379" s="8" t="s">
        <v>279</v>
      </c>
      <c r="C379" s="8" t="s">
        <v>167</v>
      </c>
      <c r="D379" s="8" t="s">
        <v>486</v>
      </c>
      <c r="E379" s="8" t="b">
        <f>TRUE()</f>
        <v>1</v>
      </c>
      <c r="F379" s="8">
        <v>175.0</v>
      </c>
    </row>
    <row r="380" ht="15.0" customHeight="1">
      <c r="A380" s="9">
        <v>46048.0</v>
      </c>
      <c r="B380" s="8" t="s">
        <v>714</v>
      </c>
      <c r="C380" s="8" t="s">
        <v>167</v>
      </c>
      <c r="D380" s="8" t="s">
        <v>486</v>
      </c>
      <c r="E380" s="8" t="b">
        <f t="shared" ref="E380:E393" si="45">FALSE()</f>
        <v>0</v>
      </c>
      <c r="F380" s="8">
        <v>175.0</v>
      </c>
    </row>
    <row r="381" ht="15.0" customHeight="1">
      <c r="A381" s="9">
        <v>46048.0</v>
      </c>
      <c r="B381" s="8" t="s">
        <v>580</v>
      </c>
      <c r="C381" s="8" t="s">
        <v>435</v>
      </c>
      <c r="D381" s="8" t="s">
        <v>581</v>
      </c>
      <c r="E381" s="8" t="b">
        <f t="shared" si="45"/>
        <v>0</v>
      </c>
      <c r="F381" s="8">
        <v>175.0</v>
      </c>
    </row>
    <row r="382" ht="15.0" customHeight="1">
      <c r="A382" s="9">
        <v>46048.0</v>
      </c>
      <c r="B382" s="8" t="s">
        <v>636</v>
      </c>
      <c r="C382" s="8" t="s">
        <v>167</v>
      </c>
      <c r="D382" s="8" t="s">
        <v>469</v>
      </c>
      <c r="E382" s="8" t="b">
        <f t="shared" si="45"/>
        <v>0</v>
      </c>
      <c r="F382" s="8">
        <v>175.0</v>
      </c>
    </row>
    <row r="383" ht="15.0" customHeight="1">
      <c r="A383" s="9">
        <v>46048.0</v>
      </c>
      <c r="B383" s="8" t="s">
        <v>715</v>
      </c>
      <c r="C383" s="8" t="s">
        <v>167</v>
      </c>
      <c r="D383" s="8" t="s">
        <v>486</v>
      </c>
      <c r="E383" s="8" t="b">
        <f t="shared" si="45"/>
        <v>0</v>
      </c>
      <c r="F383" s="8">
        <v>175.0</v>
      </c>
    </row>
    <row r="384" ht="15.0" customHeight="1">
      <c r="A384" s="9">
        <v>46048.0</v>
      </c>
      <c r="B384" s="8" t="s">
        <v>582</v>
      </c>
      <c r="C384" s="8" t="s">
        <v>167</v>
      </c>
      <c r="D384" s="8" t="s">
        <v>486</v>
      </c>
      <c r="E384" s="8" t="b">
        <f t="shared" si="45"/>
        <v>0</v>
      </c>
      <c r="F384" s="8">
        <v>175.0</v>
      </c>
    </row>
    <row r="385" ht="15.0" customHeight="1">
      <c r="A385" s="9">
        <v>46048.0</v>
      </c>
      <c r="B385" s="8" t="s">
        <v>559</v>
      </c>
      <c r="C385" s="8" t="s">
        <v>377</v>
      </c>
      <c r="D385" s="8" t="s">
        <v>482</v>
      </c>
      <c r="E385" s="8" t="b">
        <f t="shared" si="45"/>
        <v>0</v>
      </c>
      <c r="F385" s="8">
        <v>175.0</v>
      </c>
    </row>
    <row r="386" ht="15.0" customHeight="1">
      <c r="A386" s="9">
        <v>46048.0</v>
      </c>
      <c r="B386" s="8" t="s">
        <v>559</v>
      </c>
      <c r="C386" s="8" t="s">
        <v>167</v>
      </c>
      <c r="D386" s="8" t="s">
        <v>472</v>
      </c>
      <c r="E386" s="8" t="b">
        <f t="shared" si="45"/>
        <v>0</v>
      </c>
      <c r="F386" s="8">
        <v>175.0</v>
      </c>
    </row>
    <row r="387" ht="15.0" customHeight="1">
      <c r="A387" s="9">
        <v>46048.0</v>
      </c>
      <c r="B387" s="8" t="s">
        <v>131</v>
      </c>
      <c r="C387" s="8" t="s">
        <v>313</v>
      </c>
      <c r="D387" s="8" t="s">
        <v>313</v>
      </c>
      <c r="E387" s="8" t="b">
        <f t="shared" si="45"/>
        <v>0</v>
      </c>
      <c r="F387" s="8">
        <v>175.0</v>
      </c>
    </row>
    <row r="388" ht="15.0" customHeight="1">
      <c r="A388" s="9">
        <v>46048.0</v>
      </c>
      <c r="B388" s="8" t="s">
        <v>586</v>
      </c>
      <c r="C388" s="8" t="s">
        <v>167</v>
      </c>
      <c r="D388" s="8" t="s">
        <v>472</v>
      </c>
      <c r="E388" s="8" t="b">
        <f t="shared" si="45"/>
        <v>0</v>
      </c>
      <c r="F388" s="8">
        <v>175.0</v>
      </c>
    </row>
    <row r="389" ht="15.0" customHeight="1">
      <c r="A389" s="9">
        <v>46048.0</v>
      </c>
      <c r="B389" s="8" t="s">
        <v>629</v>
      </c>
      <c r="C389" s="8" t="s">
        <v>167</v>
      </c>
      <c r="D389" s="8" t="s">
        <v>472</v>
      </c>
      <c r="E389" s="8" t="b">
        <f t="shared" si="45"/>
        <v>0</v>
      </c>
      <c r="F389" s="8">
        <v>175.0</v>
      </c>
    </row>
    <row r="390" ht="15.0" customHeight="1">
      <c r="A390" s="9">
        <v>46048.0</v>
      </c>
      <c r="B390" s="8" t="s">
        <v>640</v>
      </c>
      <c r="C390" s="8" t="s">
        <v>377</v>
      </c>
      <c r="D390" s="8" t="s">
        <v>482</v>
      </c>
      <c r="E390" s="8" t="b">
        <f t="shared" si="45"/>
        <v>0</v>
      </c>
      <c r="F390" s="8">
        <v>175.0</v>
      </c>
    </row>
    <row r="391" ht="15.0" customHeight="1">
      <c r="A391" s="9">
        <v>46048.0</v>
      </c>
      <c r="B391" s="8" t="s">
        <v>640</v>
      </c>
      <c r="C391" s="8" t="s">
        <v>167</v>
      </c>
      <c r="D391" s="8" t="s">
        <v>472</v>
      </c>
      <c r="E391" s="8" t="b">
        <f t="shared" si="45"/>
        <v>0</v>
      </c>
      <c r="F391" s="8">
        <v>175.0</v>
      </c>
    </row>
    <row r="392" ht="15.0" customHeight="1">
      <c r="A392" s="9">
        <v>46048.0</v>
      </c>
      <c r="B392" s="8" t="s">
        <v>563</v>
      </c>
      <c r="C392" s="8" t="s">
        <v>167</v>
      </c>
      <c r="D392" s="8" t="s">
        <v>469</v>
      </c>
      <c r="E392" s="8" t="b">
        <f t="shared" si="45"/>
        <v>0</v>
      </c>
      <c r="F392" s="8">
        <v>175.0</v>
      </c>
    </row>
    <row r="393" ht="15.0" customHeight="1">
      <c r="A393" s="9">
        <v>46048.0</v>
      </c>
      <c r="B393" s="8" t="s">
        <v>564</v>
      </c>
      <c r="C393" s="8" t="s">
        <v>167</v>
      </c>
      <c r="D393" s="8" t="s">
        <v>486</v>
      </c>
      <c r="E393" s="8" t="b">
        <f t="shared" si="45"/>
        <v>0</v>
      </c>
      <c r="F393" s="8">
        <v>175.0</v>
      </c>
    </row>
    <row r="394" ht="15.0" customHeight="1">
      <c r="A394" s="9">
        <v>46048.0</v>
      </c>
      <c r="B394" s="8" t="s">
        <v>197</v>
      </c>
      <c r="C394" s="8" t="s">
        <v>116</v>
      </c>
      <c r="D394" s="8" t="s">
        <v>116</v>
      </c>
      <c r="E394" s="8" t="b">
        <f>TRUE()</f>
        <v>1</v>
      </c>
      <c r="F394" s="8">
        <v>175.0</v>
      </c>
    </row>
    <row r="395" ht="15.0" customHeight="1">
      <c r="A395" s="9">
        <v>46048.0</v>
      </c>
      <c r="B395" s="8" t="s">
        <v>587</v>
      </c>
      <c r="C395" s="8" t="s">
        <v>313</v>
      </c>
      <c r="D395" s="8" t="s">
        <v>313</v>
      </c>
      <c r="E395" s="8" t="b">
        <f t="shared" ref="E395:E401" si="46">FALSE()</f>
        <v>0</v>
      </c>
      <c r="F395" s="8">
        <v>175.0</v>
      </c>
    </row>
    <row r="396" ht="15.0" customHeight="1">
      <c r="A396" s="9">
        <v>46048.0</v>
      </c>
      <c r="B396" s="8" t="s">
        <v>202</v>
      </c>
      <c r="C396" s="8" t="s">
        <v>167</v>
      </c>
      <c r="D396" s="8" t="s">
        <v>469</v>
      </c>
      <c r="E396" s="8" t="b">
        <f t="shared" si="46"/>
        <v>0</v>
      </c>
      <c r="F396" s="8">
        <v>175.0</v>
      </c>
    </row>
    <row r="397" ht="15.0" customHeight="1">
      <c r="A397" s="9">
        <v>46048.0</v>
      </c>
      <c r="B397" s="8" t="s">
        <v>669</v>
      </c>
      <c r="C397" s="8" t="s">
        <v>167</v>
      </c>
      <c r="D397" s="8" t="s">
        <v>486</v>
      </c>
      <c r="E397" s="8" t="b">
        <f t="shared" si="46"/>
        <v>0</v>
      </c>
      <c r="F397" s="8">
        <v>175.0</v>
      </c>
    </row>
    <row r="398" ht="15.0" customHeight="1">
      <c r="A398" s="9">
        <v>46048.0</v>
      </c>
      <c r="B398" s="8" t="s">
        <v>672</v>
      </c>
      <c r="C398" s="8" t="s">
        <v>167</v>
      </c>
      <c r="D398" s="8" t="s">
        <v>469</v>
      </c>
      <c r="E398" s="8" t="b">
        <f t="shared" si="46"/>
        <v>0</v>
      </c>
      <c r="F398" s="8">
        <v>175.0</v>
      </c>
    </row>
    <row r="399" ht="15.0" customHeight="1">
      <c r="A399" s="9">
        <v>46055.0</v>
      </c>
      <c r="B399" s="8" t="s">
        <v>585</v>
      </c>
      <c r="C399" s="8" t="s">
        <v>167</v>
      </c>
      <c r="D399" s="8" t="s">
        <v>472</v>
      </c>
      <c r="E399" s="8" t="b">
        <f t="shared" si="46"/>
        <v>0</v>
      </c>
      <c r="F399" s="8">
        <v>165.0</v>
      </c>
    </row>
    <row r="400" ht="15.0" customHeight="1">
      <c r="A400" s="9">
        <v>46055.0</v>
      </c>
      <c r="B400" s="8" t="s">
        <v>590</v>
      </c>
      <c r="C400" s="8" t="s">
        <v>167</v>
      </c>
      <c r="D400" s="8" t="s">
        <v>469</v>
      </c>
      <c r="E400" s="8" t="b">
        <f t="shared" si="46"/>
        <v>0</v>
      </c>
      <c r="F400" s="8">
        <v>165.0</v>
      </c>
    </row>
    <row r="401" ht="15.0" customHeight="1">
      <c r="A401" s="9">
        <v>46055.0</v>
      </c>
      <c r="B401" s="8" t="s">
        <v>603</v>
      </c>
      <c r="C401" s="8" t="s">
        <v>167</v>
      </c>
      <c r="D401" s="8" t="s">
        <v>469</v>
      </c>
      <c r="E401" s="8" t="b">
        <f t="shared" si="46"/>
        <v>0</v>
      </c>
      <c r="F401" s="8">
        <v>165.0</v>
      </c>
    </row>
    <row r="402" ht="15.0" customHeight="1">
      <c r="A402" s="9">
        <v>46055.0</v>
      </c>
      <c r="B402" s="8" t="s">
        <v>236</v>
      </c>
      <c r="C402" s="8" t="s">
        <v>167</v>
      </c>
      <c r="D402" s="8" t="s">
        <v>486</v>
      </c>
      <c r="E402" s="8" t="b">
        <f>TRUE()</f>
        <v>1</v>
      </c>
      <c r="F402" s="8">
        <v>165.0</v>
      </c>
    </row>
    <row r="403" ht="15.0" customHeight="1">
      <c r="A403" s="9">
        <v>46055.0</v>
      </c>
      <c r="B403" s="8" t="s">
        <v>623</v>
      </c>
      <c r="C403" s="8" t="s">
        <v>167</v>
      </c>
      <c r="D403" s="8" t="s">
        <v>472</v>
      </c>
      <c r="E403" s="8" t="b">
        <f>FALSE()</f>
        <v>0</v>
      </c>
      <c r="F403" s="8">
        <v>165.0</v>
      </c>
    </row>
    <row r="404" ht="15.0" customHeight="1">
      <c r="A404" s="9">
        <v>46055.0</v>
      </c>
      <c r="B404" s="8" t="s">
        <v>34</v>
      </c>
      <c r="C404" s="8" t="s">
        <v>54</v>
      </c>
      <c r="D404" s="8" t="s">
        <v>606</v>
      </c>
      <c r="E404" s="8" t="b">
        <f>TRUE()</f>
        <v>1</v>
      </c>
      <c r="F404" s="8">
        <v>165.0</v>
      </c>
    </row>
    <row r="405" ht="15.0" customHeight="1">
      <c r="A405" s="9">
        <v>46055.0</v>
      </c>
      <c r="B405" s="8" t="s">
        <v>244</v>
      </c>
      <c r="C405" s="8" t="s">
        <v>377</v>
      </c>
      <c r="D405" s="8" t="s">
        <v>482</v>
      </c>
      <c r="E405" s="8" t="b">
        <f t="shared" ref="E405:E407" si="47">FALSE()</f>
        <v>0</v>
      </c>
      <c r="F405" s="8">
        <v>165.0</v>
      </c>
    </row>
    <row r="406" ht="15.0" customHeight="1">
      <c r="A406" s="9">
        <v>46055.0</v>
      </c>
      <c r="B406" s="8" t="s">
        <v>78</v>
      </c>
      <c r="C406" s="8" t="s">
        <v>167</v>
      </c>
      <c r="D406" s="8" t="s">
        <v>469</v>
      </c>
      <c r="E406" s="8" t="b">
        <f t="shared" si="47"/>
        <v>0</v>
      </c>
      <c r="F406" s="8">
        <v>165.0</v>
      </c>
    </row>
    <row r="407" ht="15.0" customHeight="1">
      <c r="A407" s="9">
        <v>46055.0</v>
      </c>
      <c r="B407" s="8" t="s">
        <v>713</v>
      </c>
      <c r="C407" s="8" t="s">
        <v>167</v>
      </c>
      <c r="D407" s="8" t="s">
        <v>472</v>
      </c>
      <c r="E407" s="8" t="b">
        <f t="shared" si="47"/>
        <v>0</v>
      </c>
      <c r="F407" s="8">
        <v>165.0</v>
      </c>
    </row>
    <row r="408" ht="15.0" customHeight="1">
      <c r="A408" s="9">
        <v>46055.0</v>
      </c>
      <c r="B408" s="8" t="s">
        <v>92</v>
      </c>
      <c r="C408" s="8" t="s">
        <v>54</v>
      </c>
      <c r="D408" s="8" t="s">
        <v>606</v>
      </c>
      <c r="E408" s="8" t="b">
        <f t="shared" ref="E408:E409" si="48">TRUE()</f>
        <v>1</v>
      </c>
      <c r="F408" s="8">
        <v>165.0</v>
      </c>
    </row>
    <row r="409" ht="15.0" customHeight="1">
      <c r="A409" s="9">
        <v>46055.0</v>
      </c>
      <c r="B409" s="8" t="s">
        <v>269</v>
      </c>
      <c r="C409" s="8" t="s">
        <v>167</v>
      </c>
      <c r="D409" s="8" t="s">
        <v>472</v>
      </c>
      <c r="E409" s="8" t="b">
        <f t="shared" si="48"/>
        <v>1</v>
      </c>
      <c r="F409" s="8">
        <v>165.0</v>
      </c>
    </row>
    <row r="410" ht="15.0" customHeight="1">
      <c r="A410" s="9">
        <v>46055.0</v>
      </c>
      <c r="B410" s="8" t="s">
        <v>723</v>
      </c>
      <c r="C410" s="8" t="s">
        <v>377</v>
      </c>
      <c r="D410" s="8" t="s">
        <v>482</v>
      </c>
      <c r="E410" s="8" t="b">
        <f t="shared" ref="E410:E423" si="49">FALSE()</f>
        <v>0</v>
      </c>
      <c r="F410" s="8">
        <v>165.0</v>
      </c>
    </row>
    <row r="411" ht="15.0" customHeight="1">
      <c r="A411" s="9">
        <v>46055.0</v>
      </c>
      <c r="B411" s="8" t="s">
        <v>646</v>
      </c>
      <c r="C411" s="8" t="s">
        <v>167</v>
      </c>
      <c r="D411" s="8" t="s">
        <v>486</v>
      </c>
      <c r="E411" s="8" t="b">
        <f t="shared" si="49"/>
        <v>0</v>
      </c>
      <c r="F411" s="8">
        <v>165.0</v>
      </c>
    </row>
    <row r="412" ht="15.0" customHeight="1">
      <c r="A412" s="9">
        <v>46055.0</v>
      </c>
      <c r="B412" s="8" t="s">
        <v>279</v>
      </c>
      <c r="C412" s="8" t="s">
        <v>167</v>
      </c>
      <c r="D412" s="8" t="s">
        <v>486</v>
      </c>
      <c r="E412" s="8" t="b">
        <f t="shared" si="49"/>
        <v>0</v>
      </c>
      <c r="F412" s="8">
        <v>165.0</v>
      </c>
    </row>
    <row r="413" ht="15.0" customHeight="1">
      <c r="A413" s="9">
        <v>46055.0</v>
      </c>
      <c r="B413" s="8" t="s">
        <v>714</v>
      </c>
      <c r="C413" s="8" t="s">
        <v>167</v>
      </c>
      <c r="D413" s="8" t="s">
        <v>486</v>
      </c>
      <c r="E413" s="8" t="b">
        <f t="shared" si="49"/>
        <v>0</v>
      </c>
      <c r="F413" s="8">
        <v>165.0</v>
      </c>
    </row>
    <row r="414" ht="15.0" customHeight="1">
      <c r="A414" s="9">
        <v>46055.0</v>
      </c>
      <c r="B414" s="8" t="s">
        <v>580</v>
      </c>
      <c r="C414" s="8" t="s">
        <v>435</v>
      </c>
      <c r="D414" s="8" t="s">
        <v>581</v>
      </c>
      <c r="E414" s="8" t="b">
        <f t="shared" si="49"/>
        <v>0</v>
      </c>
      <c r="F414" s="8">
        <v>165.0</v>
      </c>
    </row>
    <row r="415" ht="15.0" customHeight="1">
      <c r="A415" s="9">
        <v>46055.0</v>
      </c>
      <c r="B415" s="8" t="s">
        <v>715</v>
      </c>
      <c r="C415" s="8" t="s">
        <v>377</v>
      </c>
      <c r="D415" s="8" t="s">
        <v>482</v>
      </c>
      <c r="E415" s="8" t="b">
        <f t="shared" si="49"/>
        <v>0</v>
      </c>
      <c r="F415" s="8">
        <v>165.0</v>
      </c>
    </row>
    <row r="416" ht="15.0" customHeight="1">
      <c r="A416" s="9">
        <v>46055.0</v>
      </c>
      <c r="B416" s="8" t="s">
        <v>715</v>
      </c>
      <c r="C416" s="8" t="s">
        <v>167</v>
      </c>
      <c r="D416" s="8" t="s">
        <v>486</v>
      </c>
      <c r="E416" s="8" t="b">
        <f t="shared" si="49"/>
        <v>0</v>
      </c>
      <c r="F416" s="8">
        <v>165.0</v>
      </c>
    </row>
    <row r="417" ht="15.0" customHeight="1">
      <c r="A417" s="9">
        <v>46055.0</v>
      </c>
      <c r="B417" s="8" t="s">
        <v>582</v>
      </c>
      <c r="C417" s="8" t="s">
        <v>167</v>
      </c>
      <c r="D417" s="8" t="s">
        <v>486</v>
      </c>
      <c r="E417" s="8" t="b">
        <f t="shared" si="49"/>
        <v>0</v>
      </c>
      <c r="F417" s="8">
        <v>165.0</v>
      </c>
    </row>
    <row r="418" ht="15.0" customHeight="1">
      <c r="A418" s="9">
        <v>46055.0</v>
      </c>
      <c r="B418" s="8" t="s">
        <v>726</v>
      </c>
      <c r="C418" s="8" t="s">
        <v>377</v>
      </c>
      <c r="D418" s="8" t="s">
        <v>482</v>
      </c>
      <c r="E418" s="8" t="b">
        <f t="shared" si="49"/>
        <v>0</v>
      </c>
      <c r="F418" s="8">
        <v>165.0</v>
      </c>
    </row>
    <row r="419" ht="15.0" customHeight="1">
      <c r="A419" s="9">
        <v>46055.0</v>
      </c>
      <c r="B419" s="8" t="s">
        <v>559</v>
      </c>
      <c r="C419" s="8" t="s">
        <v>167</v>
      </c>
      <c r="D419" s="8" t="s">
        <v>472</v>
      </c>
      <c r="E419" s="8" t="b">
        <f t="shared" si="49"/>
        <v>0</v>
      </c>
      <c r="F419" s="8">
        <v>165.0</v>
      </c>
    </row>
    <row r="420" ht="15.0" customHeight="1">
      <c r="A420" s="9">
        <v>46055.0</v>
      </c>
      <c r="B420" s="8" t="s">
        <v>131</v>
      </c>
      <c r="C420" s="8" t="s">
        <v>313</v>
      </c>
      <c r="D420" s="8" t="s">
        <v>313</v>
      </c>
      <c r="E420" s="8" t="b">
        <f t="shared" si="49"/>
        <v>0</v>
      </c>
      <c r="F420" s="8">
        <v>165.0</v>
      </c>
    </row>
    <row r="421" ht="15.0" customHeight="1">
      <c r="A421" s="9">
        <v>46055.0</v>
      </c>
      <c r="B421" s="8" t="s">
        <v>586</v>
      </c>
      <c r="C421" s="8" t="s">
        <v>167</v>
      </c>
      <c r="D421" s="8" t="s">
        <v>472</v>
      </c>
      <c r="E421" s="8" t="b">
        <f t="shared" si="49"/>
        <v>0</v>
      </c>
      <c r="F421" s="8">
        <v>165.0</v>
      </c>
    </row>
    <row r="422" ht="15.0" customHeight="1">
      <c r="A422" s="9">
        <v>46055.0</v>
      </c>
      <c r="B422" s="8" t="s">
        <v>629</v>
      </c>
      <c r="C422" s="8" t="s">
        <v>167</v>
      </c>
      <c r="D422" s="8" t="s">
        <v>472</v>
      </c>
      <c r="E422" s="8" t="b">
        <f t="shared" si="49"/>
        <v>0</v>
      </c>
      <c r="F422" s="8">
        <v>165.0</v>
      </c>
    </row>
    <row r="423" ht="15.0" customHeight="1">
      <c r="A423" s="9">
        <v>46055.0</v>
      </c>
      <c r="B423" s="8" t="s">
        <v>563</v>
      </c>
      <c r="C423" s="8" t="s">
        <v>167</v>
      </c>
      <c r="D423" s="8" t="s">
        <v>469</v>
      </c>
      <c r="E423" s="8" t="b">
        <f t="shared" si="49"/>
        <v>0</v>
      </c>
      <c r="F423" s="8">
        <v>165.0</v>
      </c>
    </row>
    <row r="424" ht="15.0" customHeight="1">
      <c r="A424" s="9">
        <v>46055.0</v>
      </c>
      <c r="B424" s="8" t="s">
        <v>197</v>
      </c>
      <c r="C424" s="8" t="s">
        <v>116</v>
      </c>
      <c r="D424" s="8" t="s">
        <v>116</v>
      </c>
      <c r="E424" s="8" t="b">
        <f>TRUE()</f>
        <v>1</v>
      </c>
      <c r="F424" s="8">
        <v>165.0</v>
      </c>
    </row>
    <row r="425" ht="15.0" customHeight="1">
      <c r="A425" s="9">
        <v>46055.0</v>
      </c>
      <c r="B425" s="8" t="s">
        <v>587</v>
      </c>
      <c r="C425" s="8" t="s">
        <v>313</v>
      </c>
      <c r="D425" s="8" t="s">
        <v>313</v>
      </c>
      <c r="E425" s="8" t="b">
        <f t="shared" ref="E425:E431" si="50">FALSE()</f>
        <v>0</v>
      </c>
      <c r="F425" s="8">
        <v>165.0</v>
      </c>
    </row>
    <row r="426" ht="15.0" customHeight="1">
      <c r="A426" s="9">
        <v>46055.0</v>
      </c>
      <c r="B426" s="8" t="s">
        <v>202</v>
      </c>
      <c r="C426" s="8" t="s">
        <v>167</v>
      </c>
      <c r="D426" s="8" t="s">
        <v>469</v>
      </c>
      <c r="E426" s="8" t="b">
        <f t="shared" si="50"/>
        <v>0</v>
      </c>
      <c r="F426" s="8">
        <v>165.0</v>
      </c>
    </row>
    <row r="427" ht="15.0" customHeight="1">
      <c r="A427" s="9">
        <v>46055.0</v>
      </c>
      <c r="B427" s="8" t="s">
        <v>669</v>
      </c>
      <c r="C427" s="8" t="s">
        <v>167</v>
      </c>
      <c r="D427" s="8" t="s">
        <v>486</v>
      </c>
      <c r="E427" s="8" t="b">
        <f t="shared" si="50"/>
        <v>0</v>
      </c>
      <c r="F427" s="8">
        <v>165.0</v>
      </c>
    </row>
    <row r="428" ht="15.0" customHeight="1">
      <c r="A428" s="9">
        <v>46055.0</v>
      </c>
      <c r="B428" s="8" t="s">
        <v>672</v>
      </c>
      <c r="C428" s="8" t="s">
        <v>167</v>
      </c>
      <c r="D428" s="8" t="s">
        <v>469</v>
      </c>
      <c r="E428" s="8" t="b">
        <f t="shared" si="50"/>
        <v>0</v>
      </c>
      <c r="F428" s="8">
        <v>165.0</v>
      </c>
    </row>
    <row r="429" ht="15.0" customHeight="1">
      <c r="A429" s="9">
        <v>46062.0</v>
      </c>
      <c r="B429" s="8" t="s">
        <v>572</v>
      </c>
      <c r="C429" s="8" t="s">
        <v>377</v>
      </c>
      <c r="D429" s="8" t="s">
        <v>482</v>
      </c>
      <c r="E429" s="8" t="b">
        <f t="shared" si="50"/>
        <v>0</v>
      </c>
      <c r="F429" s="8">
        <v>155.0</v>
      </c>
    </row>
    <row r="430" ht="15.0" customHeight="1">
      <c r="A430" s="9">
        <v>46062.0</v>
      </c>
      <c r="B430" s="8" t="s">
        <v>585</v>
      </c>
      <c r="C430" s="8" t="s">
        <v>167</v>
      </c>
      <c r="D430" s="8" t="s">
        <v>472</v>
      </c>
      <c r="E430" s="8" t="b">
        <f t="shared" si="50"/>
        <v>0</v>
      </c>
      <c r="F430" s="8">
        <v>155.0</v>
      </c>
    </row>
    <row r="431" ht="15.0" customHeight="1">
      <c r="A431" s="9">
        <v>46062.0</v>
      </c>
      <c r="B431" s="8" t="s">
        <v>603</v>
      </c>
      <c r="C431" s="8" t="s">
        <v>167</v>
      </c>
      <c r="D431" s="8" t="s">
        <v>469</v>
      </c>
      <c r="E431" s="8" t="b">
        <f t="shared" si="50"/>
        <v>0</v>
      </c>
      <c r="F431" s="8">
        <v>155.0</v>
      </c>
    </row>
    <row r="432" ht="15.0" customHeight="1">
      <c r="A432" s="9">
        <v>46062.0</v>
      </c>
      <c r="B432" s="8" t="s">
        <v>236</v>
      </c>
      <c r="C432" s="8" t="s">
        <v>116</v>
      </c>
      <c r="D432" s="8" t="s">
        <v>116</v>
      </c>
      <c r="E432" s="8" t="b">
        <f>TRUE()</f>
        <v>1</v>
      </c>
      <c r="F432" s="8">
        <v>155.0</v>
      </c>
    </row>
    <row r="433" ht="15.0" customHeight="1">
      <c r="A433" s="9">
        <v>46062.0</v>
      </c>
      <c r="B433" s="8" t="s">
        <v>623</v>
      </c>
      <c r="C433" s="8" t="s">
        <v>167</v>
      </c>
      <c r="D433" s="8" t="s">
        <v>472</v>
      </c>
      <c r="E433" s="8" t="b">
        <f>FALSE()</f>
        <v>0</v>
      </c>
      <c r="F433" s="8">
        <v>155.0</v>
      </c>
    </row>
    <row r="434" ht="15.0" customHeight="1">
      <c r="A434" s="9">
        <v>46062.0</v>
      </c>
      <c r="B434" s="8" t="s">
        <v>34</v>
      </c>
      <c r="C434" s="8" t="s">
        <v>54</v>
      </c>
      <c r="D434" s="8" t="s">
        <v>606</v>
      </c>
      <c r="E434" s="8" t="b">
        <f>TRUE()</f>
        <v>1</v>
      </c>
      <c r="F434" s="8">
        <v>155.0</v>
      </c>
    </row>
    <row r="435" ht="15.0" customHeight="1">
      <c r="A435" s="9">
        <v>46062.0</v>
      </c>
      <c r="B435" s="8" t="s">
        <v>745</v>
      </c>
      <c r="C435" s="8" t="s">
        <v>167</v>
      </c>
      <c r="D435" s="8" t="s">
        <v>469</v>
      </c>
      <c r="E435" s="8" t="b">
        <f t="shared" ref="E435:E437" si="51">FALSE()</f>
        <v>0</v>
      </c>
      <c r="F435" s="8">
        <v>155.0</v>
      </c>
    </row>
    <row r="436" ht="15.0" customHeight="1">
      <c r="A436" s="9">
        <v>46062.0</v>
      </c>
      <c r="B436" s="8" t="s">
        <v>78</v>
      </c>
      <c r="C436" s="8" t="s">
        <v>167</v>
      </c>
      <c r="D436" s="8" t="s">
        <v>469</v>
      </c>
      <c r="E436" s="8" t="b">
        <f t="shared" si="51"/>
        <v>0</v>
      </c>
      <c r="F436" s="8">
        <v>155.0</v>
      </c>
    </row>
    <row r="437" ht="15.0" customHeight="1">
      <c r="A437" s="9">
        <v>46062.0</v>
      </c>
      <c r="B437" s="8" t="s">
        <v>713</v>
      </c>
      <c r="C437" s="8" t="s">
        <v>167</v>
      </c>
      <c r="D437" s="8" t="s">
        <v>472</v>
      </c>
      <c r="E437" s="8" t="b">
        <f t="shared" si="51"/>
        <v>0</v>
      </c>
      <c r="F437" s="8">
        <v>155.0</v>
      </c>
    </row>
    <row r="438" ht="15.0" customHeight="1">
      <c r="A438" s="9">
        <v>46062.0</v>
      </c>
      <c r="B438" s="8" t="s">
        <v>92</v>
      </c>
      <c r="C438" s="8" t="s">
        <v>54</v>
      </c>
      <c r="D438" s="8" t="s">
        <v>606</v>
      </c>
      <c r="E438" s="8" t="b">
        <f>TRUE()</f>
        <v>1</v>
      </c>
      <c r="F438" s="8">
        <v>155.0</v>
      </c>
    </row>
    <row r="439" ht="15.0" customHeight="1">
      <c r="A439" s="9">
        <v>46062.0</v>
      </c>
      <c r="B439" s="8" t="s">
        <v>750</v>
      </c>
      <c r="C439" s="8" t="s">
        <v>377</v>
      </c>
      <c r="D439" s="8" t="s">
        <v>482</v>
      </c>
      <c r="E439" s="8" t="b">
        <f t="shared" ref="E439:E465" si="52">FALSE()</f>
        <v>0</v>
      </c>
      <c r="F439" s="8">
        <v>155.0</v>
      </c>
    </row>
    <row r="440" ht="15.0" customHeight="1">
      <c r="A440" s="9">
        <v>46062.0</v>
      </c>
      <c r="B440" s="8" t="s">
        <v>751</v>
      </c>
      <c r="C440" s="8" t="s">
        <v>167</v>
      </c>
      <c r="D440" s="8" t="s">
        <v>472</v>
      </c>
      <c r="E440" s="8" t="b">
        <f t="shared" si="52"/>
        <v>0</v>
      </c>
      <c r="F440" s="8">
        <v>155.0</v>
      </c>
    </row>
    <row r="441" ht="15.0" customHeight="1">
      <c r="A441" s="9">
        <v>46062.0</v>
      </c>
      <c r="B441" s="8" t="s">
        <v>754</v>
      </c>
      <c r="C441" s="8" t="s">
        <v>377</v>
      </c>
      <c r="D441" s="8" t="s">
        <v>482</v>
      </c>
      <c r="E441" s="8" t="b">
        <f t="shared" si="52"/>
        <v>0</v>
      </c>
      <c r="F441" s="8">
        <v>155.0</v>
      </c>
    </row>
    <row r="442" ht="15.0" customHeight="1">
      <c r="A442" s="9">
        <v>46062.0</v>
      </c>
      <c r="B442" s="8" t="s">
        <v>646</v>
      </c>
      <c r="C442" s="8" t="s">
        <v>167</v>
      </c>
      <c r="D442" s="8" t="s">
        <v>486</v>
      </c>
      <c r="E442" s="8" t="b">
        <f t="shared" si="52"/>
        <v>0</v>
      </c>
      <c r="F442" s="8">
        <v>155.0</v>
      </c>
    </row>
    <row r="443" ht="15.0" customHeight="1">
      <c r="A443" s="9">
        <v>46062.0</v>
      </c>
      <c r="B443" s="8" t="s">
        <v>315</v>
      </c>
      <c r="C443" s="8" t="s">
        <v>377</v>
      </c>
      <c r="D443" s="8" t="s">
        <v>482</v>
      </c>
      <c r="E443" s="8" t="b">
        <f t="shared" si="52"/>
        <v>0</v>
      </c>
      <c r="F443" s="8">
        <v>155.0</v>
      </c>
    </row>
    <row r="444" ht="15.0" customHeight="1">
      <c r="A444" s="9">
        <v>46062.0</v>
      </c>
      <c r="B444" s="8" t="s">
        <v>757</v>
      </c>
      <c r="C444" s="8" t="s">
        <v>377</v>
      </c>
      <c r="D444" s="8" t="s">
        <v>482</v>
      </c>
      <c r="E444" s="8" t="b">
        <f t="shared" si="52"/>
        <v>0</v>
      </c>
      <c r="F444" s="8">
        <v>155.0</v>
      </c>
    </row>
    <row r="445" ht="15.0" customHeight="1">
      <c r="A445" s="9">
        <v>46062.0</v>
      </c>
      <c r="B445" s="8" t="s">
        <v>714</v>
      </c>
      <c r="C445" s="8" t="s">
        <v>167</v>
      </c>
      <c r="D445" s="8" t="s">
        <v>486</v>
      </c>
      <c r="E445" s="8" t="b">
        <f t="shared" si="52"/>
        <v>0</v>
      </c>
      <c r="F445" s="8">
        <v>155.0</v>
      </c>
    </row>
    <row r="446" ht="15.0" customHeight="1">
      <c r="A446" s="9">
        <v>46062.0</v>
      </c>
      <c r="B446" s="8" t="s">
        <v>580</v>
      </c>
      <c r="C446" s="8" t="s">
        <v>435</v>
      </c>
      <c r="D446" s="8" t="s">
        <v>581</v>
      </c>
      <c r="E446" s="8" t="b">
        <f t="shared" si="52"/>
        <v>0</v>
      </c>
      <c r="F446" s="8">
        <v>155.0</v>
      </c>
    </row>
    <row r="447" ht="15.0" customHeight="1">
      <c r="A447" s="9">
        <v>46062.0</v>
      </c>
      <c r="B447" s="8" t="s">
        <v>759</v>
      </c>
      <c r="C447" s="8" t="s">
        <v>377</v>
      </c>
      <c r="D447" s="8" t="s">
        <v>482</v>
      </c>
      <c r="E447" s="8" t="b">
        <f t="shared" si="52"/>
        <v>0</v>
      </c>
      <c r="F447" s="8">
        <v>155.0</v>
      </c>
    </row>
    <row r="448" ht="15.0" customHeight="1">
      <c r="A448" s="9">
        <v>46062.0</v>
      </c>
      <c r="B448" s="8" t="s">
        <v>760</v>
      </c>
      <c r="C448" s="8" t="s">
        <v>377</v>
      </c>
      <c r="D448" s="8" t="s">
        <v>482</v>
      </c>
      <c r="E448" s="8" t="b">
        <f t="shared" si="52"/>
        <v>0</v>
      </c>
      <c r="F448" s="8">
        <v>155.0</v>
      </c>
    </row>
    <row r="449" ht="15.0" customHeight="1">
      <c r="A449" s="9">
        <v>46062.0</v>
      </c>
      <c r="B449" s="8" t="s">
        <v>582</v>
      </c>
      <c r="C449" s="8" t="s">
        <v>167</v>
      </c>
      <c r="D449" s="8" t="s">
        <v>486</v>
      </c>
      <c r="E449" s="8" t="b">
        <f t="shared" si="52"/>
        <v>0</v>
      </c>
      <c r="F449" s="8">
        <v>155.0</v>
      </c>
    </row>
    <row r="450" ht="15.0" customHeight="1">
      <c r="A450" s="9">
        <v>46062.0</v>
      </c>
      <c r="B450" s="8" t="s">
        <v>726</v>
      </c>
      <c r="C450" s="8" t="s">
        <v>377</v>
      </c>
      <c r="D450" s="8" t="s">
        <v>482</v>
      </c>
      <c r="E450" s="8" t="b">
        <f t="shared" si="52"/>
        <v>0</v>
      </c>
      <c r="F450" s="8">
        <v>155.0</v>
      </c>
    </row>
    <row r="451" ht="15.0" customHeight="1">
      <c r="A451" s="9">
        <v>46062.0</v>
      </c>
      <c r="B451" s="8" t="s">
        <v>559</v>
      </c>
      <c r="C451" s="8" t="s">
        <v>167</v>
      </c>
      <c r="D451" s="8" t="s">
        <v>472</v>
      </c>
      <c r="E451" s="8" t="b">
        <f t="shared" si="52"/>
        <v>0</v>
      </c>
      <c r="F451" s="8">
        <v>155.0</v>
      </c>
    </row>
    <row r="452" ht="15.0" customHeight="1">
      <c r="A452" s="9">
        <v>46062.0</v>
      </c>
      <c r="B452" s="8" t="s">
        <v>131</v>
      </c>
      <c r="C452" s="8" t="s">
        <v>313</v>
      </c>
      <c r="D452" s="8" t="s">
        <v>313</v>
      </c>
      <c r="E452" s="8" t="b">
        <f t="shared" si="52"/>
        <v>0</v>
      </c>
      <c r="F452" s="8">
        <v>155.0</v>
      </c>
    </row>
    <row r="453" ht="15.0" customHeight="1">
      <c r="A453" s="9">
        <v>46062.0</v>
      </c>
      <c r="B453" s="8" t="s">
        <v>629</v>
      </c>
      <c r="C453" s="8" t="s">
        <v>167</v>
      </c>
      <c r="D453" s="8" t="s">
        <v>472</v>
      </c>
      <c r="E453" s="8" t="b">
        <f t="shared" si="52"/>
        <v>0</v>
      </c>
      <c r="F453" s="8">
        <v>155.0</v>
      </c>
    </row>
    <row r="454" ht="15.0" customHeight="1">
      <c r="A454" s="9">
        <v>46062.0</v>
      </c>
      <c r="B454" s="8" t="s">
        <v>563</v>
      </c>
      <c r="C454" s="8" t="s">
        <v>167</v>
      </c>
      <c r="D454" s="8" t="s">
        <v>469</v>
      </c>
      <c r="E454" s="8" t="b">
        <f t="shared" si="52"/>
        <v>0</v>
      </c>
      <c r="F454" s="8">
        <v>155.0</v>
      </c>
    </row>
    <row r="455" ht="15.0" customHeight="1">
      <c r="A455" s="9">
        <v>46062.0</v>
      </c>
      <c r="B455" s="8" t="s">
        <v>197</v>
      </c>
      <c r="C455" s="8" t="s">
        <v>116</v>
      </c>
      <c r="D455" s="8" t="s">
        <v>116</v>
      </c>
      <c r="E455" s="8" t="b">
        <f t="shared" si="52"/>
        <v>0</v>
      </c>
      <c r="F455" s="8">
        <v>155.0</v>
      </c>
    </row>
    <row r="456" ht="15.0" customHeight="1">
      <c r="A456" s="9">
        <v>46062.0</v>
      </c>
      <c r="B456" s="8" t="s">
        <v>587</v>
      </c>
      <c r="C456" s="8" t="s">
        <v>313</v>
      </c>
      <c r="D456" s="8" t="s">
        <v>313</v>
      </c>
      <c r="E456" s="8" t="b">
        <f t="shared" si="52"/>
        <v>0</v>
      </c>
      <c r="F456" s="8">
        <v>155.0</v>
      </c>
    </row>
    <row r="457" ht="15.0" customHeight="1">
      <c r="A457" s="9">
        <v>46062.0</v>
      </c>
      <c r="B457" s="8" t="s">
        <v>202</v>
      </c>
      <c r="C457" s="8" t="s">
        <v>167</v>
      </c>
      <c r="D457" s="8" t="s">
        <v>469</v>
      </c>
      <c r="E457" s="8" t="b">
        <f t="shared" si="52"/>
        <v>0</v>
      </c>
      <c r="F457" s="8">
        <v>155.0</v>
      </c>
    </row>
    <row r="458" ht="15.0" customHeight="1">
      <c r="A458" s="9">
        <v>46062.0</v>
      </c>
      <c r="B458" s="8" t="s">
        <v>765</v>
      </c>
      <c r="C458" s="8" t="s">
        <v>377</v>
      </c>
      <c r="D458" s="8" t="s">
        <v>482</v>
      </c>
      <c r="E458" s="8" t="b">
        <f t="shared" si="52"/>
        <v>0</v>
      </c>
      <c r="F458" s="8">
        <v>155.0</v>
      </c>
    </row>
    <row r="459" ht="15.0" customHeight="1">
      <c r="A459" s="9">
        <v>46062.0</v>
      </c>
      <c r="B459" s="8" t="s">
        <v>669</v>
      </c>
      <c r="C459" s="8" t="s">
        <v>167</v>
      </c>
      <c r="D459" s="8" t="s">
        <v>486</v>
      </c>
      <c r="E459" s="8" t="b">
        <f t="shared" si="52"/>
        <v>0</v>
      </c>
      <c r="F459" s="8">
        <v>155.0</v>
      </c>
    </row>
    <row r="460" ht="15.0" customHeight="1">
      <c r="A460" s="9">
        <v>46070.0</v>
      </c>
      <c r="B460" s="8" t="s">
        <v>536</v>
      </c>
      <c r="C460" s="8" t="s">
        <v>167</v>
      </c>
      <c r="D460" s="8" t="s">
        <v>469</v>
      </c>
      <c r="E460" s="8" t="b">
        <f t="shared" si="52"/>
        <v>0</v>
      </c>
      <c r="F460" s="8">
        <v>147.0</v>
      </c>
    </row>
    <row r="461" ht="15.0" customHeight="1">
      <c r="A461" s="9">
        <v>46070.0</v>
      </c>
      <c r="B461" s="8" t="s">
        <v>256</v>
      </c>
      <c r="C461" s="8" t="s">
        <v>377</v>
      </c>
      <c r="D461" s="8" t="s">
        <v>482</v>
      </c>
      <c r="E461" s="8" t="b">
        <f t="shared" si="52"/>
        <v>0</v>
      </c>
      <c r="F461" s="8">
        <v>147.0</v>
      </c>
    </row>
    <row r="462" ht="15.0" customHeight="1">
      <c r="A462" s="9">
        <v>46070.0</v>
      </c>
      <c r="B462" s="8" t="s">
        <v>572</v>
      </c>
      <c r="C462" s="8" t="s">
        <v>167</v>
      </c>
      <c r="D462" s="8" t="s">
        <v>469</v>
      </c>
      <c r="E462" s="8" t="b">
        <f t="shared" si="52"/>
        <v>0</v>
      </c>
      <c r="F462" s="8">
        <v>147.0</v>
      </c>
    </row>
    <row r="463" ht="15.0" customHeight="1">
      <c r="A463" s="9">
        <v>46070.0</v>
      </c>
      <c r="B463" s="8" t="s">
        <v>585</v>
      </c>
      <c r="C463" s="8" t="s">
        <v>167</v>
      </c>
      <c r="D463" s="8" t="s">
        <v>472</v>
      </c>
      <c r="E463" s="8" t="b">
        <f t="shared" si="52"/>
        <v>0</v>
      </c>
      <c r="F463" s="8">
        <v>147.0</v>
      </c>
    </row>
    <row r="464" ht="15.0" customHeight="1">
      <c r="A464" s="9">
        <v>46070.0</v>
      </c>
      <c r="B464" s="8" t="s">
        <v>236</v>
      </c>
      <c r="C464" s="8" t="s">
        <v>116</v>
      </c>
      <c r="D464" s="8" t="s">
        <v>116</v>
      </c>
      <c r="E464" s="8" t="b">
        <f t="shared" si="52"/>
        <v>0</v>
      </c>
      <c r="F464" s="8">
        <v>147.0</v>
      </c>
    </row>
    <row r="465" ht="15.0" customHeight="1">
      <c r="A465" s="9">
        <v>46070.0</v>
      </c>
      <c r="B465" s="8" t="s">
        <v>623</v>
      </c>
      <c r="C465" s="8" t="s">
        <v>167</v>
      </c>
      <c r="D465" s="8" t="s">
        <v>472</v>
      </c>
      <c r="E465" s="8" t="b">
        <f t="shared" si="52"/>
        <v>0</v>
      </c>
      <c r="F465" s="8">
        <v>147.0</v>
      </c>
    </row>
    <row r="466" ht="15.0" customHeight="1">
      <c r="A466" s="9">
        <v>46070.0</v>
      </c>
      <c r="B466" s="8" t="s">
        <v>34</v>
      </c>
      <c r="C466" s="8" t="s">
        <v>54</v>
      </c>
      <c r="D466" s="8" t="s">
        <v>606</v>
      </c>
      <c r="E466" s="8" t="b">
        <f>TRUE()</f>
        <v>1</v>
      </c>
      <c r="F466" s="8">
        <v>147.0</v>
      </c>
    </row>
    <row r="467" ht="15.0" customHeight="1">
      <c r="A467" s="9">
        <v>46070.0</v>
      </c>
      <c r="B467" s="8" t="s">
        <v>78</v>
      </c>
      <c r="C467" s="8" t="s">
        <v>167</v>
      </c>
      <c r="D467" s="8" t="s">
        <v>469</v>
      </c>
      <c r="E467" s="8" t="b">
        <f t="shared" ref="E467:E468" si="53">FALSE()</f>
        <v>0</v>
      </c>
      <c r="F467" s="8">
        <v>147.0</v>
      </c>
    </row>
    <row r="468" ht="15.0" customHeight="1">
      <c r="A468" s="9">
        <v>46070.0</v>
      </c>
      <c r="B468" s="8" t="s">
        <v>713</v>
      </c>
      <c r="C468" s="8" t="s">
        <v>167</v>
      </c>
      <c r="D468" s="8" t="s">
        <v>472</v>
      </c>
      <c r="E468" s="8" t="b">
        <f t="shared" si="53"/>
        <v>0</v>
      </c>
      <c r="F468" s="8">
        <v>147.0</v>
      </c>
    </row>
    <row r="469" ht="15.0" customHeight="1">
      <c r="A469" s="9">
        <v>46070.0</v>
      </c>
      <c r="B469" s="8" t="s">
        <v>92</v>
      </c>
      <c r="C469" s="8" t="s">
        <v>54</v>
      </c>
      <c r="D469" s="8" t="s">
        <v>606</v>
      </c>
      <c r="E469" s="8" t="b">
        <f>TRUE()</f>
        <v>1</v>
      </c>
      <c r="F469" s="8">
        <v>147.0</v>
      </c>
    </row>
    <row r="470" ht="15.0" customHeight="1">
      <c r="A470" s="9">
        <v>46070.0</v>
      </c>
      <c r="B470" s="8" t="s">
        <v>731</v>
      </c>
      <c r="C470" s="8" t="s">
        <v>377</v>
      </c>
      <c r="D470" s="8" t="s">
        <v>482</v>
      </c>
      <c r="E470" s="8" t="b">
        <f t="shared" ref="E470:E502" si="54">FALSE()</f>
        <v>0</v>
      </c>
      <c r="F470" s="8">
        <v>147.0</v>
      </c>
    </row>
    <row r="471" ht="15.0" customHeight="1">
      <c r="A471" s="9">
        <v>46070.0</v>
      </c>
      <c r="B471" s="8" t="s">
        <v>269</v>
      </c>
      <c r="C471" s="8" t="s">
        <v>167</v>
      </c>
      <c r="D471" s="8" t="s">
        <v>472</v>
      </c>
      <c r="E471" s="8" t="b">
        <f t="shared" si="54"/>
        <v>0</v>
      </c>
      <c r="F471" s="8">
        <v>147.0</v>
      </c>
    </row>
    <row r="472" ht="15.0" customHeight="1">
      <c r="A472" s="9">
        <v>46070.0</v>
      </c>
      <c r="B472" s="8" t="s">
        <v>750</v>
      </c>
      <c r="C472" s="8" t="s">
        <v>377</v>
      </c>
      <c r="D472" s="8" t="s">
        <v>482</v>
      </c>
      <c r="E472" s="8" t="b">
        <f t="shared" si="54"/>
        <v>0</v>
      </c>
      <c r="F472" s="8">
        <v>147.0</v>
      </c>
    </row>
    <row r="473" ht="15.0" customHeight="1">
      <c r="A473" s="9">
        <v>46070.0</v>
      </c>
      <c r="B473" s="8" t="s">
        <v>750</v>
      </c>
      <c r="C473" s="8" t="s">
        <v>167</v>
      </c>
      <c r="D473" s="8" t="s">
        <v>472</v>
      </c>
      <c r="E473" s="8" t="b">
        <f t="shared" si="54"/>
        <v>0</v>
      </c>
      <c r="F473" s="8">
        <v>147.0</v>
      </c>
    </row>
    <row r="474" ht="15.0" customHeight="1">
      <c r="A474" s="9">
        <v>46070.0</v>
      </c>
      <c r="B474" s="8" t="s">
        <v>754</v>
      </c>
      <c r="C474" s="8" t="s">
        <v>167</v>
      </c>
      <c r="D474" s="8" t="s">
        <v>469</v>
      </c>
      <c r="E474" s="8" t="b">
        <f t="shared" si="54"/>
        <v>0</v>
      </c>
      <c r="F474" s="8">
        <v>147.0</v>
      </c>
    </row>
    <row r="475" ht="15.0" customHeight="1">
      <c r="A475" s="9">
        <v>46070.0</v>
      </c>
      <c r="B475" s="8" t="s">
        <v>646</v>
      </c>
      <c r="C475" s="8" t="s">
        <v>167</v>
      </c>
      <c r="D475" s="8" t="s">
        <v>486</v>
      </c>
      <c r="E475" s="8" t="b">
        <f t="shared" si="54"/>
        <v>0</v>
      </c>
      <c r="F475" s="8">
        <v>147.0</v>
      </c>
    </row>
    <row r="476" ht="15.0" customHeight="1">
      <c r="A476" s="9">
        <v>46070.0</v>
      </c>
      <c r="B476" s="8" t="s">
        <v>315</v>
      </c>
      <c r="C476" s="8" t="s">
        <v>167</v>
      </c>
      <c r="D476" s="8" t="s">
        <v>469</v>
      </c>
      <c r="E476" s="8" t="b">
        <f t="shared" si="54"/>
        <v>0</v>
      </c>
      <c r="F476" s="8">
        <v>147.0</v>
      </c>
    </row>
    <row r="477" ht="15.0" customHeight="1">
      <c r="A477" s="9">
        <v>46070.0</v>
      </c>
      <c r="B477" s="8" t="s">
        <v>757</v>
      </c>
      <c r="C477" s="8" t="s">
        <v>167</v>
      </c>
      <c r="D477" s="8" t="s">
        <v>469</v>
      </c>
      <c r="E477" s="8" t="b">
        <f t="shared" si="54"/>
        <v>0</v>
      </c>
      <c r="F477" s="8">
        <v>147.0</v>
      </c>
    </row>
    <row r="478" ht="15.0" customHeight="1">
      <c r="A478" s="9">
        <v>46070.0</v>
      </c>
      <c r="B478" s="8" t="s">
        <v>714</v>
      </c>
      <c r="C478" s="8" t="s">
        <v>167</v>
      </c>
      <c r="D478" s="8" t="s">
        <v>486</v>
      </c>
      <c r="E478" s="8" t="b">
        <f t="shared" si="54"/>
        <v>0</v>
      </c>
      <c r="F478" s="8">
        <v>147.0</v>
      </c>
    </row>
    <row r="479" ht="15.0" customHeight="1">
      <c r="A479" s="9">
        <v>46070.0</v>
      </c>
      <c r="B479" s="8" t="s">
        <v>759</v>
      </c>
      <c r="C479" s="8" t="s">
        <v>167</v>
      </c>
      <c r="D479" s="8" t="s">
        <v>469</v>
      </c>
      <c r="E479" s="8" t="b">
        <f t="shared" si="54"/>
        <v>0</v>
      </c>
      <c r="F479" s="8">
        <v>147.0</v>
      </c>
    </row>
    <row r="480" ht="15.0" customHeight="1">
      <c r="A480" s="9">
        <v>46070.0</v>
      </c>
      <c r="B480" s="8" t="s">
        <v>760</v>
      </c>
      <c r="C480" s="8" t="s">
        <v>377</v>
      </c>
      <c r="D480" s="8" t="s">
        <v>482</v>
      </c>
      <c r="E480" s="8" t="b">
        <f t="shared" si="54"/>
        <v>0</v>
      </c>
      <c r="F480" s="8">
        <v>147.0</v>
      </c>
    </row>
    <row r="481" ht="15.0" customHeight="1">
      <c r="A481" s="9">
        <v>46070.0</v>
      </c>
      <c r="B481" s="8" t="s">
        <v>760</v>
      </c>
      <c r="C481" s="8" t="s">
        <v>167</v>
      </c>
      <c r="D481" s="8" t="s">
        <v>472</v>
      </c>
      <c r="E481" s="8" t="b">
        <f t="shared" si="54"/>
        <v>0</v>
      </c>
      <c r="F481" s="8">
        <v>147.0</v>
      </c>
    </row>
    <row r="482" ht="15.0" customHeight="1">
      <c r="A482" s="9">
        <v>46070.0</v>
      </c>
      <c r="B482" s="8" t="s">
        <v>582</v>
      </c>
      <c r="C482" s="8" t="s">
        <v>167</v>
      </c>
      <c r="D482" s="8" t="s">
        <v>486</v>
      </c>
      <c r="E482" s="8" t="b">
        <f t="shared" si="54"/>
        <v>0</v>
      </c>
      <c r="F482" s="8">
        <v>147.0</v>
      </c>
    </row>
    <row r="483" ht="15.0" customHeight="1">
      <c r="A483" s="9">
        <v>46070.0</v>
      </c>
      <c r="B483" s="8" t="s">
        <v>726</v>
      </c>
      <c r="C483" s="8" t="s">
        <v>377</v>
      </c>
      <c r="D483" s="8" t="s">
        <v>482</v>
      </c>
      <c r="E483" s="8" t="b">
        <f t="shared" si="54"/>
        <v>0</v>
      </c>
      <c r="F483" s="8">
        <v>147.0</v>
      </c>
    </row>
    <row r="484" ht="15.0" customHeight="1">
      <c r="A484" s="9">
        <v>46070.0</v>
      </c>
      <c r="B484" s="8" t="s">
        <v>792</v>
      </c>
      <c r="C484" s="8" t="s">
        <v>167</v>
      </c>
      <c r="D484" s="8" t="s">
        <v>472</v>
      </c>
      <c r="E484" s="8" t="b">
        <f t="shared" si="54"/>
        <v>0</v>
      </c>
      <c r="F484" s="8">
        <v>147.0</v>
      </c>
    </row>
    <row r="485" ht="15.0" customHeight="1">
      <c r="A485" s="9">
        <v>46070.0</v>
      </c>
      <c r="B485" s="8" t="s">
        <v>559</v>
      </c>
      <c r="C485" s="8" t="s">
        <v>167</v>
      </c>
      <c r="D485" s="8" t="s">
        <v>472</v>
      </c>
      <c r="E485" s="8" t="b">
        <f t="shared" si="54"/>
        <v>0</v>
      </c>
      <c r="F485" s="8">
        <v>147.0</v>
      </c>
    </row>
    <row r="486" ht="15.0" customHeight="1">
      <c r="A486" s="9">
        <v>46070.0</v>
      </c>
      <c r="B486" s="8" t="s">
        <v>131</v>
      </c>
      <c r="C486" s="8" t="s">
        <v>313</v>
      </c>
      <c r="D486" s="8" t="s">
        <v>313</v>
      </c>
      <c r="E486" s="8" t="b">
        <f t="shared" si="54"/>
        <v>0</v>
      </c>
      <c r="F486" s="8">
        <v>147.0</v>
      </c>
    </row>
    <row r="487" ht="15.0" customHeight="1">
      <c r="A487" s="9">
        <v>46070.0</v>
      </c>
      <c r="B487" s="8" t="s">
        <v>131</v>
      </c>
      <c r="C487" s="8" t="s">
        <v>377</v>
      </c>
      <c r="D487" s="8" t="s">
        <v>482</v>
      </c>
      <c r="E487" s="8" t="b">
        <f t="shared" si="54"/>
        <v>0</v>
      </c>
      <c r="F487" s="8">
        <v>147.0</v>
      </c>
    </row>
    <row r="488" ht="15.0" customHeight="1">
      <c r="A488" s="9">
        <v>46070.0</v>
      </c>
      <c r="B488" s="8" t="s">
        <v>629</v>
      </c>
      <c r="C488" s="8" t="s">
        <v>167</v>
      </c>
      <c r="D488" s="8" t="s">
        <v>472</v>
      </c>
      <c r="E488" s="8" t="b">
        <f t="shared" si="54"/>
        <v>0</v>
      </c>
      <c r="F488" s="8">
        <v>147.0</v>
      </c>
    </row>
    <row r="489" ht="15.0" customHeight="1">
      <c r="A489" s="9">
        <v>46070.0</v>
      </c>
      <c r="B489" s="8" t="s">
        <v>794</v>
      </c>
      <c r="C489" s="8" t="s">
        <v>167</v>
      </c>
      <c r="D489" s="8" t="s">
        <v>472</v>
      </c>
      <c r="E489" s="8" t="b">
        <f t="shared" si="54"/>
        <v>0</v>
      </c>
      <c r="F489" s="8">
        <v>147.0</v>
      </c>
    </row>
    <row r="490" ht="15.0" customHeight="1">
      <c r="A490" s="9">
        <v>46070.0</v>
      </c>
      <c r="B490" s="8" t="s">
        <v>796</v>
      </c>
      <c r="C490" s="8" t="s">
        <v>377</v>
      </c>
      <c r="D490" s="8" t="s">
        <v>482</v>
      </c>
      <c r="E490" s="8" t="b">
        <f t="shared" si="54"/>
        <v>0</v>
      </c>
      <c r="F490" s="8">
        <v>147.0</v>
      </c>
    </row>
    <row r="491" ht="15.0" customHeight="1">
      <c r="A491" s="9">
        <v>46070.0</v>
      </c>
      <c r="B491" s="8" t="s">
        <v>797</v>
      </c>
      <c r="C491" s="8" t="s">
        <v>167</v>
      </c>
      <c r="D491" s="8" t="s">
        <v>472</v>
      </c>
      <c r="E491" s="8" t="b">
        <f t="shared" si="54"/>
        <v>0</v>
      </c>
      <c r="F491" s="8">
        <v>147.0</v>
      </c>
    </row>
    <row r="492" ht="15.0" customHeight="1">
      <c r="A492" s="9">
        <v>46070.0</v>
      </c>
      <c r="B492" s="8" t="s">
        <v>798</v>
      </c>
      <c r="C492" s="8" t="s">
        <v>167</v>
      </c>
      <c r="D492" s="8" t="s">
        <v>472</v>
      </c>
      <c r="E492" s="8" t="b">
        <f t="shared" si="54"/>
        <v>0</v>
      </c>
      <c r="F492" s="8">
        <v>147.0</v>
      </c>
    </row>
    <row r="493" ht="15.0" customHeight="1">
      <c r="A493" s="9">
        <v>46070.0</v>
      </c>
      <c r="B493" s="8" t="s">
        <v>800</v>
      </c>
      <c r="C493" s="8" t="s">
        <v>377</v>
      </c>
      <c r="D493" s="8" t="s">
        <v>482</v>
      </c>
      <c r="E493" s="8" t="b">
        <f t="shared" si="54"/>
        <v>0</v>
      </c>
      <c r="F493" s="8">
        <v>147.0</v>
      </c>
    </row>
    <row r="494" ht="15.0" customHeight="1">
      <c r="A494" s="9">
        <v>46070.0</v>
      </c>
      <c r="B494" s="8" t="s">
        <v>197</v>
      </c>
      <c r="C494" s="8" t="s">
        <v>116</v>
      </c>
      <c r="D494" s="8" t="s">
        <v>116</v>
      </c>
      <c r="E494" s="8" t="b">
        <f t="shared" si="54"/>
        <v>0</v>
      </c>
      <c r="F494" s="8">
        <v>147.0</v>
      </c>
    </row>
    <row r="495" ht="15.0" customHeight="1">
      <c r="A495" s="9">
        <v>46070.0</v>
      </c>
      <c r="B495" s="8" t="s">
        <v>587</v>
      </c>
      <c r="C495" s="8" t="s">
        <v>313</v>
      </c>
      <c r="D495" s="8" t="s">
        <v>313</v>
      </c>
      <c r="E495" s="8" t="b">
        <f t="shared" si="54"/>
        <v>0</v>
      </c>
      <c r="F495" s="8">
        <v>147.0</v>
      </c>
    </row>
    <row r="496" ht="15.0" customHeight="1">
      <c r="A496" s="9">
        <v>46070.0</v>
      </c>
      <c r="B496" s="8" t="s">
        <v>765</v>
      </c>
      <c r="C496" s="8" t="s">
        <v>167</v>
      </c>
      <c r="D496" s="8" t="s">
        <v>469</v>
      </c>
      <c r="E496" s="8" t="b">
        <f t="shared" si="54"/>
        <v>0</v>
      </c>
      <c r="F496" s="8">
        <v>147.0</v>
      </c>
    </row>
    <row r="497" ht="15.0" customHeight="1">
      <c r="A497" s="9">
        <v>46070.0</v>
      </c>
      <c r="B497" s="8" t="s">
        <v>669</v>
      </c>
      <c r="C497" s="8" t="s">
        <v>167</v>
      </c>
      <c r="D497" s="8" t="s">
        <v>486</v>
      </c>
      <c r="E497" s="8" t="b">
        <f t="shared" si="54"/>
        <v>0</v>
      </c>
      <c r="F497" s="8">
        <v>147.0</v>
      </c>
    </row>
    <row r="498" ht="15.0" customHeight="1">
      <c r="A498" s="9">
        <v>46070.0</v>
      </c>
      <c r="B498" s="8" t="s">
        <v>802</v>
      </c>
      <c r="C498" s="8" t="s">
        <v>167</v>
      </c>
      <c r="D498" s="8" t="s">
        <v>469</v>
      </c>
      <c r="E498" s="8" t="b">
        <f t="shared" si="54"/>
        <v>0</v>
      </c>
      <c r="F498" s="8">
        <v>147.0</v>
      </c>
    </row>
    <row r="499" ht="15.0" customHeight="1">
      <c r="A499" s="9">
        <v>46076.0</v>
      </c>
      <c r="B499" s="8" t="s">
        <v>256</v>
      </c>
      <c r="C499" s="8" t="s">
        <v>167</v>
      </c>
      <c r="D499" s="8" t="s">
        <v>472</v>
      </c>
      <c r="E499" s="8" t="b">
        <f t="shared" si="54"/>
        <v>0</v>
      </c>
      <c r="F499" s="8">
        <v>143.0</v>
      </c>
    </row>
    <row r="500" ht="15.0" customHeight="1">
      <c r="A500" s="9">
        <v>46076.0</v>
      </c>
      <c r="B500" s="8" t="s">
        <v>236</v>
      </c>
      <c r="C500" s="8" t="s">
        <v>116</v>
      </c>
      <c r="D500" s="8" t="s">
        <v>116</v>
      </c>
      <c r="E500" s="8" t="b">
        <f t="shared" si="54"/>
        <v>0</v>
      </c>
      <c r="F500" s="8">
        <v>143.0</v>
      </c>
    </row>
    <row r="501" ht="15.0" customHeight="1">
      <c r="A501" s="9">
        <v>46076.0</v>
      </c>
      <c r="B501" s="8" t="s">
        <v>611</v>
      </c>
      <c r="C501" s="8" t="s">
        <v>167</v>
      </c>
      <c r="D501" s="8" t="s">
        <v>472</v>
      </c>
      <c r="E501" s="8" t="b">
        <f t="shared" si="54"/>
        <v>0</v>
      </c>
      <c r="F501" s="8">
        <v>143.0</v>
      </c>
    </row>
    <row r="502" ht="15.0" customHeight="1">
      <c r="A502" s="9">
        <v>46076.0</v>
      </c>
      <c r="B502" s="8" t="s">
        <v>623</v>
      </c>
      <c r="C502" s="8" t="s">
        <v>167</v>
      </c>
      <c r="D502" s="8" t="s">
        <v>472</v>
      </c>
      <c r="E502" s="8" t="b">
        <f t="shared" si="54"/>
        <v>0</v>
      </c>
      <c r="F502" s="8">
        <v>143.0</v>
      </c>
    </row>
    <row r="503" ht="15.0" customHeight="1">
      <c r="A503" s="9">
        <v>46076.0</v>
      </c>
      <c r="B503" s="8" t="s">
        <v>34</v>
      </c>
      <c r="C503" s="8" t="s">
        <v>54</v>
      </c>
      <c r="D503" s="8" t="s">
        <v>606</v>
      </c>
      <c r="E503" s="8" t="b">
        <f>TRUE()</f>
        <v>1</v>
      </c>
      <c r="F503" s="8">
        <v>143.0</v>
      </c>
    </row>
    <row r="504" ht="15.0" customHeight="1">
      <c r="A504" s="9">
        <v>46076.0</v>
      </c>
      <c r="B504" s="8" t="s">
        <v>78</v>
      </c>
      <c r="C504" s="8" t="s">
        <v>167</v>
      </c>
      <c r="D504" s="8" t="s">
        <v>469</v>
      </c>
      <c r="E504" s="8" t="b">
        <f t="shared" ref="E504:E520" si="55">FALSE()</f>
        <v>0</v>
      </c>
      <c r="F504" s="8">
        <v>143.0</v>
      </c>
    </row>
    <row r="505" ht="15.0" customHeight="1">
      <c r="A505" s="9">
        <v>46076.0</v>
      </c>
      <c r="B505" s="8" t="s">
        <v>731</v>
      </c>
      <c r="C505" s="8" t="s">
        <v>167</v>
      </c>
      <c r="D505" s="8" t="s">
        <v>469</v>
      </c>
      <c r="E505" s="8" t="b">
        <f t="shared" si="55"/>
        <v>0</v>
      </c>
      <c r="F505" s="8">
        <v>143.0</v>
      </c>
    </row>
    <row r="506" ht="15.0" customHeight="1">
      <c r="A506" s="9">
        <v>46076.0</v>
      </c>
      <c r="B506" s="8" t="s">
        <v>269</v>
      </c>
      <c r="C506" s="8" t="s">
        <v>167</v>
      </c>
      <c r="D506" s="8" t="s">
        <v>472</v>
      </c>
      <c r="E506" s="8" t="b">
        <f t="shared" si="55"/>
        <v>0</v>
      </c>
      <c r="F506" s="8">
        <v>143.0</v>
      </c>
    </row>
    <row r="507" ht="15.0" customHeight="1">
      <c r="A507" s="9">
        <v>46076.0</v>
      </c>
      <c r="B507" s="8" t="s">
        <v>750</v>
      </c>
      <c r="C507" s="8" t="s">
        <v>377</v>
      </c>
      <c r="D507" s="8" t="s">
        <v>482</v>
      </c>
      <c r="E507" s="8" t="b">
        <f t="shared" si="55"/>
        <v>0</v>
      </c>
      <c r="F507" s="8">
        <v>143.0</v>
      </c>
    </row>
    <row r="508" ht="15.0" customHeight="1">
      <c r="A508" s="9">
        <v>46076.0</v>
      </c>
      <c r="B508" s="8" t="s">
        <v>754</v>
      </c>
      <c r="C508" s="8" t="s">
        <v>167</v>
      </c>
      <c r="D508" s="8" t="s">
        <v>469</v>
      </c>
      <c r="E508" s="8" t="b">
        <f t="shared" si="55"/>
        <v>0</v>
      </c>
      <c r="F508" s="8">
        <v>143.0</v>
      </c>
    </row>
    <row r="509" ht="15.0" customHeight="1">
      <c r="A509" s="9">
        <v>46076.0</v>
      </c>
      <c r="B509" s="8" t="s">
        <v>646</v>
      </c>
      <c r="C509" s="8" t="s">
        <v>167</v>
      </c>
      <c r="D509" s="8" t="s">
        <v>486</v>
      </c>
      <c r="E509" s="8" t="b">
        <f t="shared" si="55"/>
        <v>0</v>
      </c>
      <c r="F509" s="8">
        <v>143.0</v>
      </c>
    </row>
    <row r="510" ht="15.0" customHeight="1">
      <c r="A510" s="9">
        <v>46076.0</v>
      </c>
      <c r="B510" s="8" t="s">
        <v>315</v>
      </c>
      <c r="C510" s="8" t="s">
        <v>167</v>
      </c>
      <c r="D510" s="8" t="s">
        <v>469</v>
      </c>
      <c r="E510" s="8" t="b">
        <f t="shared" si="55"/>
        <v>0</v>
      </c>
      <c r="F510" s="8">
        <v>143.0</v>
      </c>
    </row>
    <row r="511" ht="15.0" customHeight="1">
      <c r="A511" s="9">
        <v>46076.0</v>
      </c>
      <c r="B511" s="8" t="s">
        <v>757</v>
      </c>
      <c r="C511" s="8" t="s">
        <v>167</v>
      </c>
      <c r="D511" s="8" t="s">
        <v>469</v>
      </c>
      <c r="E511" s="8" t="b">
        <f t="shared" si="55"/>
        <v>0</v>
      </c>
      <c r="F511" s="8">
        <v>143.0</v>
      </c>
    </row>
    <row r="512" ht="15.0" customHeight="1">
      <c r="A512" s="9">
        <v>46076.0</v>
      </c>
      <c r="B512" s="8" t="s">
        <v>714</v>
      </c>
      <c r="C512" s="8" t="s">
        <v>167</v>
      </c>
      <c r="D512" s="8" t="s">
        <v>486</v>
      </c>
      <c r="E512" s="8" t="b">
        <f t="shared" si="55"/>
        <v>0</v>
      </c>
      <c r="F512" s="8">
        <v>143.0</v>
      </c>
    </row>
    <row r="513" ht="15.0" customHeight="1">
      <c r="A513" s="9">
        <v>46076.0</v>
      </c>
      <c r="B513" s="8" t="s">
        <v>777</v>
      </c>
      <c r="C513" s="8" t="s">
        <v>167</v>
      </c>
      <c r="D513" s="8" t="s">
        <v>486</v>
      </c>
      <c r="E513" s="8" t="b">
        <f t="shared" si="55"/>
        <v>0</v>
      </c>
      <c r="F513" s="8">
        <v>143.0</v>
      </c>
    </row>
    <row r="514" ht="15.0" customHeight="1">
      <c r="A514" s="9">
        <v>46076.0</v>
      </c>
      <c r="B514" s="8" t="s">
        <v>759</v>
      </c>
      <c r="C514" s="8" t="s">
        <v>167</v>
      </c>
      <c r="D514" s="8" t="s">
        <v>469</v>
      </c>
      <c r="E514" s="8" t="b">
        <f t="shared" si="55"/>
        <v>0</v>
      </c>
      <c r="F514" s="8">
        <v>143.0</v>
      </c>
    </row>
    <row r="515" ht="15.0" customHeight="1">
      <c r="A515" s="9">
        <v>46076.0</v>
      </c>
      <c r="B515" s="8" t="s">
        <v>582</v>
      </c>
      <c r="C515" s="8" t="s">
        <v>167</v>
      </c>
      <c r="D515" s="8" t="s">
        <v>486</v>
      </c>
      <c r="E515" s="8" t="b">
        <f t="shared" si="55"/>
        <v>0</v>
      </c>
      <c r="F515" s="8">
        <v>143.0</v>
      </c>
    </row>
    <row r="516" ht="15.0" customHeight="1">
      <c r="A516" s="9">
        <v>46076.0</v>
      </c>
      <c r="B516" s="8" t="s">
        <v>726</v>
      </c>
      <c r="C516" s="8" t="s">
        <v>377</v>
      </c>
      <c r="D516" s="8" t="s">
        <v>482</v>
      </c>
      <c r="E516" s="8" t="b">
        <f t="shared" si="55"/>
        <v>0</v>
      </c>
      <c r="F516" s="8">
        <v>143.0</v>
      </c>
    </row>
    <row r="517" ht="15.0" customHeight="1">
      <c r="A517" s="9">
        <v>46076.0</v>
      </c>
      <c r="B517" s="8" t="s">
        <v>792</v>
      </c>
      <c r="C517" s="8" t="s">
        <v>167</v>
      </c>
      <c r="D517" s="8" t="s">
        <v>472</v>
      </c>
      <c r="E517" s="8" t="b">
        <f t="shared" si="55"/>
        <v>0</v>
      </c>
      <c r="F517" s="8">
        <v>143.0</v>
      </c>
    </row>
    <row r="518" ht="15.0" customHeight="1">
      <c r="A518" s="9">
        <v>46076.0</v>
      </c>
      <c r="B518" s="8" t="s">
        <v>559</v>
      </c>
      <c r="C518" s="8" t="s">
        <v>167</v>
      </c>
      <c r="D518" s="8" t="s">
        <v>472</v>
      </c>
      <c r="E518" s="8" t="b">
        <f t="shared" si="55"/>
        <v>0</v>
      </c>
      <c r="F518" s="8">
        <v>143.0</v>
      </c>
    </row>
    <row r="519" ht="15.0" customHeight="1">
      <c r="A519" s="9">
        <v>46076.0</v>
      </c>
      <c r="B519" s="8" t="s">
        <v>131</v>
      </c>
      <c r="C519" s="8" t="s">
        <v>313</v>
      </c>
      <c r="D519" s="8" t="s">
        <v>313</v>
      </c>
      <c r="E519" s="8" t="b">
        <f t="shared" si="55"/>
        <v>0</v>
      </c>
      <c r="F519" s="8">
        <v>143.0</v>
      </c>
    </row>
    <row r="520" ht="15.0" customHeight="1">
      <c r="A520" s="9">
        <v>46076.0</v>
      </c>
      <c r="B520" s="8" t="s">
        <v>131</v>
      </c>
      <c r="C520" s="8" t="s">
        <v>377</v>
      </c>
      <c r="D520" s="8" t="s">
        <v>482</v>
      </c>
      <c r="E520" s="8" t="b">
        <f t="shared" si="55"/>
        <v>0</v>
      </c>
      <c r="F520" s="8">
        <v>143.0</v>
      </c>
    </row>
    <row r="521" ht="15.0" customHeight="1">
      <c r="A521" s="9">
        <v>46076.0</v>
      </c>
      <c r="B521" s="8" t="s">
        <v>131</v>
      </c>
      <c r="C521" s="8" t="s">
        <v>167</v>
      </c>
      <c r="D521" s="8" t="s">
        <v>486</v>
      </c>
      <c r="E521" s="8" t="b">
        <f>TRUE()</f>
        <v>1</v>
      </c>
      <c r="F521" s="8">
        <v>143.0</v>
      </c>
    </row>
    <row r="522" ht="15.0" customHeight="1">
      <c r="A522" s="9">
        <v>46076.0</v>
      </c>
      <c r="B522" s="8" t="s">
        <v>629</v>
      </c>
      <c r="C522" s="8" t="s">
        <v>167</v>
      </c>
      <c r="D522" s="8" t="s">
        <v>472</v>
      </c>
      <c r="E522" s="8" t="b">
        <f t="shared" ref="E522:E536" si="56">FALSE()</f>
        <v>0</v>
      </c>
      <c r="F522" s="8">
        <v>143.0</v>
      </c>
    </row>
    <row r="523" ht="15.0" customHeight="1">
      <c r="A523" s="9">
        <v>46076.0</v>
      </c>
      <c r="B523" s="8" t="s">
        <v>794</v>
      </c>
      <c r="C523" s="8" t="s">
        <v>377</v>
      </c>
      <c r="D523" s="8" t="s">
        <v>482</v>
      </c>
      <c r="E523" s="8" t="b">
        <f t="shared" si="56"/>
        <v>0</v>
      </c>
      <c r="F523" s="8">
        <v>143.0</v>
      </c>
    </row>
    <row r="524" ht="15.0" customHeight="1">
      <c r="A524" s="9">
        <v>46076.0</v>
      </c>
      <c r="B524" s="8" t="s">
        <v>794</v>
      </c>
      <c r="C524" s="8" t="s">
        <v>167</v>
      </c>
      <c r="D524" s="8" t="s">
        <v>472</v>
      </c>
      <c r="E524" s="8" t="b">
        <f t="shared" si="56"/>
        <v>0</v>
      </c>
      <c r="F524" s="8">
        <v>143.0</v>
      </c>
    </row>
    <row r="525" ht="15.0" customHeight="1">
      <c r="A525" s="9">
        <v>46076.0</v>
      </c>
      <c r="B525" s="8" t="s">
        <v>796</v>
      </c>
      <c r="C525" s="8" t="s">
        <v>167</v>
      </c>
      <c r="D525" s="8" t="s">
        <v>472</v>
      </c>
      <c r="E525" s="8" t="b">
        <f t="shared" si="56"/>
        <v>0</v>
      </c>
      <c r="F525" s="8">
        <v>143.0</v>
      </c>
    </row>
    <row r="526" ht="15.0" customHeight="1">
      <c r="A526" s="9">
        <v>46076.0</v>
      </c>
      <c r="B526" s="8" t="s">
        <v>797</v>
      </c>
      <c r="C526" s="8" t="s">
        <v>167</v>
      </c>
      <c r="D526" s="8" t="s">
        <v>472</v>
      </c>
      <c r="E526" s="8" t="b">
        <f t="shared" si="56"/>
        <v>0</v>
      </c>
      <c r="F526" s="8">
        <v>143.0</v>
      </c>
    </row>
    <row r="527" ht="15.0" customHeight="1">
      <c r="A527" s="9">
        <v>46076.0</v>
      </c>
      <c r="B527" s="8" t="s">
        <v>798</v>
      </c>
      <c r="C527" s="8" t="s">
        <v>167</v>
      </c>
      <c r="D527" s="8" t="s">
        <v>472</v>
      </c>
      <c r="E527" s="8" t="b">
        <f t="shared" si="56"/>
        <v>0</v>
      </c>
      <c r="F527" s="8">
        <v>143.0</v>
      </c>
    </row>
    <row r="528" ht="15.0" customHeight="1">
      <c r="A528" s="9">
        <v>46076.0</v>
      </c>
      <c r="B528" s="8" t="s">
        <v>800</v>
      </c>
      <c r="C528" s="8" t="s">
        <v>377</v>
      </c>
      <c r="D528" s="8" t="s">
        <v>482</v>
      </c>
      <c r="E528" s="8" t="b">
        <f t="shared" si="56"/>
        <v>0</v>
      </c>
      <c r="F528" s="8">
        <v>143.0</v>
      </c>
    </row>
    <row r="529" ht="15.0" customHeight="1">
      <c r="A529" s="9">
        <v>46076.0</v>
      </c>
      <c r="B529" s="8" t="s">
        <v>800</v>
      </c>
      <c r="C529" s="8" t="s">
        <v>167</v>
      </c>
      <c r="D529" s="8" t="s">
        <v>469</v>
      </c>
      <c r="E529" s="8" t="b">
        <f t="shared" si="56"/>
        <v>0</v>
      </c>
      <c r="F529" s="8">
        <v>143.0</v>
      </c>
    </row>
    <row r="530" ht="15.0" customHeight="1">
      <c r="A530" s="9">
        <v>46076.0</v>
      </c>
      <c r="B530" s="8" t="s">
        <v>197</v>
      </c>
      <c r="C530" s="8" t="s">
        <v>116</v>
      </c>
      <c r="D530" s="8" t="s">
        <v>116</v>
      </c>
      <c r="E530" s="8" t="b">
        <f t="shared" si="56"/>
        <v>0</v>
      </c>
      <c r="F530" s="8">
        <v>143.0</v>
      </c>
    </row>
    <row r="531" ht="15.0" customHeight="1">
      <c r="A531" s="9">
        <v>46076.0</v>
      </c>
      <c r="B531" s="8" t="s">
        <v>587</v>
      </c>
      <c r="C531" s="8" t="s">
        <v>313</v>
      </c>
      <c r="D531" s="8" t="s">
        <v>313</v>
      </c>
      <c r="E531" s="8" t="b">
        <f t="shared" si="56"/>
        <v>0</v>
      </c>
      <c r="F531" s="8">
        <v>143.0</v>
      </c>
    </row>
    <row r="532" ht="15.0" customHeight="1">
      <c r="A532" s="9">
        <v>46076.0</v>
      </c>
      <c r="B532" s="8" t="s">
        <v>765</v>
      </c>
      <c r="C532" s="8" t="s">
        <v>167</v>
      </c>
      <c r="D532" s="8" t="s">
        <v>469</v>
      </c>
      <c r="E532" s="8" t="b">
        <f t="shared" si="56"/>
        <v>0</v>
      </c>
      <c r="F532" s="8">
        <v>143.0</v>
      </c>
    </row>
    <row r="533" ht="15.0" customHeight="1">
      <c r="A533" s="9">
        <v>46076.0</v>
      </c>
      <c r="B533" s="8" t="s">
        <v>669</v>
      </c>
      <c r="C533" s="8" t="s">
        <v>167</v>
      </c>
      <c r="D533" s="8" t="s">
        <v>486</v>
      </c>
      <c r="E533" s="8" t="b">
        <f t="shared" si="56"/>
        <v>0</v>
      </c>
      <c r="F533" s="8">
        <v>143.0</v>
      </c>
    </row>
    <row r="534" ht="15.0" customHeight="1">
      <c r="A534" s="9">
        <v>46076.0</v>
      </c>
      <c r="B534" s="8" t="s">
        <v>830</v>
      </c>
      <c r="C534" s="8" t="s">
        <v>167</v>
      </c>
      <c r="D534" s="8" t="s">
        <v>469</v>
      </c>
      <c r="E534" s="8" t="b">
        <f t="shared" si="56"/>
        <v>0</v>
      </c>
      <c r="F534" s="8">
        <v>143.0</v>
      </c>
    </row>
    <row r="535" ht="15.0" customHeight="1">
      <c r="A535" s="9">
        <v>46083.0</v>
      </c>
      <c r="B535" s="8" t="s">
        <v>256</v>
      </c>
      <c r="C535" s="8" t="s">
        <v>167</v>
      </c>
      <c r="D535" s="8" t="s">
        <v>472</v>
      </c>
      <c r="E535" s="8" t="b">
        <f t="shared" si="56"/>
        <v>0</v>
      </c>
      <c r="F535" s="8">
        <v>141.0</v>
      </c>
    </row>
    <row r="536" ht="15.0" customHeight="1">
      <c r="A536" s="9">
        <v>46083.0</v>
      </c>
      <c r="B536" s="8" t="s">
        <v>236</v>
      </c>
      <c r="C536" s="8" t="s">
        <v>116</v>
      </c>
      <c r="D536" s="8" t="s">
        <v>116</v>
      </c>
      <c r="E536" s="8" t="b">
        <f t="shared" si="56"/>
        <v>0</v>
      </c>
      <c r="F536" s="8">
        <v>141.0</v>
      </c>
    </row>
    <row r="537" ht="15.0" customHeight="1">
      <c r="A537" s="9">
        <v>46083.0</v>
      </c>
      <c r="B537" s="8" t="s">
        <v>149</v>
      </c>
      <c r="C537" s="8" t="s">
        <v>116</v>
      </c>
      <c r="D537" s="8" t="s">
        <v>116</v>
      </c>
      <c r="E537" s="8" t="b">
        <f>TRUE()</f>
        <v>1</v>
      </c>
      <c r="F537" s="8">
        <v>141.0</v>
      </c>
    </row>
    <row r="538" ht="15.0" customHeight="1">
      <c r="A538" s="9">
        <v>46083.0</v>
      </c>
      <c r="B538" s="8" t="s">
        <v>623</v>
      </c>
      <c r="C538" s="8" t="s">
        <v>167</v>
      </c>
      <c r="D538" s="8" t="s">
        <v>472</v>
      </c>
      <c r="E538" s="8" t="b">
        <f>FALSE()</f>
        <v>0</v>
      </c>
      <c r="F538" s="8">
        <v>141.0</v>
      </c>
    </row>
    <row r="539" ht="15.0" customHeight="1">
      <c r="A539" s="9">
        <v>46083.0</v>
      </c>
      <c r="B539" s="8" t="s">
        <v>34</v>
      </c>
      <c r="C539" s="8" t="s">
        <v>54</v>
      </c>
      <c r="D539" s="8" t="s">
        <v>606</v>
      </c>
      <c r="E539" s="8" t="b">
        <f>TRUE()</f>
        <v>1</v>
      </c>
      <c r="F539" s="8">
        <v>141.0</v>
      </c>
    </row>
    <row r="540" ht="15.0" customHeight="1">
      <c r="A540" s="9">
        <v>46083.0</v>
      </c>
      <c r="B540" s="8" t="s">
        <v>244</v>
      </c>
      <c r="C540" s="8" t="s">
        <v>377</v>
      </c>
      <c r="D540" s="8" t="s">
        <v>482</v>
      </c>
      <c r="E540" s="8" t="b">
        <f t="shared" ref="E540:E547" si="57">FALSE()</f>
        <v>0</v>
      </c>
      <c r="F540" s="8">
        <v>141.0</v>
      </c>
    </row>
    <row r="541" ht="15.0" customHeight="1">
      <c r="A541" s="9">
        <v>46083.0</v>
      </c>
      <c r="B541" s="8" t="s">
        <v>705</v>
      </c>
      <c r="C541" s="8" t="s">
        <v>167</v>
      </c>
      <c r="D541" s="8" t="s">
        <v>486</v>
      </c>
      <c r="E541" s="8" t="b">
        <f t="shared" si="57"/>
        <v>0</v>
      </c>
      <c r="F541" s="8">
        <v>141.0</v>
      </c>
    </row>
    <row r="542" ht="15.0" customHeight="1">
      <c r="A542" s="9">
        <v>46083.0</v>
      </c>
      <c r="B542" s="8" t="s">
        <v>78</v>
      </c>
      <c r="C542" s="8" t="s">
        <v>167</v>
      </c>
      <c r="D542" s="8" t="s">
        <v>469</v>
      </c>
      <c r="E542" s="8" t="b">
        <f t="shared" si="57"/>
        <v>0</v>
      </c>
      <c r="F542" s="8">
        <v>141.0</v>
      </c>
    </row>
    <row r="543" ht="15.0" customHeight="1">
      <c r="A543" s="9">
        <v>46083.0</v>
      </c>
      <c r="B543" s="8" t="s">
        <v>269</v>
      </c>
      <c r="C543" s="8" t="s">
        <v>167</v>
      </c>
      <c r="D543" s="8" t="s">
        <v>472</v>
      </c>
      <c r="E543" s="8" t="b">
        <f t="shared" si="57"/>
        <v>0</v>
      </c>
      <c r="F543" s="8">
        <v>141.0</v>
      </c>
    </row>
    <row r="544" ht="15.0" customHeight="1">
      <c r="A544" s="9">
        <v>46083.0</v>
      </c>
      <c r="B544" s="8" t="s">
        <v>750</v>
      </c>
      <c r="C544" s="8" t="s">
        <v>377</v>
      </c>
      <c r="D544" s="8" t="s">
        <v>482</v>
      </c>
      <c r="E544" s="8" t="b">
        <f t="shared" si="57"/>
        <v>0</v>
      </c>
      <c r="F544" s="8">
        <v>141.0</v>
      </c>
    </row>
    <row r="545" ht="15.0" customHeight="1">
      <c r="A545" s="9">
        <v>46083.0</v>
      </c>
      <c r="B545" s="8" t="s">
        <v>840</v>
      </c>
      <c r="C545" s="8" t="s">
        <v>167</v>
      </c>
      <c r="D545" s="8" t="s">
        <v>486</v>
      </c>
      <c r="E545" s="8" t="b">
        <f t="shared" si="57"/>
        <v>0</v>
      </c>
      <c r="F545" s="8">
        <v>141.0</v>
      </c>
    </row>
    <row r="546" ht="15.0" customHeight="1">
      <c r="A546" s="9">
        <v>46083.0</v>
      </c>
      <c r="B546" s="8" t="s">
        <v>757</v>
      </c>
      <c r="C546" s="8" t="s">
        <v>167</v>
      </c>
      <c r="D546" s="8" t="s">
        <v>469</v>
      </c>
      <c r="E546" s="8" t="b">
        <f t="shared" si="57"/>
        <v>0</v>
      </c>
      <c r="F546" s="8">
        <v>141.0</v>
      </c>
    </row>
    <row r="547" ht="15.0" customHeight="1">
      <c r="A547" s="9">
        <v>46083.0</v>
      </c>
      <c r="B547" s="8" t="s">
        <v>714</v>
      </c>
      <c r="C547" s="8" t="s">
        <v>167</v>
      </c>
      <c r="D547" s="8" t="s">
        <v>486</v>
      </c>
      <c r="E547" s="8" t="b">
        <f t="shared" si="57"/>
        <v>0</v>
      </c>
      <c r="F547" s="8">
        <v>141.0</v>
      </c>
    </row>
    <row r="548" ht="15.0" customHeight="1">
      <c r="A548" s="9">
        <v>46083.0</v>
      </c>
      <c r="B548" s="8" t="s">
        <v>284</v>
      </c>
      <c r="C548" s="8" t="s">
        <v>116</v>
      </c>
      <c r="D548" s="8" t="s">
        <v>116</v>
      </c>
      <c r="E548" s="8" t="b">
        <f>TRUE()</f>
        <v>1</v>
      </c>
      <c r="F548" s="8">
        <v>141.0</v>
      </c>
    </row>
    <row r="549" ht="15.0" customHeight="1">
      <c r="A549" s="9">
        <v>46083.0</v>
      </c>
      <c r="B549" s="8" t="s">
        <v>726</v>
      </c>
      <c r="C549" s="8" t="s">
        <v>377</v>
      </c>
      <c r="D549" s="8" t="s">
        <v>482</v>
      </c>
      <c r="E549" s="8" t="b">
        <f t="shared" ref="E549:E568" si="58">FALSE()</f>
        <v>0</v>
      </c>
      <c r="F549" s="8">
        <v>141.0</v>
      </c>
    </row>
    <row r="550" ht="15.0" customHeight="1">
      <c r="A550" s="9">
        <v>46083.0</v>
      </c>
      <c r="B550" s="8" t="s">
        <v>559</v>
      </c>
      <c r="C550" s="8" t="s">
        <v>167</v>
      </c>
      <c r="D550" s="8" t="s">
        <v>472</v>
      </c>
      <c r="E550" s="8" t="b">
        <f t="shared" si="58"/>
        <v>0</v>
      </c>
      <c r="F550" s="8">
        <v>141.0</v>
      </c>
    </row>
    <row r="551" ht="15.0" customHeight="1">
      <c r="A551" s="9">
        <v>46083.0</v>
      </c>
      <c r="B551" s="8" t="s">
        <v>131</v>
      </c>
      <c r="C551" s="8" t="s">
        <v>313</v>
      </c>
      <c r="D551" s="8" t="s">
        <v>313</v>
      </c>
      <c r="E551" s="8" t="b">
        <f t="shared" si="58"/>
        <v>0</v>
      </c>
      <c r="F551" s="8">
        <v>141.0</v>
      </c>
    </row>
    <row r="552" ht="15.0" customHeight="1">
      <c r="A552" s="9">
        <v>46083.0</v>
      </c>
      <c r="B552" s="8" t="s">
        <v>131</v>
      </c>
      <c r="C552" s="8" t="s">
        <v>377</v>
      </c>
      <c r="D552" s="8" t="s">
        <v>482</v>
      </c>
      <c r="E552" s="8" t="b">
        <f t="shared" si="58"/>
        <v>0</v>
      </c>
      <c r="F552" s="8">
        <v>141.0</v>
      </c>
    </row>
    <row r="553" ht="15.0" customHeight="1">
      <c r="A553" s="9">
        <v>46083.0</v>
      </c>
      <c r="B553" s="8" t="s">
        <v>131</v>
      </c>
      <c r="C553" s="8" t="s">
        <v>167</v>
      </c>
      <c r="D553" s="8" t="s">
        <v>486</v>
      </c>
      <c r="E553" s="8" t="b">
        <f t="shared" si="58"/>
        <v>0</v>
      </c>
      <c r="F553" s="8">
        <v>141.0</v>
      </c>
    </row>
    <row r="554" ht="15.0" customHeight="1">
      <c r="A554" s="9">
        <v>46083.0</v>
      </c>
      <c r="B554" s="8" t="s">
        <v>629</v>
      </c>
      <c r="C554" s="8" t="s">
        <v>167</v>
      </c>
      <c r="D554" s="8" t="s">
        <v>472</v>
      </c>
      <c r="E554" s="8" t="b">
        <f t="shared" si="58"/>
        <v>0</v>
      </c>
      <c r="F554" s="8">
        <v>141.0</v>
      </c>
    </row>
    <row r="555" ht="15.0" customHeight="1">
      <c r="A555" s="9">
        <v>46083.0</v>
      </c>
      <c r="B555" s="8" t="s">
        <v>794</v>
      </c>
      <c r="C555" s="8" t="s">
        <v>377</v>
      </c>
      <c r="D555" s="8" t="s">
        <v>482</v>
      </c>
      <c r="E555" s="8" t="b">
        <f t="shared" si="58"/>
        <v>0</v>
      </c>
      <c r="F555" s="8">
        <v>141.0</v>
      </c>
    </row>
    <row r="556" ht="15.0" customHeight="1">
      <c r="A556" s="9">
        <v>46083.0</v>
      </c>
      <c r="B556" s="8" t="s">
        <v>794</v>
      </c>
      <c r="C556" s="8" t="s">
        <v>167</v>
      </c>
      <c r="D556" s="8" t="s">
        <v>472</v>
      </c>
      <c r="E556" s="8" t="b">
        <f t="shared" si="58"/>
        <v>0</v>
      </c>
      <c r="F556" s="8">
        <v>141.0</v>
      </c>
    </row>
    <row r="557" ht="15.0" customHeight="1">
      <c r="A557" s="9">
        <v>46083.0</v>
      </c>
      <c r="B557" s="8" t="s">
        <v>796</v>
      </c>
      <c r="C557" s="8" t="s">
        <v>167</v>
      </c>
      <c r="D557" s="8" t="s">
        <v>472</v>
      </c>
      <c r="E557" s="8" t="b">
        <f t="shared" si="58"/>
        <v>0</v>
      </c>
      <c r="F557" s="8">
        <v>141.0</v>
      </c>
    </row>
    <row r="558" ht="15.0" customHeight="1">
      <c r="A558" s="9">
        <v>46083.0</v>
      </c>
      <c r="B558" s="8" t="s">
        <v>798</v>
      </c>
      <c r="C558" s="8" t="s">
        <v>167</v>
      </c>
      <c r="D558" s="8" t="s">
        <v>472</v>
      </c>
      <c r="E558" s="8" t="b">
        <f t="shared" si="58"/>
        <v>0</v>
      </c>
      <c r="F558" s="8">
        <v>141.0</v>
      </c>
    </row>
    <row r="559" ht="15.0" customHeight="1">
      <c r="A559" s="9">
        <v>46083.0</v>
      </c>
      <c r="B559" s="8" t="s">
        <v>800</v>
      </c>
      <c r="C559" s="8" t="s">
        <v>377</v>
      </c>
      <c r="D559" s="8" t="s">
        <v>482</v>
      </c>
      <c r="E559" s="8" t="b">
        <f t="shared" si="58"/>
        <v>0</v>
      </c>
      <c r="F559" s="8">
        <v>141.0</v>
      </c>
    </row>
    <row r="560" ht="15.0" customHeight="1">
      <c r="A560" s="9">
        <v>46083.0</v>
      </c>
      <c r="B560" s="8" t="s">
        <v>800</v>
      </c>
      <c r="C560" s="8" t="s">
        <v>167</v>
      </c>
      <c r="D560" s="8" t="s">
        <v>469</v>
      </c>
      <c r="E560" s="8" t="b">
        <f t="shared" si="58"/>
        <v>0</v>
      </c>
      <c r="F560" s="8">
        <v>141.0</v>
      </c>
    </row>
    <row r="561" ht="15.0" customHeight="1">
      <c r="A561" s="9">
        <v>46083.0</v>
      </c>
      <c r="B561" s="8" t="s">
        <v>197</v>
      </c>
      <c r="C561" s="8" t="s">
        <v>116</v>
      </c>
      <c r="D561" s="8" t="s">
        <v>116</v>
      </c>
      <c r="E561" s="8" t="b">
        <f t="shared" si="58"/>
        <v>0</v>
      </c>
      <c r="F561" s="8">
        <v>141.0</v>
      </c>
    </row>
    <row r="562" ht="15.0" customHeight="1">
      <c r="A562" s="9">
        <v>46083.0</v>
      </c>
      <c r="B562" s="8" t="s">
        <v>587</v>
      </c>
      <c r="C562" s="8" t="s">
        <v>313</v>
      </c>
      <c r="D562" s="8" t="s">
        <v>313</v>
      </c>
      <c r="E562" s="8" t="b">
        <f t="shared" si="58"/>
        <v>0</v>
      </c>
      <c r="F562" s="8">
        <v>141.0</v>
      </c>
    </row>
    <row r="563" ht="15.0" customHeight="1">
      <c r="A563" s="9">
        <v>46083.0</v>
      </c>
      <c r="B563" s="8" t="s">
        <v>839</v>
      </c>
      <c r="C563" s="8" t="s">
        <v>167</v>
      </c>
      <c r="D563" s="8" t="s">
        <v>469</v>
      </c>
      <c r="E563" s="8" t="b">
        <f t="shared" si="58"/>
        <v>0</v>
      </c>
      <c r="F563" s="8">
        <v>141.0</v>
      </c>
    </row>
    <row r="564" ht="15.0" customHeight="1">
      <c r="A564" s="9">
        <v>46083.0</v>
      </c>
      <c r="B564" s="8" t="s">
        <v>765</v>
      </c>
      <c r="C564" s="8" t="s">
        <v>167</v>
      </c>
      <c r="D564" s="8" t="s">
        <v>469</v>
      </c>
      <c r="E564" s="8" t="b">
        <f t="shared" si="58"/>
        <v>0</v>
      </c>
      <c r="F564" s="8">
        <v>141.0</v>
      </c>
    </row>
    <row r="565" ht="15.0" customHeight="1">
      <c r="A565" s="9">
        <v>46083.0</v>
      </c>
      <c r="B565" s="8" t="s">
        <v>669</v>
      </c>
      <c r="C565" s="8" t="s">
        <v>167</v>
      </c>
      <c r="D565" s="8" t="s">
        <v>486</v>
      </c>
      <c r="E565" s="8" t="b">
        <f t="shared" si="58"/>
        <v>0</v>
      </c>
      <c r="F565" s="8">
        <v>141.0</v>
      </c>
    </row>
    <row r="566" ht="15.0" customHeight="1">
      <c r="A566" s="9">
        <v>46083.0</v>
      </c>
      <c r="B566" s="8" t="s">
        <v>855</v>
      </c>
      <c r="C566" s="8" t="s">
        <v>167</v>
      </c>
      <c r="D566" s="8" t="s">
        <v>469</v>
      </c>
      <c r="E566" s="8" t="b">
        <f t="shared" si="58"/>
        <v>0</v>
      </c>
      <c r="F566" s="8">
        <v>141.0</v>
      </c>
    </row>
    <row r="567" ht="15.0" customHeight="1">
      <c r="A567" s="9">
        <v>46090.0</v>
      </c>
      <c r="B567" s="8" t="s">
        <v>256</v>
      </c>
      <c r="C567" s="8" t="s">
        <v>167</v>
      </c>
      <c r="D567" s="8" t="s">
        <v>472</v>
      </c>
      <c r="E567" s="8" t="b">
        <f t="shared" si="58"/>
        <v>0</v>
      </c>
      <c r="F567" s="8">
        <v>136.0</v>
      </c>
    </row>
    <row r="568" ht="15.0" customHeight="1">
      <c r="A568" s="9">
        <v>46090.0</v>
      </c>
      <c r="B568" s="8" t="s">
        <v>236</v>
      </c>
      <c r="C568" s="8" t="s">
        <v>116</v>
      </c>
      <c r="D568" s="8" t="s">
        <v>116</v>
      </c>
      <c r="E568" s="8" t="b">
        <f t="shared" si="58"/>
        <v>0</v>
      </c>
      <c r="F568" s="8">
        <v>136.0</v>
      </c>
    </row>
    <row r="569" ht="15.0" customHeight="1">
      <c r="A569" s="9">
        <v>46090.0</v>
      </c>
      <c r="B569" s="8" t="s">
        <v>149</v>
      </c>
      <c r="C569" s="8" t="s">
        <v>428</v>
      </c>
      <c r="D569" s="8" t="s">
        <v>428</v>
      </c>
      <c r="E569" s="8" t="b">
        <f>TRUE()</f>
        <v>1</v>
      </c>
      <c r="F569" s="8">
        <v>136.0</v>
      </c>
    </row>
    <row r="570" ht="15.0" customHeight="1">
      <c r="A570" s="9">
        <v>46090.0</v>
      </c>
      <c r="B570" s="8" t="s">
        <v>623</v>
      </c>
      <c r="C570" s="8" t="s">
        <v>167</v>
      </c>
      <c r="D570" s="8" t="s">
        <v>472</v>
      </c>
      <c r="E570" s="8" t="b">
        <f>FALSE()</f>
        <v>0</v>
      </c>
      <c r="F570" s="8">
        <v>136.0</v>
      </c>
    </row>
    <row r="571" ht="15.0" customHeight="1">
      <c r="A571" s="9">
        <v>46090.0</v>
      </c>
      <c r="B571" s="8" t="s">
        <v>34</v>
      </c>
      <c r="C571" s="8" t="s">
        <v>54</v>
      </c>
      <c r="D571" s="8" t="s">
        <v>606</v>
      </c>
      <c r="E571" s="8" t="b">
        <f>TRUE()</f>
        <v>1</v>
      </c>
      <c r="F571" s="8">
        <v>136.0</v>
      </c>
    </row>
    <row r="572" ht="15.0" customHeight="1">
      <c r="A572" s="9">
        <v>46090.0</v>
      </c>
      <c r="B572" s="8" t="s">
        <v>705</v>
      </c>
      <c r="C572" s="8" t="s">
        <v>167</v>
      </c>
      <c r="D572" s="8" t="s">
        <v>486</v>
      </c>
      <c r="E572" s="8" t="b">
        <f>FALSE()</f>
        <v>0</v>
      </c>
      <c r="F572" s="8">
        <v>136.0</v>
      </c>
    </row>
    <row r="573" ht="15.0" customHeight="1">
      <c r="A573" s="9">
        <v>46090.0</v>
      </c>
      <c r="B573" s="8" t="s">
        <v>78</v>
      </c>
      <c r="C573" s="8" t="s">
        <v>167</v>
      </c>
      <c r="D573" s="8" t="s">
        <v>469</v>
      </c>
      <c r="E573" s="8" t="b">
        <f>TRUE()</f>
        <v>1</v>
      </c>
      <c r="F573" s="8">
        <v>136.0</v>
      </c>
    </row>
    <row r="574" ht="15.0" customHeight="1">
      <c r="A574" s="9">
        <v>46090.0</v>
      </c>
      <c r="B574" s="8" t="s">
        <v>269</v>
      </c>
      <c r="C574" s="8" t="s">
        <v>167</v>
      </c>
      <c r="D574" s="8" t="s">
        <v>472</v>
      </c>
      <c r="E574" s="8" t="b">
        <f t="shared" ref="E574:E583" si="59">FALSE()</f>
        <v>0</v>
      </c>
      <c r="F574" s="8">
        <v>136.0</v>
      </c>
    </row>
    <row r="575" ht="15.0" customHeight="1">
      <c r="A575" s="9">
        <v>46090.0</v>
      </c>
      <c r="B575" s="8" t="s">
        <v>754</v>
      </c>
      <c r="C575" s="8" t="s">
        <v>167</v>
      </c>
      <c r="D575" s="8" t="s">
        <v>469</v>
      </c>
      <c r="E575" s="8" t="b">
        <f t="shared" si="59"/>
        <v>0</v>
      </c>
      <c r="F575" s="8">
        <v>136.0</v>
      </c>
    </row>
    <row r="576" ht="15.0" customHeight="1">
      <c r="A576" s="9">
        <v>46090.0</v>
      </c>
      <c r="B576" s="8" t="s">
        <v>840</v>
      </c>
      <c r="C576" s="8" t="s">
        <v>167</v>
      </c>
      <c r="D576" s="8" t="s">
        <v>486</v>
      </c>
      <c r="E576" s="8" t="b">
        <f t="shared" si="59"/>
        <v>0</v>
      </c>
      <c r="F576" s="8">
        <v>136.0</v>
      </c>
    </row>
    <row r="577" ht="15.0" customHeight="1">
      <c r="A577" s="9">
        <v>46090.0</v>
      </c>
      <c r="B577" s="8" t="s">
        <v>757</v>
      </c>
      <c r="C577" s="8" t="s">
        <v>167</v>
      </c>
      <c r="D577" s="8" t="s">
        <v>469</v>
      </c>
      <c r="E577" s="8" t="b">
        <f t="shared" si="59"/>
        <v>0</v>
      </c>
      <c r="F577" s="8">
        <v>136.0</v>
      </c>
    </row>
    <row r="578" ht="15.0" customHeight="1">
      <c r="A578" s="9">
        <v>46090.0</v>
      </c>
      <c r="B578" s="8" t="s">
        <v>714</v>
      </c>
      <c r="C578" s="8" t="s">
        <v>167</v>
      </c>
      <c r="D578" s="8" t="s">
        <v>486</v>
      </c>
      <c r="E578" s="8" t="b">
        <f t="shared" si="59"/>
        <v>0</v>
      </c>
      <c r="F578" s="8">
        <v>136.0</v>
      </c>
    </row>
    <row r="579" ht="15.0" customHeight="1">
      <c r="A579" s="9">
        <v>46090.0</v>
      </c>
      <c r="B579" s="8" t="s">
        <v>726</v>
      </c>
      <c r="C579" s="8" t="s">
        <v>377</v>
      </c>
      <c r="D579" s="8" t="s">
        <v>482</v>
      </c>
      <c r="E579" s="8" t="b">
        <f t="shared" si="59"/>
        <v>0</v>
      </c>
      <c r="F579" s="8">
        <v>136.0</v>
      </c>
    </row>
    <row r="580" ht="15.0" customHeight="1">
      <c r="A580" s="9">
        <v>46090.0</v>
      </c>
      <c r="B580" s="8" t="s">
        <v>559</v>
      </c>
      <c r="C580" s="8" t="s">
        <v>167</v>
      </c>
      <c r="D580" s="8" t="s">
        <v>472</v>
      </c>
      <c r="E580" s="8" t="b">
        <f t="shared" si="59"/>
        <v>0</v>
      </c>
      <c r="F580" s="8">
        <v>136.0</v>
      </c>
    </row>
    <row r="581" ht="15.0" customHeight="1">
      <c r="A581" s="9">
        <v>46090.0</v>
      </c>
      <c r="B581" s="8" t="s">
        <v>787</v>
      </c>
      <c r="C581" s="8" t="s">
        <v>167</v>
      </c>
      <c r="D581" s="8" t="s">
        <v>486</v>
      </c>
      <c r="E581" s="8" t="b">
        <f t="shared" si="59"/>
        <v>0</v>
      </c>
      <c r="F581" s="8">
        <v>136.0</v>
      </c>
    </row>
    <row r="582" ht="15.0" customHeight="1">
      <c r="A582" s="9">
        <v>46090.0</v>
      </c>
      <c r="B582" s="8" t="s">
        <v>874</v>
      </c>
      <c r="C582" s="8" t="s">
        <v>167</v>
      </c>
      <c r="D582" s="8" t="s">
        <v>472</v>
      </c>
      <c r="E582" s="8" t="b">
        <f t="shared" si="59"/>
        <v>0</v>
      </c>
      <c r="F582" s="8">
        <v>136.0</v>
      </c>
    </row>
    <row r="583" ht="15.0" customHeight="1">
      <c r="A583" s="9">
        <v>46090.0</v>
      </c>
      <c r="B583" s="8" t="s">
        <v>131</v>
      </c>
      <c r="C583" s="8" t="s">
        <v>313</v>
      </c>
      <c r="D583" s="8" t="s">
        <v>313</v>
      </c>
      <c r="E583" s="8" t="b">
        <f t="shared" si="59"/>
        <v>0</v>
      </c>
      <c r="F583" s="8">
        <v>136.0</v>
      </c>
    </row>
    <row r="584" ht="15.0" customHeight="1">
      <c r="A584" s="9">
        <v>46090.0</v>
      </c>
      <c r="B584" s="8" t="s">
        <v>131</v>
      </c>
      <c r="C584" s="8" t="s">
        <v>167</v>
      </c>
      <c r="D584" s="8" t="s">
        <v>486</v>
      </c>
      <c r="E584" s="8" t="b">
        <f>TRUE()</f>
        <v>1</v>
      </c>
      <c r="F584" s="8">
        <v>136.0</v>
      </c>
    </row>
    <row r="585" ht="15.0" customHeight="1">
      <c r="A585" s="9">
        <v>46090.0</v>
      </c>
      <c r="B585" s="8" t="s">
        <v>197</v>
      </c>
      <c r="C585" s="8" t="s">
        <v>116</v>
      </c>
      <c r="D585" s="8" t="s">
        <v>116</v>
      </c>
      <c r="E585" s="8" t="b">
        <f t="shared" ref="E585:E592" si="60">FALSE()</f>
        <v>0</v>
      </c>
      <c r="F585" s="8">
        <v>136.0</v>
      </c>
    </row>
    <row r="586" ht="15.0" customHeight="1">
      <c r="A586" s="9">
        <v>46090.0</v>
      </c>
      <c r="B586" s="8" t="s">
        <v>587</v>
      </c>
      <c r="C586" s="8" t="s">
        <v>313</v>
      </c>
      <c r="D586" s="8" t="s">
        <v>313</v>
      </c>
      <c r="E586" s="8" t="b">
        <f t="shared" si="60"/>
        <v>0</v>
      </c>
      <c r="F586" s="8">
        <v>136.0</v>
      </c>
    </row>
    <row r="587" ht="15.0" customHeight="1">
      <c r="A587" s="9">
        <v>46090.0</v>
      </c>
      <c r="B587" s="8" t="s">
        <v>839</v>
      </c>
      <c r="C587" s="8" t="s">
        <v>167</v>
      </c>
      <c r="D587" s="8" t="s">
        <v>469</v>
      </c>
      <c r="E587" s="8" t="b">
        <f t="shared" si="60"/>
        <v>0</v>
      </c>
      <c r="F587" s="8">
        <v>136.0</v>
      </c>
    </row>
    <row r="588" ht="15.0" customHeight="1">
      <c r="A588" s="9">
        <v>46090.0</v>
      </c>
      <c r="B588" s="8" t="s">
        <v>765</v>
      </c>
      <c r="C588" s="8" t="s">
        <v>167</v>
      </c>
      <c r="D588" s="8" t="s">
        <v>469</v>
      </c>
      <c r="E588" s="8" t="b">
        <f t="shared" si="60"/>
        <v>0</v>
      </c>
      <c r="F588" s="8">
        <v>136.0</v>
      </c>
    </row>
    <row r="589" ht="15.0" customHeight="1">
      <c r="A589" s="9">
        <v>46090.0</v>
      </c>
      <c r="B589" s="8" t="s">
        <v>669</v>
      </c>
      <c r="C589" s="8" t="s">
        <v>167</v>
      </c>
      <c r="D589" s="8" t="s">
        <v>486</v>
      </c>
      <c r="E589" s="8" t="b">
        <f t="shared" si="60"/>
        <v>0</v>
      </c>
      <c r="F589" s="8">
        <v>136.0</v>
      </c>
    </row>
    <row r="590" ht="15.0" customHeight="1">
      <c r="A590" s="9">
        <v>46090.0</v>
      </c>
      <c r="B590" s="8" t="s">
        <v>855</v>
      </c>
      <c r="C590" s="8" t="s">
        <v>167</v>
      </c>
      <c r="D590" s="8" t="s">
        <v>469</v>
      </c>
      <c r="E590" s="8" t="b">
        <f t="shared" si="60"/>
        <v>0</v>
      </c>
      <c r="F590" s="8">
        <v>136.0</v>
      </c>
    </row>
    <row r="591" ht="15.0" customHeight="1">
      <c r="A591" s="9">
        <v>46097.0</v>
      </c>
      <c r="B591" s="8" t="s">
        <v>256</v>
      </c>
      <c r="C591" s="8" t="s">
        <v>167</v>
      </c>
      <c r="D591" s="8" t="s">
        <v>472</v>
      </c>
      <c r="E591" s="8" t="b">
        <f t="shared" si="60"/>
        <v>0</v>
      </c>
      <c r="F591" s="8">
        <v>133.0</v>
      </c>
    </row>
    <row r="592" ht="15.0" customHeight="1">
      <c r="A592" s="9">
        <v>46097.0</v>
      </c>
      <c r="B592" s="8" t="s">
        <v>236</v>
      </c>
      <c r="C592" s="8" t="s">
        <v>116</v>
      </c>
      <c r="D592" s="8" t="s">
        <v>116</v>
      </c>
      <c r="E592" s="8" t="b">
        <f t="shared" si="60"/>
        <v>0</v>
      </c>
      <c r="F592" s="8">
        <v>133.0</v>
      </c>
    </row>
    <row r="593" ht="15.0" customHeight="1">
      <c r="A593" s="9">
        <v>46097.0</v>
      </c>
      <c r="B593" s="8" t="s">
        <v>149</v>
      </c>
      <c r="C593" s="8" t="s">
        <v>428</v>
      </c>
      <c r="D593" s="8" t="s">
        <v>428</v>
      </c>
      <c r="E593" s="8" t="b">
        <f>TRUE()</f>
        <v>1</v>
      </c>
      <c r="F593" s="8">
        <v>133.0</v>
      </c>
    </row>
    <row r="594" ht="15.0" customHeight="1">
      <c r="A594" s="9">
        <v>46097.0</v>
      </c>
      <c r="B594" s="8" t="s">
        <v>623</v>
      </c>
      <c r="C594" s="8" t="s">
        <v>167</v>
      </c>
      <c r="D594" s="8" t="s">
        <v>472</v>
      </c>
      <c r="E594" s="8" t="b">
        <f>FALSE()</f>
        <v>0</v>
      </c>
      <c r="F594" s="8">
        <v>133.0</v>
      </c>
    </row>
    <row r="595" ht="15.0" customHeight="1">
      <c r="A595" s="9">
        <v>46097.0</v>
      </c>
      <c r="B595" s="8" t="s">
        <v>34</v>
      </c>
      <c r="C595" s="8" t="s">
        <v>54</v>
      </c>
      <c r="D595" s="8" t="s">
        <v>606</v>
      </c>
      <c r="E595" s="8" t="b">
        <f>TRUE()</f>
        <v>1</v>
      </c>
      <c r="F595" s="8">
        <v>133.0</v>
      </c>
    </row>
    <row r="596" ht="15.0" customHeight="1">
      <c r="A596" s="9">
        <v>46097.0</v>
      </c>
      <c r="B596" s="8" t="s">
        <v>648</v>
      </c>
      <c r="C596" s="8" t="s">
        <v>377</v>
      </c>
      <c r="D596" s="8" t="s">
        <v>482</v>
      </c>
      <c r="E596" s="8" t="b">
        <f t="shared" ref="E596:E597" si="61">FALSE()</f>
        <v>0</v>
      </c>
      <c r="F596" s="8">
        <v>133.0</v>
      </c>
    </row>
    <row r="597" ht="15.0" customHeight="1">
      <c r="A597" s="9">
        <v>46097.0</v>
      </c>
      <c r="B597" s="8" t="s">
        <v>648</v>
      </c>
      <c r="C597" s="8" t="s">
        <v>167</v>
      </c>
      <c r="D597" s="8" t="s">
        <v>472</v>
      </c>
      <c r="E597" s="8" t="b">
        <f t="shared" si="61"/>
        <v>0</v>
      </c>
      <c r="F597" s="8">
        <v>133.0</v>
      </c>
    </row>
    <row r="598" ht="15.0" customHeight="1">
      <c r="A598" s="9">
        <v>46097.0</v>
      </c>
      <c r="B598" s="8" t="s">
        <v>78</v>
      </c>
      <c r="C598" s="8" t="s">
        <v>116</v>
      </c>
      <c r="D598" s="8" t="s">
        <v>116</v>
      </c>
      <c r="E598" s="8" t="b">
        <f>TRUE()</f>
        <v>1</v>
      </c>
      <c r="F598" s="8">
        <v>133.0</v>
      </c>
    </row>
    <row r="599" ht="15.0" customHeight="1">
      <c r="A599" s="9">
        <v>46097.0</v>
      </c>
      <c r="B599" s="8" t="s">
        <v>269</v>
      </c>
      <c r="C599" s="8" t="s">
        <v>313</v>
      </c>
      <c r="D599" s="8" t="s">
        <v>313</v>
      </c>
      <c r="E599" s="8" t="b">
        <f t="shared" ref="E599:E610" si="62">FALSE()</f>
        <v>0</v>
      </c>
      <c r="F599" s="8">
        <v>133.0</v>
      </c>
    </row>
    <row r="600" ht="15.0" customHeight="1">
      <c r="A600" s="9">
        <v>46097.0</v>
      </c>
      <c r="B600" s="8" t="s">
        <v>754</v>
      </c>
      <c r="C600" s="8" t="s">
        <v>167</v>
      </c>
      <c r="D600" s="8" t="s">
        <v>469</v>
      </c>
      <c r="E600" s="8" t="b">
        <f t="shared" si="62"/>
        <v>0</v>
      </c>
      <c r="F600" s="8">
        <v>133.0</v>
      </c>
    </row>
    <row r="601" ht="15.0" customHeight="1">
      <c r="A601" s="9">
        <v>46097.0</v>
      </c>
      <c r="B601" s="8" t="s">
        <v>849</v>
      </c>
      <c r="C601" s="8" t="s">
        <v>377</v>
      </c>
      <c r="D601" s="8" t="s">
        <v>482</v>
      </c>
      <c r="E601" s="8" t="b">
        <f t="shared" si="62"/>
        <v>0</v>
      </c>
      <c r="F601" s="8">
        <v>133.0</v>
      </c>
    </row>
    <row r="602" ht="15.0" customHeight="1">
      <c r="A602" s="9">
        <v>46097.0</v>
      </c>
      <c r="B602" s="8" t="s">
        <v>849</v>
      </c>
      <c r="C602" s="8" t="s">
        <v>167</v>
      </c>
      <c r="D602" s="8" t="s">
        <v>472</v>
      </c>
      <c r="E602" s="8" t="b">
        <f t="shared" si="62"/>
        <v>0</v>
      </c>
      <c r="F602" s="8">
        <v>133.0</v>
      </c>
    </row>
    <row r="603" ht="15.0" customHeight="1">
      <c r="A603" s="9">
        <v>46097.0</v>
      </c>
      <c r="B603" s="8" t="s">
        <v>840</v>
      </c>
      <c r="C603" s="8" t="s">
        <v>167</v>
      </c>
      <c r="D603" s="8" t="s">
        <v>486</v>
      </c>
      <c r="E603" s="8" t="b">
        <f t="shared" si="62"/>
        <v>0</v>
      </c>
      <c r="F603" s="8">
        <v>133.0</v>
      </c>
    </row>
    <row r="604" ht="15.0" customHeight="1">
      <c r="A604" s="9">
        <v>46097.0</v>
      </c>
      <c r="B604" s="8" t="s">
        <v>757</v>
      </c>
      <c r="C604" s="8" t="s">
        <v>167</v>
      </c>
      <c r="D604" s="8" t="s">
        <v>469</v>
      </c>
      <c r="E604" s="8" t="b">
        <f t="shared" si="62"/>
        <v>0</v>
      </c>
      <c r="F604" s="8">
        <v>133.0</v>
      </c>
    </row>
    <row r="605" ht="15.0" customHeight="1">
      <c r="A605" s="9">
        <v>46097.0</v>
      </c>
      <c r="B605" s="8" t="s">
        <v>886</v>
      </c>
      <c r="C605" s="8" t="s">
        <v>167</v>
      </c>
      <c r="D605" s="8" t="s">
        <v>486</v>
      </c>
      <c r="E605" s="8" t="b">
        <f t="shared" si="62"/>
        <v>0</v>
      </c>
      <c r="F605" s="8">
        <v>133.0</v>
      </c>
    </row>
    <row r="606" ht="15.0" customHeight="1">
      <c r="A606" s="9">
        <v>46097.0</v>
      </c>
      <c r="B606" s="8" t="s">
        <v>726</v>
      </c>
      <c r="C606" s="8" t="s">
        <v>377</v>
      </c>
      <c r="D606" s="8" t="s">
        <v>482</v>
      </c>
      <c r="E606" s="8" t="b">
        <f t="shared" si="62"/>
        <v>0</v>
      </c>
      <c r="F606" s="8">
        <v>133.0</v>
      </c>
    </row>
    <row r="607" ht="15.0" customHeight="1">
      <c r="A607" s="9">
        <v>46097.0</v>
      </c>
      <c r="B607" s="8" t="s">
        <v>559</v>
      </c>
      <c r="C607" s="8" t="s">
        <v>167</v>
      </c>
      <c r="D607" s="8" t="s">
        <v>472</v>
      </c>
      <c r="E607" s="8" t="b">
        <f t="shared" si="62"/>
        <v>0</v>
      </c>
      <c r="F607" s="8">
        <v>133.0</v>
      </c>
    </row>
    <row r="608" ht="15.0" customHeight="1">
      <c r="A608" s="9">
        <v>46097.0</v>
      </c>
      <c r="B608" s="8" t="s">
        <v>787</v>
      </c>
      <c r="C608" s="8" t="s">
        <v>167</v>
      </c>
      <c r="D608" s="8" t="s">
        <v>486</v>
      </c>
      <c r="E608" s="8" t="b">
        <f t="shared" si="62"/>
        <v>0</v>
      </c>
      <c r="F608" s="8">
        <v>133.0</v>
      </c>
    </row>
    <row r="609" ht="15.0" customHeight="1">
      <c r="A609" s="9">
        <v>46097.0</v>
      </c>
      <c r="B609" s="8" t="s">
        <v>874</v>
      </c>
      <c r="C609" s="8" t="s">
        <v>377</v>
      </c>
      <c r="D609" s="8" t="s">
        <v>482</v>
      </c>
      <c r="E609" s="8" t="b">
        <f t="shared" si="62"/>
        <v>0</v>
      </c>
      <c r="F609" s="8">
        <v>133.0</v>
      </c>
    </row>
    <row r="610" ht="15.0" customHeight="1">
      <c r="A610" s="9">
        <v>46097.0</v>
      </c>
      <c r="B610" s="8" t="s">
        <v>874</v>
      </c>
      <c r="C610" s="8" t="s">
        <v>167</v>
      </c>
      <c r="D610" s="8" t="s">
        <v>472</v>
      </c>
      <c r="E610" s="8" t="b">
        <f t="shared" si="62"/>
        <v>0</v>
      </c>
      <c r="F610" s="8">
        <v>133.0</v>
      </c>
    </row>
    <row r="611" ht="15.0" customHeight="1">
      <c r="A611" s="9">
        <v>46097.0</v>
      </c>
      <c r="B611" s="8" t="s">
        <v>131</v>
      </c>
      <c r="C611" s="8" t="s">
        <v>116</v>
      </c>
      <c r="D611" s="8" t="s">
        <v>116</v>
      </c>
      <c r="E611" s="8" t="b">
        <f>TRUE()</f>
        <v>1</v>
      </c>
      <c r="F611" s="8">
        <v>133.0</v>
      </c>
    </row>
    <row r="612" ht="15.0" customHeight="1">
      <c r="A612" s="9">
        <v>46097.0</v>
      </c>
      <c r="B612" s="8" t="s">
        <v>131</v>
      </c>
      <c r="C612" s="8" t="s">
        <v>313</v>
      </c>
      <c r="D612" s="8" t="s">
        <v>313</v>
      </c>
      <c r="E612" s="8" t="b">
        <f t="shared" ref="E612:E620" si="63">FALSE()</f>
        <v>0</v>
      </c>
      <c r="F612" s="8">
        <v>133.0</v>
      </c>
    </row>
    <row r="613" ht="15.0" customHeight="1">
      <c r="A613" s="9">
        <v>46097.0</v>
      </c>
      <c r="B613" s="8" t="s">
        <v>197</v>
      </c>
      <c r="C613" s="8" t="s">
        <v>116</v>
      </c>
      <c r="D613" s="8" t="s">
        <v>116</v>
      </c>
      <c r="E613" s="8" t="b">
        <f t="shared" si="63"/>
        <v>0</v>
      </c>
      <c r="F613" s="8">
        <v>133.0</v>
      </c>
    </row>
    <row r="614" ht="15.0" customHeight="1">
      <c r="A614" s="9">
        <v>46097.0</v>
      </c>
      <c r="B614" s="8" t="s">
        <v>587</v>
      </c>
      <c r="C614" s="8" t="s">
        <v>313</v>
      </c>
      <c r="D614" s="8" t="s">
        <v>313</v>
      </c>
      <c r="E614" s="8" t="b">
        <f t="shared" si="63"/>
        <v>0</v>
      </c>
      <c r="F614" s="8">
        <v>133.0</v>
      </c>
    </row>
    <row r="615" ht="15.0" customHeight="1">
      <c r="A615" s="9">
        <v>46097.0</v>
      </c>
      <c r="B615" s="8" t="s">
        <v>839</v>
      </c>
      <c r="C615" s="8" t="s">
        <v>167</v>
      </c>
      <c r="D615" s="8" t="s">
        <v>469</v>
      </c>
      <c r="E615" s="8" t="b">
        <f t="shared" si="63"/>
        <v>0</v>
      </c>
      <c r="F615" s="8">
        <v>133.0</v>
      </c>
    </row>
    <row r="616" ht="15.0" customHeight="1">
      <c r="A616" s="9">
        <v>46097.0</v>
      </c>
      <c r="B616" s="8" t="s">
        <v>890</v>
      </c>
      <c r="C616" s="8" t="s">
        <v>167</v>
      </c>
      <c r="D616" s="8" t="s">
        <v>469</v>
      </c>
      <c r="E616" s="8" t="b">
        <f t="shared" si="63"/>
        <v>0</v>
      </c>
      <c r="F616" s="8">
        <v>133.0</v>
      </c>
    </row>
    <row r="617" ht="15.0" customHeight="1">
      <c r="A617" s="9">
        <v>46097.0</v>
      </c>
      <c r="B617" s="8" t="s">
        <v>765</v>
      </c>
      <c r="C617" s="8" t="s">
        <v>167</v>
      </c>
      <c r="D617" s="8" t="s">
        <v>469</v>
      </c>
      <c r="E617" s="8" t="b">
        <f t="shared" si="63"/>
        <v>0</v>
      </c>
      <c r="F617" s="8">
        <v>133.0</v>
      </c>
    </row>
    <row r="618" ht="15.0" customHeight="1">
      <c r="A618" s="9">
        <v>46097.0</v>
      </c>
      <c r="B618" s="8" t="s">
        <v>669</v>
      </c>
      <c r="C618" s="8" t="s">
        <v>167</v>
      </c>
      <c r="D618" s="8" t="s">
        <v>486</v>
      </c>
      <c r="E618" s="8" t="b">
        <f t="shared" si="63"/>
        <v>0</v>
      </c>
      <c r="F618" s="8">
        <v>133.0</v>
      </c>
    </row>
    <row r="619" ht="15.0" customHeight="1">
      <c r="A619" s="9">
        <v>46097.0</v>
      </c>
      <c r="B619" s="8" t="s">
        <v>855</v>
      </c>
      <c r="C619" s="8" t="s">
        <v>167</v>
      </c>
      <c r="D619" s="8" t="s">
        <v>469</v>
      </c>
      <c r="E619" s="8" t="b">
        <f t="shared" si="63"/>
        <v>0</v>
      </c>
      <c r="F619" s="8">
        <v>133.0</v>
      </c>
    </row>
    <row r="620" ht="15.0" customHeight="1">
      <c r="A620" s="9">
        <v>46104.0</v>
      </c>
      <c r="B620" s="8" t="s">
        <v>256</v>
      </c>
      <c r="C620" s="8" t="s">
        <v>167</v>
      </c>
      <c r="D620" s="8" t="s">
        <v>472</v>
      </c>
      <c r="E620" s="8" t="b">
        <f t="shared" si="63"/>
        <v>0</v>
      </c>
      <c r="F620" s="8">
        <v>130.0</v>
      </c>
    </row>
    <row r="621" ht="15.0" customHeight="1">
      <c r="A621" s="9">
        <v>46104.0</v>
      </c>
      <c r="B621" s="8" t="s">
        <v>149</v>
      </c>
      <c r="C621" s="8" t="s">
        <v>428</v>
      </c>
      <c r="D621" s="8" t="s">
        <v>428</v>
      </c>
      <c r="E621" s="8" t="b">
        <f t="shared" ref="E621:E622" si="64">TRUE()</f>
        <v>1</v>
      </c>
      <c r="F621" s="8">
        <v>130.0</v>
      </c>
    </row>
    <row r="622" ht="15.0" customHeight="1">
      <c r="A622" s="9">
        <v>46104.0</v>
      </c>
      <c r="B622" s="8" t="s">
        <v>34</v>
      </c>
      <c r="C622" s="8" t="s">
        <v>54</v>
      </c>
      <c r="D622" s="8" t="s">
        <v>606</v>
      </c>
      <c r="E622" s="8" t="b">
        <f t="shared" si="64"/>
        <v>1</v>
      </c>
      <c r="F622" s="8">
        <v>130.0</v>
      </c>
    </row>
    <row r="623" ht="15.0" customHeight="1">
      <c r="A623" s="9">
        <v>46104.0</v>
      </c>
      <c r="B623" s="8" t="s">
        <v>643</v>
      </c>
      <c r="C623" s="8" t="s">
        <v>167</v>
      </c>
      <c r="D623" s="8" t="s">
        <v>469</v>
      </c>
      <c r="E623" s="8" t="b">
        <f>FALSE()</f>
        <v>0</v>
      </c>
      <c r="F623" s="8">
        <v>130.0</v>
      </c>
    </row>
    <row r="624" ht="15.0" customHeight="1">
      <c r="A624" s="9">
        <v>46104.0</v>
      </c>
      <c r="B624" s="8" t="s">
        <v>78</v>
      </c>
      <c r="C624" s="8" t="s">
        <v>116</v>
      </c>
      <c r="D624" s="8" t="s">
        <v>116</v>
      </c>
      <c r="E624" s="8" t="b">
        <f>TRUE()</f>
        <v>1</v>
      </c>
      <c r="F624" s="8">
        <v>130.0</v>
      </c>
    </row>
    <row r="625" ht="15.0" customHeight="1">
      <c r="A625" s="9">
        <v>46104.0</v>
      </c>
      <c r="B625" s="8" t="s">
        <v>269</v>
      </c>
      <c r="C625" s="8" t="s">
        <v>313</v>
      </c>
      <c r="D625" s="8" t="s">
        <v>313</v>
      </c>
      <c r="E625" s="8" t="b">
        <f t="shared" ref="E625:E631" si="65">FALSE()</f>
        <v>0</v>
      </c>
      <c r="F625" s="8">
        <v>130.0</v>
      </c>
    </row>
    <row r="626" ht="15.0" customHeight="1">
      <c r="A626" s="9">
        <v>46104.0</v>
      </c>
      <c r="B626" s="8" t="s">
        <v>849</v>
      </c>
      <c r="C626" s="8" t="s">
        <v>167</v>
      </c>
      <c r="D626" s="8" t="s">
        <v>472</v>
      </c>
      <c r="E626" s="8" t="b">
        <f t="shared" si="65"/>
        <v>0</v>
      </c>
      <c r="F626" s="8">
        <v>130.0</v>
      </c>
    </row>
    <row r="627" ht="15.0" customHeight="1">
      <c r="A627" s="9">
        <v>46104.0</v>
      </c>
      <c r="B627" s="8" t="s">
        <v>840</v>
      </c>
      <c r="C627" s="8" t="s">
        <v>167</v>
      </c>
      <c r="D627" s="8" t="s">
        <v>486</v>
      </c>
      <c r="E627" s="8" t="b">
        <f t="shared" si="65"/>
        <v>0</v>
      </c>
      <c r="F627" s="8">
        <v>130.0</v>
      </c>
    </row>
    <row r="628" ht="15.0" customHeight="1">
      <c r="A628" s="9">
        <v>46104.0</v>
      </c>
      <c r="B628" s="8" t="s">
        <v>726</v>
      </c>
      <c r="C628" s="8" t="s">
        <v>377</v>
      </c>
      <c r="D628" s="8" t="s">
        <v>482</v>
      </c>
      <c r="E628" s="8" t="b">
        <f t="shared" si="65"/>
        <v>0</v>
      </c>
      <c r="F628" s="8">
        <v>130.0</v>
      </c>
    </row>
    <row r="629" ht="15.0" customHeight="1">
      <c r="A629" s="9">
        <v>46104.0</v>
      </c>
      <c r="B629" s="8" t="s">
        <v>559</v>
      </c>
      <c r="C629" s="8" t="s">
        <v>167</v>
      </c>
      <c r="D629" s="8" t="s">
        <v>472</v>
      </c>
      <c r="E629" s="8" t="b">
        <f t="shared" si="65"/>
        <v>0</v>
      </c>
      <c r="F629" s="8">
        <v>130.0</v>
      </c>
    </row>
    <row r="630" ht="15.0" customHeight="1">
      <c r="A630" s="9">
        <v>46104.0</v>
      </c>
      <c r="B630" s="8" t="s">
        <v>787</v>
      </c>
      <c r="C630" s="8" t="s">
        <v>167</v>
      </c>
      <c r="D630" s="8" t="s">
        <v>486</v>
      </c>
      <c r="E630" s="8" t="b">
        <f t="shared" si="65"/>
        <v>0</v>
      </c>
      <c r="F630" s="8">
        <v>130.0</v>
      </c>
    </row>
    <row r="631" ht="15.0" customHeight="1">
      <c r="A631" s="9">
        <v>46104.0</v>
      </c>
      <c r="B631" s="8" t="s">
        <v>894</v>
      </c>
      <c r="C631" s="8" t="s">
        <v>377</v>
      </c>
      <c r="D631" s="8" t="s">
        <v>482</v>
      </c>
      <c r="E631" s="8" t="b">
        <f t="shared" si="65"/>
        <v>0</v>
      </c>
      <c r="F631" s="8">
        <v>130.0</v>
      </c>
    </row>
    <row r="632" ht="15.0" customHeight="1">
      <c r="A632" s="9">
        <v>46104.0</v>
      </c>
      <c r="B632" s="8" t="s">
        <v>131</v>
      </c>
      <c r="C632" s="8" t="s">
        <v>428</v>
      </c>
      <c r="D632" s="8" t="s">
        <v>428</v>
      </c>
      <c r="E632" s="8" t="b">
        <f>TRUE()</f>
        <v>1</v>
      </c>
      <c r="F632" s="8">
        <v>130.0</v>
      </c>
    </row>
    <row r="633" ht="15.0" customHeight="1">
      <c r="A633" s="9">
        <v>46104.0</v>
      </c>
      <c r="B633" s="8" t="s">
        <v>197</v>
      </c>
      <c r="C633" s="8" t="s">
        <v>116</v>
      </c>
      <c r="D633" s="8" t="s">
        <v>116</v>
      </c>
      <c r="E633" s="8" t="b">
        <f t="shared" ref="E633:E637" si="66">FALSE()</f>
        <v>0</v>
      </c>
      <c r="F633" s="8">
        <v>130.0</v>
      </c>
    </row>
    <row r="634" ht="15.0" customHeight="1">
      <c r="A634" s="9">
        <v>46104.0</v>
      </c>
      <c r="B634" s="8" t="s">
        <v>587</v>
      </c>
      <c r="C634" s="8" t="s">
        <v>313</v>
      </c>
      <c r="D634" s="8" t="s">
        <v>313</v>
      </c>
      <c r="E634" s="8" t="b">
        <f t="shared" si="66"/>
        <v>0</v>
      </c>
      <c r="F634" s="8">
        <v>130.0</v>
      </c>
    </row>
    <row r="635" ht="15.0" customHeight="1">
      <c r="A635" s="9">
        <v>46104.0</v>
      </c>
      <c r="B635" s="8" t="s">
        <v>765</v>
      </c>
      <c r="C635" s="8" t="s">
        <v>167</v>
      </c>
      <c r="D635" s="8" t="s">
        <v>469</v>
      </c>
      <c r="E635" s="8" t="b">
        <f t="shared" si="66"/>
        <v>0</v>
      </c>
      <c r="F635" s="8">
        <v>130.0</v>
      </c>
    </row>
    <row r="636" ht="15.0" customHeight="1">
      <c r="A636" s="9">
        <v>46104.0</v>
      </c>
      <c r="B636" s="8" t="s">
        <v>863</v>
      </c>
      <c r="C636" s="8" t="s">
        <v>167</v>
      </c>
      <c r="D636" s="8" t="s">
        <v>472</v>
      </c>
      <c r="E636" s="8" t="b">
        <f t="shared" si="66"/>
        <v>0</v>
      </c>
      <c r="F636" s="8">
        <v>130.0</v>
      </c>
    </row>
    <row r="637" ht="15.0" customHeight="1">
      <c r="A637" s="9">
        <v>46111.0</v>
      </c>
      <c r="B637" s="8" t="s">
        <v>256</v>
      </c>
      <c r="C637" s="8" t="s">
        <v>167</v>
      </c>
      <c r="D637" s="8" t="s">
        <v>472</v>
      </c>
      <c r="E637" s="8" t="b">
        <f t="shared" si="66"/>
        <v>0</v>
      </c>
      <c r="F637" s="8">
        <v>129.0</v>
      </c>
    </row>
    <row r="638" ht="15.0" customHeight="1">
      <c r="A638" s="9">
        <v>46111.0</v>
      </c>
      <c r="B638" s="8" t="s">
        <v>149</v>
      </c>
      <c r="C638" s="8" t="s">
        <v>54</v>
      </c>
      <c r="D638" s="8" t="s">
        <v>606</v>
      </c>
      <c r="E638" s="8" t="b">
        <f t="shared" ref="E638:E639" si="67">TRUE()</f>
        <v>1</v>
      </c>
      <c r="F638" s="8">
        <v>129.0</v>
      </c>
    </row>
    <row r="639" ht="15.0" customHeight="1">
      <c r="A639" s="9">
        <v>46111.0</v>
      </c>
      <c r="B639" s="8" t="s">
        <v>34</v>
      </c>
      <c r="C639" s="8" t="s">
        <v>54</v>
      </c>
      <c r="D639" s="8" t="s">
        <v>606</v>
      </c>
      <c r="E639" s="8" t="b">
        <f t="shared" si="67"/>
        <v>1</v>
      </c>
      <c r="F639" s="8">
        <v>129.0</v>
      </c>
    </row>
    <row r="640" ht="15.0" customHeight="1">
      <c r="A640" s="9">
        <v>46111.0</v>
      </c>
      <c r="B640" s="8" t="s">
        <v>643</v>
      </c>
      <c r="C640" s="8" t="s">
        <v>167</v>
      </c>
      <c r="D640" s="8" t="s">
        <v>469</v>
      </c>
      <c r="E640" s="8" t="b">
        <f t="shared" ref="E640:E642" si="68">FALSE()</f>
        <v>0</v>
      </c>
      <c r="F640" s="8">
        <v>129.0</v>
      </c>
    </row>
    <row r="641" ht="15.0" customHeight="1">
      <c r="A641" s="9">
        <v>46111.0</v>
      </c>
      <c r="B641" s="8" t="s">
        <v>78</v>
      </c>
      <c r="C641" s="8" t="s">
        <v>116</v>
      </c>
      <c r="D641" s="8" t="s">
        <v>116</v>
      </c>
      <c r="E641" s="8" t="b">
        <f t="shared" si="68"/>
        <v>0</v>
      </c>
      <c r="F641" s="8">
        <v>129.0</v>
      </c>
    </row>
    <row r="642" ht="15.0" customHeight="1">
      <c r="A642" s="9">
        <v>46111.0</v>
      </c>
      <c r="B642" s="8" t="s">
        <v>269</v>
      </c>
      <c r="C642" s="8" t="s">
        <v>313</v>
      </c>
      <c r="D642" s="8" t="s">
        <v>313</v>
      </c>
      <c r="E642" s="8" t="b">
        <f t="shared" si="68"/>
        <v>0</v>
      </c>
      <c r="F642" s="8">
        <v>129.0</v>
      </c>
    </row>
    <row r="643" ht="15.0" customHeight="1">
      <c r="A643" s="9">
        <v>46111.0</v>
      </c>
      <c r="B643" s="8" t="s">
        <v>276</v>
      </c>
      <c r="C643" s="8" t="s">
        <v>167</v>
      </c>
      <c r="D643" s="8" t="s">
        <v>472</v>
      </c>
      <c r="E643" s="8" t="b">
        <f>TRUE()</f>
        <v>1</v>
      </c>
      <c r="F643" s="8">
        <v>129.0</v>
      </c>
    </row>
    <row r="644" ht="15.0" customHeight="1">
      <c r="A644" s="9">
        <v>46111.0</v>
      </c>
      <c r="B644" s="8" t="s">
        <v>849</v>
      </c>
      <c r="C644" s="8" t="s">
        <v>167</v>
      </c>
      <c r="D644" s="8" t="s">
        <v>472</v>
      </c>
      <c r="E644" s="8" t="b">
        <f t="shared" ref="E644:E647" si="69">FALSE()</f>
        <v>0</v>
      </c>
      <c r="F644" s="8">
        <v>129.0</v>
      </c>
    </row>
    <row r="645" ht="15.0" customHeight="1">
      <c r="A645" s="9">
        <v>46111.0</v>
      </c>
      <c r="B645" s="8" t="s">
        <v>840</v>
      </c>
      <c r="C645" s="8" t="s">
        <v>167</v>
      </c>
      <c r="D645" s="8" t="s">
        <v>486</v>
      </c>
      <c r="E645" s="8" t="b">
        <f t="shared" si="69"/>
        <v>0</v>
      </c>
      <c r="F645" s="8">
        <v>129.0</v>
      </c>
    </row>
    <row r="646" ht="15.0" customHeight="1">
      <c r="A646" s="9">
        <v>46111.0</v>
      </c>
      <c r="B646" s="8" t="s">
        <v>904</v>
      </c>
      <c r="C646" s="8" t="s">
        <v>167</v>
      </c>
      <c r="D646" s="8" t="s">
        <v>472</v>
      </c>
      <c r="E646" s="8" t="b">
        <f t="shared" si="69"/>
        <v>0</v>
      </c>
      <c r="F646" s="8">
        <v>129.0</v>
      </c>
    </row>
    <row r="647" ht="15.0" customHeight="1">
      <c r="A647" s="9">
        <v>46111.0</v>
      </c>
      <c r="B647" s="8" t="s">
        <v>559</v>
      </c>
      <c r="C647" s="8" t="s">
        <v>167</v>
      </c>
      <c r="D647" s="8" t="s">
        <v>472</v>
      </c>
      <c r="E647" s="8" t="b">
        <f t="shared" si="69"/>
        <v>0</v>
      </c>
      <c r="F647" s="8">
        <v>129.0</v>
      </c>
    </row>
    <row r="648" ht="15.0" customHeight="1">
      <c r="A648" s="9">
        <v>46111.0</v>
      </c>
      <c r="B648" s="8" t="s">
        <v>131</v>
      </c>
      <c r="C648" s="8" t="s">
        <v>54</v>
      </c>
      <c r="D648" s="8" t="s">
        <v>606</v>
      </c>
      <c r="E648" s="8" t="b">
        <f>TRUE()</f>
        <v>1</v>
      </c>
      <c r="F648" s="8">
        <v>129.0</v>
      </c>
    </row>
    <row r="649" ht="15.0" customHeight="1">
      <c r="A649" s="9">
        <v>46111.0</v>
      </c>
      <c r="B649" s="8" t="s">
        <v>908</v>
      </c>
      <c r="C649" s="8" t="s">
        <v>167</v>
      </c>
      <c r="D649" s="8" t="s">
        <v>472</v>
      </c>
      <c r="E649" s="8" t="b">
        <f t="shared" ref="E649:E653" si="70">FALSE()</f>
        <v>0</v>
      </c>
      <c r="F649" s="8">
        <v>129.0</v>
      </c>
    </row>
    <row r="650" ht="15.0" customHeight="1">
      <c r="A650" s="9">
        <v>46111.0</v>
      </c>
      <c r="B650" s="8" t="s">
        <v>197</v>
      </c>
      <c r="C650" s="8" t="s">
        <v>116</v>
      </c>
      <c r="D650" s="8" t="s">
        <v>116</v>
      </c>
      <c r="E650" s="8" t="b">
        <f t="shared" si="70"/>
        <v>0</v>
      </c>
      <c r="F650" s="8">
        <v>129.0</v>
      </c>
    </row>
    <row r="651" ht="15.0" customHeight="1">
      <c r="A651" s="9">
        <v>46111.0</v>
      </c>
      <c r="B651" s="8" t="s">
        <v>587</v>
      </c>
      <c r="C651" s="8" t="s">
        <v>313</v>
      </c>
      <c r="D651" s="8" t="s">
        <v>313</v>
      </c>
      <c r="E651" s="8" t="b">
        <f t="shared" si="70"/>
        <v>0</v>
      </c>
      <c r="F651" s="8">
        <v>129.0</v>
      </c>
    </row>
    <row r="652" ht="15.0" customHeight="1">
      <c r="A652" s="9">
        <v>46111.0</v>
      </c>
      <c r="B652" s="8" t="s">
        <v>765</v>
      </c>
      <c r="C652" s="8" t="s">
        <v>167</v>
      </c>
      <c r="D652" s="8" t="s">
        <v>469</v>
      </c>
      <c r="E652" s="8" t="b">
        <f t="shared" si="70"/>
        <v>0</v>
      </c>
      <c r="F652" s="8">
        <v>129.0</v>
      </c>
    </row>
    <row r="653" ht="15.0" customHeight="1">
      <c r="A653" s="9">
        <v>46111.0</v>
      </c>
      <c r="B653" s="8" t="s">
        <v>863</v>
      </c>
      <c r="C653" s="8" t="s">
        <v>167</v>
      </c>
      <c r="D653" s="8" t="s">
        <v>472</v>
      </c>
      <c r="E653" s="8" t="b">
        <f t="shared" si="70"/>
        <v>0</v>
      </c>
      <c r="F653" s="8">
        <v>129.0</v>
      </c>
    </row>
    <row r="654" ht="15.0" customHeight="1">
      <c r="A654" s="9">
        <v>46118.0</v>
      </c>
      <c r="B654" s="8" t="s">
        <v>256</v>
      </c>
      <c r="C654" s="8" t="s">
        <v>167</v>
      </c>
      <c r="D654" s="8" t="s">
        <v>472</v>
      </c>
      <c r="E654" s="8" t="b">
        <f t="shared" ref="E654:E656" si="71">TRUE()</f>
        <v>1</v>
      </c>
      <c r="F654" s="8">
        <v>127.0</v>
      </c>
    </row>
    <row r="655" ht="15.0" customHeight="1">
      <c r="A655" s="9">
        <v>46118.0</v>
      </c>
      <c r="B655" s="8" t="s">
        <v>149</v>
      </c>
      <c r="C655" s="8" t="s">
        <v>54</v>
      </c>
      <c r="D655" s="8" t="s">
        <v>606</v>
      </c>
      <c r="E655" s="8" t="b">
        <f t="shared" si="71"/>
        <v>1</v>
      </c>
      <c r="F655" s="8">
        <v>127.0</v>
      </c>
    </row>
    <row r="656" ht="15.0" customHeight="1">
      <c r="A656" s="9">
        <v>46118.0</v>
      </c>
      <c r="B656" s="8" t="s">
        <v>34</v>
      </c>
      <c r="C656" s="8" t="s">
        <v>54</v>
      </c>
      <c r="D656" s="8" t="s">
        <v>606</v>
      </c>
      <c r="E656" s="8" t="b">
        <f t="shared" si="71"/>
        <v>1</v>
      </c>
      <c r="F656" s="8">
        <v>127.0</v>
      </c>
    </row>
    <row r="657" ht="15.0" customHeight="1">
      <c r="A657" s="9">
        <v>46118.0</v>
      </c>
      <c r="B657" s="8" t="s">
        <v>645</v>
      </c>
      <c r="C657" s="8" t="s">
        <v>167</v>
      </c>
      <c r="D657" s="8" t="s">
        <v>469</v>
      </c>
      <c r="E657" s="8" t="b">
        <f t="shared" ref="E657:E659" si="72">FALSE()</f>
        <v>0</v>
      </c>
      <c r="F657" s="8">
        <v>127.0</v>
      </c>
    </row>
    <row r="658" ht="15.0" customHeight="1">
      <c r="A658" s="9">
        <v>46118.0</v>
      </c>
      <c r="B658" s="8" t="s">
        <v>78</v>
      </c>
      <c r="C658" s="8" t="s">
        <v>116</v>
      </c>
      <c r="D658" s="8" t="s">
        <v>116</v>
      </c>
      <c r="E658" s="8" t="b">
        <f t="shared" si="72"/>
        <v>0</v>
      </c>
      <c r="F658" s="8">
        <v>127.0</v>
      </c>
    </row>
    <row r="659" ht="15.0" customHeight="1">
      <c r="A659" s="9">
        <v>46118.0</v>
      </c>
      <c r="B659" s="8" t="s">
        <v>269</v>
      </c>
      <c r="C659" s="8" t="s">
        <v>313</v>
      </c>
      <c r="D659" s="8" t="s">
        <v>313</v>
      </c>
      <c r="E659" s="8" t="b">
        <f t="shared" si="72"/>
        <v>0</v>
      </c>
      <c r="F659" s="8">
        <v>127.0</v>
      </c>
    </row>
    <row r="660" ht="15.0" customHeight="1">
      <c r="A660" s="9">
        <v>46118.0</v>
      </c>
      <c r="B660" s="8" t="s">
        <v>873</v>
      </c>
      <c r="C660" s="8" t="s">
        <v>167</v>
      </c>
      <c r="D660" s="8" t="s">
        <v>472</v>
      </c>
      <c r="E660" s="8" t="b">
        <f>TRUE()</f>
        <v>1</v>
      </c>
      <c r="F660" s="8">
        <v>127.0</v>
      </c>
    </row>
    <row r="661" ht="15.0" customHeight="1">
      <c r="A661" s="9">
        <v>46118.0</v>
      </c>
      <c r="B661" s="8" t="s">
        <v>840</v>
      </c>
      <c r="C661" s="8" t="s">
        <v>167</v>
      </c>
      <c r="D661" s="8" t="s">
        <v>486</v>
      </c>
      <c r="E661" s="8" t="b">
        <f t="shared" ref="E661:E663" si="73">FALSE()</f>
        <v>0</v>
      </c>
      <c r="F661" s="8">
        <v>127.0</v>
      </c>
    </row>
    <row r="662" ht="15.0" customHeight="1">
      <c r="A662" s="9">
        <v>46118.0</v>
      </c>
      <c r="B662" s="8" t="s">
        <v>559</v>
      </c>
      <c r="C662" s="8" t="s">
        <v>313</v>
      </c>
      <c r="D662" s="8" t="s">
        <v>313</v>
      </c>
      <c r="E662" s="8" t="b">
        <f t="shared" si="73"/>
        <v>0</v>
      </c>
      <c r="F662" s="8">
        <v>127.0</v>
      </c>
    </row>
    <row r="663" ht="15.0" customHeight="1">
      <c r="A663" s="9">
        <v>46118.0</v>
      </c>
      <c r="B663" s="8" t="s">
        <v>912</v>
      </c>
      <c r="C663" s="8" t="s">
        <v>167</v>
      </c>
      <c r="D663" s="8" t="s">
        <v>486</v>
      </c>
      <c r="E663" s="8" t="b">
        <f t="shared" si="73"/>
        <v>0</v>
      </c>
      <c r="F663" s="8">
        <v>127.0</v>
      </c>
    </row>
    <row r="664" ht="15.0" customHeight="1">
      <c r="A664" s="9">
        <v>46118.0</v>
      </c>
      <c r="B664" s="8" t="s">
        <v>131</v>
      </c>
      <c r="C664" s="8" t="s">
        <v>54</v>
      </c>
      <c r="D664" s="8" t="s">
        <v>606</v>
      </c>
      <c r="E664" s="8" t="b">
        <f t="shared" ref="E664:E665" si="74">TRUE()</f>
        <v>1</v>
      </c>
      <c r="F664" s="8">
        <v>127.0</v>
      </c>
    </row>
    <row r="665" ht="15.0" customHeight="1">
      <c r="A665" s="9">
        <v>46118.0</v>
      </c>
      <c r="B665" s="8" t="s">
        <v>299</v>
      </c>
      <c r="C665" s="8" t="s">
        <v>167</v>
      </c>
      <c r="D665" s="8" t="s">
        <v>472</v>
      </c>
      <c r="E665" s="8" t="b">
        <f t="shared" si="74"/>
        <v>1</v>
      </c>
      <c r="F665" s="8">
        <v>127.0</v>
      </c>
    </row>
    <row r="666" ht="15.0" customHeight="1">
      <c r="A666" s="9">
        <v>46118.0</v>
      </c>
      <c r="B666" s="8" t="s">
        <v>915</v>
      </c>
      <c r="C666" s="8" t="s">
        <v>377</v>
      </c>
      <c r="D666" s="8" t="s">
        <v>482</v>
      </c>
      <c r="E666" s="8" t="b">
        <f t="shared" ref="E666:E667" si="75">FALSE()</f>
        <v>0</v>
      </c>
      <c r="F666" s="8">
        <v>127.0</v>
      </c>
    </row>
    <row r="667" ht="15.0" customHeight="1">
      <c r="A667" s="9">
        <v>46118.0</v>
      </c>
      <c r="B667" s="8" t="s">
        <v>807</v>
      </c>
      <c r="C667" s="8" t="s">
        <v>167</v>
      </c>
      <c r="D667" s="8" t="s">
        <v>469</v>
      </c>
      <c r="E667" s="8" t="b">
        <f t="shared" si="75"/>
        <v>0</v>
      </c>
      <c r="F667" s="8">
        <v>127.0</v>
      </c>
    </row>
    <row r="668" ht="15.0" customHeight="1">
      <c r="A668" s="9">
        <v>46118.0</v>
      </c>
      <c r="B668" s="8" t="s">
        <v>311</v>
      </c>
      <c r="C668" s="8" t="s">
        <v>167</v>
      </c>
      <c r="D668" s="8" t="s">
        <v>472</v>
      </c>
      <c r="E668" s="8" t="b">
        <f>TRUE()</f>
        <v>1</v>
      </c>
      <c r="F668" s="8">
        <v>127.0</v>
      </c>
    </row>
    <row r="669" ht="15.0" customHeight="1">
      <c r="A669" s="9">
        <v>46118.0</v>
      </c>
      <c r="B669" s="8" t="s">
        <v>197</v>
      </c>
      <c r="C669" s="8" t="s">
        <v>116</v>
      </c>
      <c r="D669" s="8" t="s">
        <v>116</v>
      </c>
      <c r="E669" s="8" t="b">
        <f t="shared" ref="E669:E674" si="76">FALSE()</f>
        <v>0</v>
      </c>
      <c r="F669" s="8">
        <v>127.0</v>
      </c>
    </row>
    <row r="670" ht="15.0" customHeight="1">
      <c r="A670" s="9">
        <v>46118.0</v>
      </c>
      <c r="B670" s="8" t="s">
        <v>587</v>
      </c>
      <c r="C670" s="8" t="s">
        <v>313</v>
      </c>
      <c r="D670" s="8" t="s">
        <v>313</v>
      </c>
      <c r="E670" s="8" t="b">
        <f t="shared" si="76"/>
        <v>0</v>
      </c>
      <c r="F670" s="8">
        <v>127.0</v>
      </c>
    </row>
    <row r="671" ht="15.0" customHeight="1">
      <c r="A671" s="9">
        <v>46118.0</v>
      </c>
      <c r="B671" s="8" t="s">
        <v>765</v>
      </c>
      <c r="C671" s="8" t="s">
        <v>167</v>
      </c>
      <c r="D671" s="8" t="s">
        <v>469</v>
      </c>
      <c r="E671" s="8" t="b">
        <f t="shared" si="76"/>
        <v>0</v>
      </c>
      <c r="F671" s="8">
        <v>127.0</v>
      </c>
    </row>
    <row r="672" ht="15.0" customHeight="1">
      <c r="A672" s="9">
        <v>46118.0</v>
      </c>
      <c r="B672" s="8" t="s">
        <v>852</v>
      </c>
      <c r="C672" s="8" t="s">
        <v>167</v>
      </c>
      <c r="D672" s="8" t="s">
        <v>472</v>
      </c>
      <c r="E672" s="8" t="b">
        <f t="shared" si="76"/>
        <v>0</v>
      </c>
      <c r="F672" s="8">
        <v>127.0</v>
      </c>
    </row>
    <row r="673" ht="15.0" customHeight="1">
      <c r="A673" s="9">
        <v>46118.0</v>
      </c>
      <c r="B673" s="8" t="s">
        <v>867</v>
      </c>
      <c r="C673" s="8" t="s">
        <v>377</v>
      </c>
      <c r="D673" s="8" t="s">
        <v>482</v>
      </c>
      <c r="E673" s="8" t="b">
        <f t="shared" si="76"/>
        <v>0</v>
      </c>
      <c r="F673" s="8">
        <v>127.0</v>
      </c>
    </row>
    <row r="674" ht="15.0" customHeight="1">
      <c r="A674" s="9">
        <v>46125.0</v>
      </c>
      <c r="B674" s="8" t="s">
        <v>613</v>
      </c>
      <c r="C674" s="8" t="s">
        <v>167</v>
      </c>
      <c r="D674" s="8" t="s">
        <v>472</v>
      </c>
      <c r="E674" s="8" t="b">
        <f t="shared" si="76"/>
        <v>0</v>
      </c>
      <c r="F674" s="8">
        <v>125.0</v>
      </c>
    </row>
    <row r="675" ht="15.0" customHeight="1">
      <c r="A675" s="9">
        <v>46125.0</v>
      </c>
      <c r="B675" s="8" t="s">
        <v>34</v>
      </c>
      <c r="C675" s="8" t="s">
        <v>54</v>
      </c>
      <c r="D675" s="8" t="s">
        <v>606</v>
      </c>
      <c r="E675" s="8" t="b">
        <f>TRUE()</f>
        <v>1</v>
      </c>
      <c r="F675" s="8">
        <v>125.0</v>
      </c>
    </row>
    <row r="676" ht="15.0" customHeight="1">
      <c r="A676" s="9">
        <v>46125.0</v>
      </c>
      <c r="B676" s="8" t="s">
        <v>269</v>
      </c>
      <c r="C676" s="8" t="s">
        <v>313</v>
      </c>
      <c r="D676" s="8" t="s">
        <v>313</v>
      </c>
      <c r="E676" s="8" t="b">
        <f t="shared" ref="E676:E682" si="77">FALSE()</f>
        <v>0</v>
      </c>
      <c r="F676" s="8">
        <v>125.0</v>
      </c>
    </row>
    <row r="677" ht="15.0" customHeight="1">
      <c r="A677" s="9">
        <v>46125.0</v>
      </c>
      <c r="B677" s="8" t="s">
        <v>881</v>
      </c>
      <c r="C677" s="8" t="s">
        <v>377</v>
      </c>
      <c r="D677" s="8" t="s">
        <v>482</v>
      </c>
      <c r="E677" s="8" t="b">
        <f t="shared" si="77"/>
        <v>0</v>
      </c>
      <c r="F677" s="8">
        <v>125.0</v>
      </c>
    </row>
    <row r="678" ht="15.0" customHeight="1">
      <c r="A678" s="9">
        <v>46125.0</v>
      </c>
      <c r="B678" s="8" t="s">
        <v>881</v>
      </c>
      <c r="C678" s="8" t="s">
        <v>167</v>
      </c>
      <c r="D678" s="8" t="s">
        <v>472</v>
      </c>
      <c r="E678" s="8" t="b">
        <f t="shared" si="77"/>
        <v>0</v>
      </c>
      <c r="F678" s="8">
        <v>125.0</v>
      </c>
    </row>
    <row r="679" ht="15.0" customHeight="1">
      <c r="A679" s="9">
        <v>46125.0</v>
      </c>
      <c r="B679" s="8" t="s">
        <v>840</v>
      </c>
      <c r="C679" s="8" t="s">
        <v>167</v>
      </c>
      <c r="D679" s="8" t="s">
        <v>486</v>
      </c>
      <c r="E679" s="8" t="b">
        <f t="shared" si="77"/>
        <v>0</v>
      </c>
      <c r="F679" s="8">
        <v>125.0</v>
      </c>
    </row>
    <row r="680" ht="15.0" customHeight="1">
      <c r="A680" s="9">
        <v>46125.0</v>
      </c>
      <c r="B680" s="8" t="s">
        <v>931</v>
      </c>
      <c r="C680" s="8" t="s">
        <v>167</v>
      </c>
      <c r="D680" s="8" t="s">
        <v>472</v>
      </c>
      <c r="E680" s="8" t="b">
        <f t="shared" si="77"/>
        <v>0</v>
      </c>
      <c r="F680" s="8">
        <v>125.0</v>
      </c>
    </row>
    <row r="681" ht="15.0" customHeight="1">
      <c r="A681" s="9">
        <v>46125.0</v>
      </c>
      <c r="B681" s="8" t="s">
        <v>559</v>
      </c>
      <c r="C681" s="8" t="s">
        <v>313</v>
      </c>
      <c r="D681" s="8" t="s">
        <v>313</v>
      </c>
      <c r="E681" s="8" t="b">
        <f t="shared" si="77"/>
        <v>0</v>
      </c>
      <c r="F681" s="8">
        <v>125.0</v>
      </c>
    </row>
    <row r="682" ht="15.0" customHeight="1">
      <c r="A682" s="9">
        <v>46125.0</v>
      </c>
      <c r="B682" s="8" t="s">
        <v>912</v>
      </c>
      <c r="C682" s="8" t="s">
        <v>167</v>
      </c>
      <c r="D682" s="8" t="s">
        <v>486</v>
      </c>
      <c r="E682" s="8" t="b">
        <f t="shared" si="77"/>
        <v>0</v>
      </c>
      <c r="F682" s="8">
        <v>125.0</v>
      </c>
    </row>
    <row r="683" ht="15.0" customHeight="1">
      <c r="A683" s="9">
        <v>46125.0</v>
      </c>
      <c r="B683" s="8" t="s">
        <v>131</v>
      </c>
      <c r="C683" s="8" t="s">
        <v>54</v>
      </c>
      <c r="D683" s="8" t="s">
        <v>606</v>
      </c>
      <c r="E683" s="8" t="b">
        <f>TRUE()</f>
        <v>1</v>
      </c>
      <c r="F683" s="8">
        <v>125.0</v>
      </c>
    </row>
    <row r="684" ht="15.0" customHeight="1">
      <c r="A684" s="9">
        <v>46125.0</v>
      </c>
      <c r="B684" s="8" t="s">
        <v>915</v>
      </c>
      <c r="C684" s="8" t="s">
        <v>377</v>
      </c>
      <c r="D684" s="8" t="s">
        <v>482</v>
      </c>
      <c r="E684" s="8" t="b">
        <f t="shared" ref="E684:E696" si="78">FALSE()</f>
        <v>0</v>
      </c>
      <c r="F684" s="8">
        <v>125.0</v>
      </c>
    </row>
    <row r="685" ht="15.0" customHeight="1">
      <c r="A685" s="9">
        <v>46125.0</v>
      </c>
      <c r="B685" s="8" t="s">
        <v>937</v>
      </c>
      <c r="C685" s="8" t="s">
        <v>377</v>
      </c>
      <c r="D685" s="8" t="s">
        <v>482</v>
      </c>
      <c r="E685" s="8" t="b">
        <f t="shared" si="78"/>
        <v>0</v>
      </c>
      <c r="F685" s="8">
        <v>125.0</v>
      </c>
    </row>
    <row r="686" ht="15.0" customHeight="1">
      <c r="A686" s="9">
        <v>46125.0</v>
      </c>
      <c r="B686" s="8" t="s">
        <v>938</v>
      </c>
      <c r="C686" s="8" t="s">
        <v>377</v>
      </c>
      <c r="D686" s="8" t="s">
        <v>482</v>
      </c>
      <c r="E686" s="8" t="b">
        <f t="shared" si="78"/>
        <v>0</v>
      </c>
      <c r="F686" s="8">
        <v>125.0</v>
      </c>
    </row>
    <row r="687" ht="15.0" customHeight="1">
      <c r="A687" s="9">
        <v>46125.0</v>
      </c>
      <c r="B687" s="8" t="s">
        <v>587</v>
      </c>
      <c r="C687" s="8" t="s">
        <v>313</v>
      </c>
      <c r="D687" s="8" t="s">
        <v>313</v>
      </c>
      <c r="E687" s="8" t="b">
        <f t="shared" si="78"/>
        <v>0</v>
      </c>
      <c r="F687" s="8">
        <v>125.0</v>
      </c>
    </row>
    <row r="688" ht="15.0" customHeight="1">
      <c r="A688" s="9">
        <v>46125.0</v>
      </c>
      <c r="B688" s="8" t="s">
        <v>837</v>
      </c>
      <c r="C688" s="8" t="s">
        <v>167</v>
      </c>
      <c r="D688" s="8" t="s">
        <v>472</v>
      </c>
      <c r="E688" s="8" t="b">
        <f t="shared" si="78"/>
        <v>0</v>
      </c>
      <c r="F688" s="8">
        <v>125.0</v>
      </c>
    </row>
    <row r="689" ht="15.0" customHeight="1">
      <c r="A689" s="9">
        <v>46125.0</v>
      </c>
      <c r="B689" s="8" t="s">
        <v>842</v>
      </c>
      <c r="C689" s="8" t="s">
        <v>167</v>
      </c>
      <c r="D689" s="8" t="s">
        <v>469</v>
      </c>
      <c r="E689" s="8" t="b">
        <f t="shared" si="78"/>
        <v>0</v>
      </c>
      <c r="F689" s="8">
        <v>125.0</v>
      </c>
    </row>
    <row r="690" ht="15.0" customHeight="1">
      <c r="A690" s="9">
        <v>46125.0</v>
      </c>
      <c r="B690" s="8" t="s">
        <v>765</v>
      </c>
      <c r="C690" s="8" t="s">
        <v>167</v>
      </c>
      <c r="D690" s="8" t="s">
        <v>469</v>
      </c>
      <c r="E690" s="8" t="b">
        <f t="shared" si="78"/>
        <v>0</v>
      </c>
      <c r="F690" s="8">
        <v>125.0</v>
      </c>
    </row>
    <row r="691" ht="15.0" customHeight="1">
      <c r="A691" s="9">
        <v>46125.0</v>
      </c>
      <c r="B691" s="8" t="s">
        <v>852</v>
      </c>
      <c r="C691" s="8" t="s">
        <v>167</v>
      </c>
      <c r="D691" s="8" t="s">
        <v>472</v>
      </c>
      <c r="E691" s="8" t="b">
        <f t="shared" si="78"/>
        <v>0</v>
      </c>
      <c r="F691" s="8">
        <v>125.0</v>
      </c>
    </row>
    <row r="692" ht="15.0" customHeight="1">
      <c r="A692" s="9">
        <v>46125.0</v>
      </c>
      <c r="B692" s="8" t="s">
        <v>858</v>
      </c>
      <c r="C692" s="8" t="s">
        <v>167</v>
      </c>
      <c r="D692" s="8" t="s">
        <v>486</v>
      </c>
      <c r="E692" s="8" t="b">
        <f t="shared" si="78"/>
        <v>0</v>
      </c>
      <c r="F692" s="8">
        <v>125.0</v>
      </c>
    </row>
    <row r="693" ht="15.0" customHeight="1">
      <c r="A693" s="9">
        <v>46125.0</v>
      </c>
      <c r="B693" s="8" t="s">
        <v>867</v>
      </c>
      <c r="C693" s="8" t="s">
        <v>167</v>
      </c>
      <c r="D693" s="8" t="s">
        <v>469</v>
      </c>
      <c r="E693" s="8" t="b">
        <f t="shared" si="78"/>
        <v>0</v>
      </c>
      <c r="F693" s="8">
        <v>125.0</v>
      </c>
    </row>
    <row r="694" ht="15.0" customHeight="1">
      <c r="A694" s="9">
        <v>46125.0</v>
      </c>
      <c r="B694" s="8" t="s">
        <v>855</v>
      </c>
      <c r="C694" s="8" t="s">
        <v>167</v>
      </c>
      <c r="D694" s="8" t="s">
        <v>469</v>
      </c>
      <c r="E694" s="8" t="b">
        <f t="shared" si="78"/>
        <v>0</v>
      </c>
      <c r="F694" s="8">
        <v>125.0</v>
      </c>
    </row>
    <row r="695" ht="15.0" customHeight="1">
      <c r="A695" s="9">
        <v>46125.0</v>
      </c>
      <c r="B695" s="8" t="s">
        <v>878</v>
      </c>
      <c r="C695" s="8" t="s">
        <v>167</v>
      </c>
      <c r="D695" s="8" t="s">
        <v>472</v>
      </c>
      <c r="E695" s="8" t="b">
        <f t="shared" si="78"/>
        <v>0</v>
      </c>
      <c r="F695" s="8">
        <v>125.0</v>
      </c>
    </row>
    <row r="696" ht="15.0" customHeight="1">
      <c r="A696" s="9">
        <v>46132.0</v>
      </c>
      <c r="B696" s="8" t="s">
        <v>613</v>
      </c>
      <c r="C696" s="8" t="s">
        <v>167</v>
      </c>
      <c r="D696" s="8" t="s">
        <v>472</v>
      </c>
      <c r="E696" s="8" t="b">
        <f t="shared" si="78"/>
        <v>0</v>
      </c>
      <c r="F696" s="8">
        <v>124.0</v>
      </c>
    </row>
    <row r="697" ht="15.0" customHeight="1">
      <c r="A697" s="9">
        <v>46132.0</v>
      </c>
      <c r="B697" s="8" t="s">
        <v>34</v>
      </c>
      <c r="C697" s="8" t="s">
        <v>54</v>
      </c>
      <c r="D697" s="8" t="s">
        <v>606</v>
      </c>
      <c r="E697" s="8" t="b">
        <f>TRUE()</f>
        <v>1</v>
      </c>
      <c r="F697" s="8">
        <v>124.0</v>
      </c>
    </row>
    <row r="698" ht="15.0" customHeight="1">
      <c r="A698" s="9">
        <v>46132.0</v>
      </c>
      <c r="B698" s="8" t="s">
        <v>269</v>
      </c>
      <c r="C698" s="8" t="s">
        <v>313</v>
      </c>
      <c r="D698" s="8" t="s">
        <v>313</v>
      </c>
      <c r="E698" s="8" t="b">
        <f t="shared" ref="E698:E704" si="79">FALSE()</f>
        <v>0</v>
      </c>
      <c r="F698" s="8">
        <v>124.0</v>
      </c>
    </row>
    <row r="699" ht="15.0" customHeight="1">
      <c r="A699" s="9">
        <v>46132.0</v>
      </c>
      <c r="B699" s="8" t="s">
        <v>881</v>
      </c>
      <c r="C699" s="8" t="s">
        <v>377</v>
      </c>
      <c r="D699" s="8" t="s">
        <v>482</v>
      </c>
      <c r="E699" s="8" t="b">
        <f t="shared" si="79"/>
        <v>0</v>
      </c>
      <c r="F699" s="8">
        <v>124.0</v>
      </c>
    </row>
    <row r="700" ht="15.0" customHeight="1">
      <c r="A700" s="9">
        <v>46132.0</v>
      </c>
      <c r="B700" s="8" t="s">
        <v>881</v>
      </c>
      <c r="C700" s="8" t="s">
        <v>167</v>
      </c>
      <c r="D700" s="8" t="s">
        <v>472</v>
      </c>
      <c r="E700" s="8" t="b">
        <f t="shared" si="79"/>
        <v>0</v>
      </c>
      <c r="F700" s="8">
        <v>124.0</v>
      </c>
    </row>
    <row r="701" ht="15.0" customHeight="1">
      <c r="A701" s="9">
        <v>46132.0</v>
      </c>
      <c r="B701" s="8" t="s">
        <v>840</v>
      </c>
      <c r="C701" s="8" t="s">
        <v>167</v>
      </c>
      <c r="D701" s="8" t="s">
        <v>486</v>
      </c>
      <c r="E701" s="8" t="b">
        <f t="shared" si="79"/>
        <v>0</v>
      </c>
      <c r="F701" s="8">
        <v>124.0</v>
      </c>
    </row>
    <row r="702" ht="15.0" customHeight="1">
      <c r="A702" s="9">
        <v>46132.0</v>
      </c>
      <c r="B702" s="8" t="s">
        <v>929</v>
      </c>
      <c r="C702" s="8" t="s">
        <v>167</v>
      </c>
      <c r="D702" s="8" t="s">
        <v>472</v>
      </c>
      <c r="E702" s="8" t="b">
        <f t="shared" si="79"/>
        <v>0</v>
      </c>
      <c r="F702" s="8">
        <v>124.0</v>
      </c>
    </row>
    <row r="703" ht="15.0" customHeight="1">
      <c r="A703" s="9">
        <v>46132.0</v>
      </c>
      <c r="B703" s="8" t="s">
        <v>559</v>
      </c>
      <c r="C703" s="8" t="s">
        <v>313</v>
      </c>
      <c r="D703" s="8" t="s">
        <v>313</v>
      </c>
      <c r="E703" s="8" t="b">
        <f t="shared" si="79"/>
        <v>0</v>
      </c>
      <c r="F703" s="8">
        <v>124.0</v>
      </c>
    </row>
    <row r="704" ht="15.0" customHeight="1">
      <c r="A704" s="9">
        <v>46132.0</v>
      </c>
      <c r="B704" s="8" t="s">
        <v>912</v>
      </c>
      <c r="C704" s="8" t="s">
        <v>167</v>
      </c>
      <c r="D704" s="8" t="s">
        <v>486</v>
      </c>
      <c r="E704" s="8" t="b">
        <f t="shared" si="79"/>
        <v>0</v>
      </c>
      <c r="F704" s="8">
        <v>124.0</v>
      </c>
    </row>
    <row r="705" ht="15.0" customHeight="1">
      <c r="A705" s="9">
        <v>46132.0</v>
      </c>
      <c r="B705" s="8" t="s">
        <v>131</v>
      </c>
      <c r="C705" s="8" t="s">
        <v>54</v>
      </c>
      <c r="D705" s="8" t="s">
        <v>606</v>
      </c>
      <c r="E705" s="8" t="b">
        <f>TRUE()</f>
        <v>1</v>
      </c>
      <c r="F705" s="8">
        <v>124.0</v>
      </c>
    </row>
    <row r="706" ht="15.0" customHeight="1">
      <c r="A706" s="9">
        <v>46132.0</v>
      </c>
      <c r="B706" s="8" t="s">
        <v>915</v>
      </c>
      <c r="C706" s="8" t="s">
        <v>167</v>
      </c>
      <c r="D706" s="8" t="s">
        <v>469</v>
      </c>
      <c r="E706" s="8" t="b">
        <f t="shared" ref="E706:E719" si="80">FALSE()</f>
        <v>0</v>
      </c>
      <c r="F706" s="8">
        <v>124.0</v>
      </c>
    </row>
    <row r="707" ht="15.0" customHeight="1">
      <c r="A707" s="9">
        <v>46132.0</v>
      </c>
      <c r="B707" s="8" t="s">
        <v>937</v>
      </c>
      <c r="C707" s="8" t="s">
        <v>167</v>
      </c>
      <c r="D707" s="8" t="s">
        <v>469</v>
      </c>
      <c r="E707" s="8" t="b">
        <f t="shared" si="80"/>
        <v>0</v>
      </c>
      <c r="F707" s="8">
        <v>124.0</v>
      </c>
    </row>
    <row r="708" ht="15.0" customHeight="1">
      <c r="A708" s="9">
        <v>46132.0</v>
      </c>
      <c r="B708" s="8" t="s">
        <v>958</v>
      </c>
      <c r="C708" s="8" t="s">
        <v>167</v>
      </c>
      <c r="D708" s="8" t="s">
        <v>469</v>
      </c>
      <c r="E708" s="8" t="b">
        <f t="shared" si="80"/>
        <v>0</v>
      </c>
      <c r="F708" s="8">
        <v>124.0</v>
      </c>
    </row>
    <row r="709" ht="15.0" customHeight="1">
      <c r="A709" s="9">
        <v>46132.0</v>
      </c>
      <c r="B709" s="8" t="s">
        <v>587</v>
      </c>
      <c r="C709" s="8" t="s">
        <v>313</v>
      </c>
      <c r="D709" s="8" t="s">
        <v>313</v>
      </c>
      <c r="E709" s="8" t="b">
        <f t="shared" si="80"/>
        <v>0</v>
      </c>
      <c r="F709" s="8">
        <v>124.0</v>
      </c>
    </row>
    <row r="710" ht="15.0" customHeight="1">
      <c r="A710" s="9">
        <v>46132.0</v>
      </c>
      <c r="B710" s="8" t="s">
        <v>837</v>
      </c>
      <c r="C710" s="8" t="s">
        <v>167</v>
      </c>
      <c r="D710" s="8" t="s">
        <v>472</v>
      </c>
      <c r="E710" s="8" t="b">
        <f t="shared" si="80"/>
        <v>0</v>
      </c>
      <c r="F710" s="8">
        <v>124.0</v>
      </c>
    </row>
    <row r="711" ht="15.0" customHeight="1">
      <c r="A711" s="9">
        <v>46132.0</v>
      </c>
      <c r="B711" s="8" t="s">
        <v>842</v>
      </c>
      <c r="C711" s="8" t="s">
        <v>167</v>
      </c>
      <c r="D711" s="8" t="s">
        <v>469</v>
      </c>
      <c r="E711" s="8" t="b">
        <f t="shared" si="80"/>
        <v>0</v>
      </c>
      <c r="F711" s="8">
        <v>124.0</v>
      </c>
    </row>
    <row r="712" ht="15.0" customHeight="1">
      <c r="A712" s="9">
        <v>46132.0</v>
      </c>
      <c r="B712" s="8" t="s">
        <v>852</v>
      </c>
      <c r="C712" s="8" t="s">
        <v>167</v>
      </c>
      <c r="D712" s="8" t="s">
        <v>472</v>
      </c>
      <c r="E712" s="8" t="b">
        <f t="shared" si="80"/>
        <v>0</v>
      </c>
      <c r="F712" s="8">
        <v>124.0</v>
      </c>
    </row>
    <row r="713" ht="15.0" customHeight="1">
      <c r="A713" s="9">
        <v>46132.0</v>
      </c>
      <c r="B713" s="8" t="s">
        <v>858</v>
      </c>
      <c r="C713" s="8" t="s">
        <v>167</v>
      </c>
      <c r="D713" s="8" t="s">
        <v>486</v>
      </c>
      <c r="E713" s="8" t="b">
        <f t="shared" si="80"/>
        <v>0</v>
      </c>
      <c r="F713" s="8">
        <v>124.0</v>
      </c>
    </row>
    <row r="714" ht="15.0" customHeight="1">
      <c r="A714" s="9">
        <v>46132.0</v>
      </c>
      <c r="B714" s="8" t="s">
        <v>867</v>
      </c>
      <c r="C714" s="8" t="s">
        <v>167</v>
      </c>
      <c r="D714" s="8" t="s">
        <v>469</v>
      </c>
      <c r="E714" s="8" t="b">
        <f t="shared" si="80"/>
        <v>0</v>
      </c>
      <c r="F714" s="8">
        <v>124.0</v>
      </c>
    </row>
    <row r="715" ht="15.0" customHeight="1">
      <c r="A715" s="9">
        <v>46132.0</v>
      </c>
      <c r="B715" s="8" t="s">
        <v>855</v>
      </c>
      <c r="C715" s="8" t="s">
        <v>167</v>
      </c>
      <c r="D715" s="8" t="s">
        <v>469</v>
      </c>
      <c r="E715" s="8" t="b">
        <f t="shared" si="80"/>
        <v>0</v>
      </c>
      <c r="F715" s="8">
        <v>124.0</v>
      </c>
    </row>
    <row r="716" ht="15.0" customHeight="1">
      <c r="A716" s="9">
        <v>46132.0</v>
      </c>
      <c r="B716" s="8" t="s">
        <v>878</v>
      </c>
      <c r="C716" s="8" t="s">
        <v>167</v>
      </c>
      <c r="D716" s="8" t="s">
        <v>472</v>
      </c>
      <c r="E716" s="8" t="b">
        <f t="shared" si="80"/>
        <v>0</v>
      </c>
      <c r="F716" s="8">
        <v>124.0</v>
      </c>
    </row>
    <row r="717" ht="15.0" customHeight="1">
      <c r="A717" s="9">
        <v>46146.0</v>
      </c>
      <c r="B717" s="8" t="s">
        <v>109</v>
      </c>
      <c r="C717" s="8" t="s">
        <v>167</v>
      </c>
      <c r="D717" s="8" t="s">
        <v>472</v>
      </c>
      <c r="E717" s="8" t="b">
        <f t="shared" si="80"/>
        <v>0</v>
      </c>
      <c r="F717" s="8">
        <v>123.0</v>
      </c>
    </row>
    <row r="718" ht="15.0" customHeight="1">
      <c r="A718" s="9">
        <v>46146.0</v>
      </c>
      <c r="B718" s="8" t="s">
        <v>593</v>
      </c>
      <c r="C718" s="8" t="s">
        <v>167</v>
      </c>
      <c r="D718" s="8" t="s">
        <v>472</v>
      </c>
      <c r="E718" s="8" t="b">
        <f t="shared" si="80"/>
        <v>0</v>
      </c>
      <c r="F718" s="8">
        <v>123.0</v>
      </c>
    </row>
    <row r="719" ht="15.0" customHeight="1">
      <c r="A719" s="9">
        <v>46146.0</v>
      </c>
      <c r="B719" s="8" t="s">
        <v>613</v>
      </c>
      <c r="C719" s="8" t="s">
        <v>167</v>
      </c>
      <c r="D719" s="8" t="s">
        <v>472</v>
      </c>
      <c r="E719" s="8" t="b">
        <f t="shared" si="80"/>
        <v>0</v>
      </c>
      <c r="F719" s="8">
        <v>123.0</v>
      </c>
    </row>
    <row r="720" ht="15.0" customHeight="1">
      <c r="A720" s="9">
        <v>46146.0</v>
      </c>
      <c r="B720" s="8" t="s">
        <v>34</v>
      </c>
      <c r="C720" s="8" t="s">
        <v>54</v>
      </c>
      <c r="D720" s="8" t="s">
        <v>606</v>
      </c>
      <c r="E720" s="8" t="b">
        <f t="shared" ref="E720:E721" si="81">TRUE()</f>
        <v>1</v>
      </c>
      <c r="F720" s="8">
        <v>123.0</v>
      </c>
    </row>
    <row r="721" ht="15.0" customHeight="1">
      <c r="A721" s="9">
        <v>46146.0</v>
      </c>
      <c r="B721" s="8" t="s">
        <v>282</v>
      </c>
      <c r="C721" s="8" t="s">
        <v>428</v>
      </c>
      <c r="D721" s="8" t="s">
        <v>428</v>
      </c>
      <c r="E721" s="8" t="b">
        <f t="shared" si="81"/>
        <v>1</v>
      </c>
      <c r="F721" s="8">
        <v>123.0</v>
      </c>
    </row>
    <row r="722" ht="15.0" customHeight="1">
      <c r="A722" s="9">
        <v>46146.0</v>
      </c>
      <c r="B722" s="8" t="s">
        <v>718</v>
      </c>
      <c r="C722" s="8" t="s">
        <v>167</v>
      </c>
      <c r="D722" s="8" t="s">
        <v>472</v>
      </c>
      <c r="E722" s="8" t="b">
        <f t="shared" ref="E722:E742" si="82">FALSE()</f>
        <v>0</v>
      </c>
      <c r="F722" s="8">
        <v>123.0</v>
      </c>
    </row>
    <row r="723" ht="15.0" customHeight="1">
      <c r="A723" s="9">
        <v>46146.0</v>
      </c>
      <c r="B723" s="8" t="s">
        <v>269</v>
      </c>
      <c r="C723" s="8" t="s">
        <v>313</v>
      </c>
      <c r="D723" s="8" t="s">
        <v>313</v>
      </c>
      <c r="E723" s="8" t="b">
        <f t="shared" si="82"/>
        <v>0</v>
      </c>
      <c r="F723" s="8">
        <v>123.0</v>
      </c>
    </row>
    <row r="724" ht="15.0" customHeight="1">
      <c r="A724" s="9">
        <v>46146.0</v>
      </c>
      <c r="B724" s="8" t="s">
        <v>881</v>
      </c>
      <c r="C724" s="8" t="s">
        <v>377</v>
      </c>
      <c r="D724" s="8" t="s">
        <v>482</v>
      </c>
      <c r="E724" s="8" t="b">
        <f t="shared" si="82"/>
        <v>0</v>
      </c>
      <c r="F724" s="8">
        <v>123.0</v>
      </c>
    </row>
    <row r="725" ht="15.0" customHeight="1">
      <c r="A725" s="9">
        <v>46146.0</v>
      </c>
      <c r="B725" s="8" t="s">
        <v>881</v>
      </c>
      <c r="C725" s="8" t="s">
        <v>167</v>
      </c>
      <c r="D725" s="8" t="s">
        <v>472</v>
      </c>
      <c r="E725" s="8" t="b">
        <f t="shared" si="82"/>
        <v>0</v>
      </c>
      <c r="F725" s="8">
        <v>123.0</v>
      </c>
    </row>
    <row r="726" ht="15.0" customHeight="1">
      <c r="A726" s="9">
        <v>46146.0</v>
      </c>
      <c r="B726" s="8" t="s">
        <v>840</v>
      </c>
      <c r="C726" s="8" t="s">
        <v>167</v>
      </c>
      <c r="D726" s="8" t="s">
        <v>486</v>
      </c>
      <c r="E726" s="8" t="b">
        <f t="shared" si="82"/>
        <v>0</v>
      </c>
      <c r="F726" s="8">
        <v>123.0</v>
      </c>
    </row>
    <row r="727" ht="15.0" customHeight="1">
      <c r="A727" s="9">
        <v>46146.0</v>
      </c>
      <c r="B727" s="8" t="s">
        <v>929</v>
      </c>
      <c r="C727" s="8" t="s">
        <v>167</v>
      </c>
      <c r="D727" s="8" t="s">
        <v>472</v>
      </c>
      <c r="E727" s="8" t="b">
        <f t="shared" si="82"/>
        <v>0</v>
      </c>
      <c r="F727" s="8">
        <v>123.0</v>
      </c>
    </row>
    <row r="728" ht="15.0" customHeight="1">
      <c r="A728" s="9">
        <v>46146.0</v>
      </c>
      <c r="B728" s="8" t="s">
        <v>963</v>
      </c>
      <c r="C728" s="8" t="s">
        <v>377</v>
      </c>
      <c r="D728" s="8" t="s">
        <v>482</v>
      </c>
      <c r="E728" s="8" t="b">
        <f t="shared" si="82"/>
        <v>0</v>
      </c>
      <c r="F728" s="8">
        <v>123.0</v>
      </c>
    </row>
    <row r="729" ht="15.0" customHeight="1">
      <c r="A729" s="9">
        <v>46146.0</v>
      </c>
      <c r="B729" s="8" t="s">
        <v>559</v>
      </c>
      <c r="C729" s="8" t="s">
        <v>313</v>
      </c>
      <c r="D729" s="8" t="s">
        <v>313</v>
      </c>
      <c r="E729" s="8" t="b">
        <f t="shared" si="82"/>
        <v>0</v>
      </c>
      <c r="F729" s="8">
        <v>123.0</v>
      </c>
    </row>
    <row r="730" ht="15.0" customHeight="1">
      <c r="A730" s="9">
        <v>46146.0</v>
      </c>
      <c r="B730" s="8" t="s">
        <v>158</v>
      </c>
      <c r="C730" s="8" t="s">
        <v>377</v>
      </c>
      <c r="D730" s="8" t="s">
        <v>482</v>
      </c>
      <c r="E730" s="8" t="b">
        <f t="shared" si="82"/>
        <v>0</v>
      </c>
      <c r="F730" s="8">
        <v>123.0</v>
      </c>
    </row>
    <row r="731" ht="15.0" customHeight="1">
      <c r="A731" s="9">
        <v>46146.0</v>
      </c>
      <c r="B731" s="8" t="s">
        <v>912</v>
      </c>
      <c r="C731" s="8" t="s">
        <v>167</v>
      </c>
      <c r="D731" s="8" t="s">
        <v>486</v>
      </c>
      <c r="E731" s="8" t="b">
        <f t="shared" si="82"/>
        <v>0</v>
      </c>
      <c r="F731" s="8">
        <v>123.0</v>
      </c>
    </row>
    <row r="732" ht="15.0" customHeight="1">
      <c r="A732" s="9">
        <v>46146.0</v>
      </c>
      <c r="B732" s="8" t="s">
        <v>915</v>
      </c>
      <c r="C732" s="8" t="s">
        <v>167</v>
      </c>
      <c r="D732" s="8" t="s">
        <v>469</v>
      </c>
      <c r="E732" s="8" t="b">
        <f t="shared" si="82"/>
        <v>0</v>
      </c>
      <c r="F732" s="8">
        <v>123.0</v>
      </c>
    </row>
    <row r="733" ht="15.0" customHeight="1">
      <c r="A733" s="9">
        <v>46146.0</v>
      </c>
      <c r="B733" s="8" t="s">
        <v>937</v>
      </c>
      <c r="C733" s="8" t="s">
        <v>167</v>
      </c>
      <c r="D733" s="8" t="s">
        <v>469</v>
      </c>
      <c r="E733" s="8" t="b">
        <f t="shared" si="82"/>
        <v>0</v>
      </c>
      <c r="F733" s="8">
        <v>123.0</v>
      </c>
    </row>
    <row r="734" ht="15.0" customHeight="1">
      <c r="A734" s="9">
        <v>46146.0</v>
      </c>
      <c r="B734" s="8" t="s">
        <v>815</v>
      </c>
      <c r="C734" s="8" t="s">
        <v>167</v>
      </c>
      <c r="D734" s="8" t="s">
        <v>469</v>
      </c>
      <c r="E734" s="8" t="b">
        <f t="shared" si="82"/>
        <v>0</v>
      </c>
      <c r="F734" s="8">
        <v>123.0</v>
      </c>
    </row>
    <row r="735" ht="15.0" customHeight="1">
      <c r="A735" s="9">
        <v>46146.0</v>
      </c>
      <c r="B735" s="8" t="s">
        <v>958</v>
      </c>
      <c r="C735" s="8" t="s">
        <v>167</v>
      </c>
      <c r="D735" s="8" t="s">
        <v>469</v>
      </c>
      <c r="E735" s="8" t="b">
        <f t="shared" si="82"/>
        <v>0</v>
      </c>
      <c r="F735" s="8">
        <v>123.0</v>
      </c>
    </row>
    <row r="736" ht="15.0" customHeight="1">
      <c r="A736" s="9">
        <v>46146.0</v>
      </c>
      <c r="B736" s="8" t="s">
        <v>587</v>
      </c>
      <c r="C736" s="8" t="s">
        <v>313</v>
      </c>
      <c r="D736" s="8" t="s">
        <v>313</v>
      </c>
      <c r="E736" s="8" t="b">
        <f t="shared" si="82"/>
        <v>0</v>
      </c>
      <c r="F736" s="8">
        <v>123.0</v>
      </c>
    </row>
    <row r="737" ht="15.0" customHeight="1">
      <c r="A737" s="9">
        <v>46146.0</v>
      </c>
      <c r="B737" s="8" t="s">
        <v>1004</v>
      </c>
      <c r="C737" s="8" t="s">
        <v>167</v>
      </c>
      <c r="D737" s="8" t="s">
        <v>486</v>
      </c>
      <c r="E737" s="8" t="b">
        <f t="shared" si="82"/>
        <v>0</v>
      </c>
      <c r="F737" s="8">
        <v>123.0</v>
      </c>
    </row>
    <row r="738" ht="15.0" customHeight="1">
      <c r="A738" s="9">
        <v>46146.0</v>
      </c>
      <c r="B738" s="8" t="s">
        <v>837</v>
      </c>
      <c r="C738" s="8" t="s">
        <v>167</v>
      </c>
      <c r="D738" s="8" t="s">
        <v>472</v>
      </c>
      <c r="E738" s="8" t="b">
        <f t="shared" si="82"/>
        <v>0</v>
      </c>
      <c r="F738" s="8">
        <v>123.0</v>
      </c>
    </row>
    <row r="739" ht="15.0" customHeight="1">
      <c r="A739" s="9">
        <v>46146.0</v>
      </c>
      <c r="B739" s="8" t="s">
        <v>852</v>
      </c>
      <c r="C739" s="8" t="s">
        <v>167</v>
      </c>
      <c r="D739" s="8" t="s">
        <v>472</v>
      </c>
      <c r="E739" s="8" t="b">
        <f t="shared" si="82"/>
        <v>0</v>
      </c>
      <c r="F739" s="8">
        <v>123.0</v>
      </c>
    </row>
    <row r="740" ht="15.0" customHeight="1">
      <c r="A740" s="9">
        <v>46146.0</v>
      </c>
      <c r="B740" s="8" t="s">
        <v>225</v>
      </c>
      <c r="C740" s="8" t="s">
        <v>377</v>
      </c>
      <c r="D740" s="8" t="s">
        <v>482</v>
      </c>
      <c r="E740" s="8" t="b">
        <f t="shared" si="82"/>
        <v>0</v>
      </c>
      <c r="F740" s="8">
        <v>123.0</v>
      </c>
    </row>
    <row r="741" ht="15.0" customHeight="1">
      <c r="A741" s="9">
        <v>46146.0</v>
      </c>
      <c r="B741" s="8" t="s">
        <v>225</v>
      </c>
      <c r="C741" s="8" t="s">
        <v>167</v>
      </c>
      <c r="D741" s="8" t="s">
        <v>472</v>
      </c>
      <c r="E741" s="8" t="b">
        <f t="shared" si="82"/>
        <v>0</v>
      </c>
      <c r="F741" s="8">
        <v>123.0</v>
      </c>
    </row>
    <row r="742" ht="15.0" customHeight="1">
      <c r="A742" s="9">
        <v>46146.0</v>
      </c>
      <c r="B742" s="8" t="s">
        <v>878</v>
      </c>
      <c r="C742" s="8" t="s">
        <v>167</v>
      </c>
      <c r="D742" s="8" t="s">
        <v>472</v>
      </c>
      <c r="E742" s="8" t="b">
        <f t="shared" si="82"/>
        <v>0</v>
      </c>
      <c r="F742" s="8">
        <v>123.0</v>
      </c>
    </row>
    <row r="743" ht="15.0" customHeight="1">
      <c r="A743" s="9">
        <v>46153.0</v>
      </c>
      <c r="B743" s="8" t="s">
        <v>109</v>
      </c>
      <c r="C743" s="8" t="s">
        <v>167</v>
      </c>
      <c r="D743" s="8" t="s">
        <v>472</v>
      </c>
      <c r="E743" s="8" t="b">
        <f>TRUE()</f>
        <v>1</v>
      </c>
      <c r="F743" s="8">
        <v>115.0</v>
      </c>
    </row>
    <row r="744" ht="15.0" customHeight="1">
      <c r="A744" s="9">
        <v>46153.0</v>
      </c>
      <c r="B744" s="8" t="s">
        <v>593</v>
      </c>
      <c r="C744" s="8" t="s">
        <v>167</v>
      </c>
      <c r="D744" s="8" t="s">
        <v>472</v>
      </c>
      <c r="E744" s="8" t="b">
        <f t="shared" ref="E744:E745" si="83">FALSE()</f>
        <v>0</v>
      </c>
      <c r="F744" s="8">
        <v>115.0</v>
      </c>
    </row>
    <row r="745" ht="15.0" customHeight="1">
      <c r="A745" s="9">
        <v>46153.0</v>
      </c>
      <c r="B745" s="8" t="s">
        <v>613</v>
      </c>
      <c r="C745" s="8" t="s">
        <v>167</v>
      </c>
      <c r="D745" s="8" t="s">
        <v>472</v>
      </c>
      <c r="E745" s="8" t="b">
        <f t="shared" si="83"/>
        <v>0</v>
      </c>
      <c r="F745" s="8">
        <v>115.0</v>
      </c>
    </row>
    <row r="746" ht="15.0" customHeight="1">
      <c r="A746" s="9">
        <v>46153.0</v>
      </c>
      <c r="B746" s="8" t="s">
        <v>34</v>
      </c>
      <c r="C746" s="8" t="s">
        <v>54</v>
      </c>
      <c r="D746" s="8" t="s">
        <v>606</v>
      </c>
      <c r="E746" s="8" t="b">
        <f t="shared" ref="E746:E748" si="84">TRUE()</f>
        <v>1</v>
      </c>
      <c r="F746" s="8">
        <v>115.0</v>
      </c>
    </row>
    <row r="747" ht="15.0" customHeight="1">
      <c r="A747" s="9">
        <v>46153.0</v>
      </c>
      <c r="B747" s="8" t="s">
        <v>170</v>
      </c>
      <c r="C747" s="8" t="s">
        <v>167</v>
      </c>
      <c r="D747" s="8" t="s">
        <v>469</v>
      </c>
      <c r="E747" s="8" t="b">
        <f t="shared" si="84"/>
        <v>1</v>
      </c>
      <c r="F747" s="8">
        <v>115.0</v>
      </c>
    </row>
    <row r="748" ht="15.0" customHeight="1">
      <c r="A748" s="9">
        <v>46153.0</v>
      </c>
      <c r="B748" s="8" t="s">
        <v>282</v>
      </c>
      <c r="C748" s="8" t="s">
        <v>54</v>
      </c>
      <c r="D748" s="8" t="s">
        <v>606</v>
      </c>
      <c r="E748" s="8" t="b">
        <f t="shared" si="84"/>
        <v>1</v>
      </c>
      <c r="F748" s="8">
        <v>115.0</v>
      </c>
    </row>
    <row r="749" ht="15.0" customHeight="1">
      <c r="A749" s="9">
        <v>46153.0</v>
      </c>
      <c r="B749" s="8" t="s">
        <v>718</v>
      </c>
      <c r="C749" s="8" t="s">
        <v>167</v>
      </c>
      <c r="D749" s="8" t="s">
        <v>472</v>
      </c>
      <c r="E749" s="8" t="b">
        <f t="shared" ref="E749:E765" si="85">FALSE()</f>
        <v>0</v>
      </c>
      <c r="F749" s="8">
        <v>115.0</v>
      </c>
    </row>
    <row r="750" ht="15.0" customHeight="1">
      <c r="A750" s="9">
        <v>46153.0</v>
      </c>
      <c r="B750" s="8" t="s">
        <v>269</v>
      </c>
      <c r="C750" s="8" t="s">
        <v>313</v>
      </c>
      <c r="D750" s="8" t="s">
        <v>313</v>
      </c>
      <c r="E750" s="8" t="b">
        <f t="shared" si="85"/>
        <v>0</v>
      </c>
      <c r="F750" s="8">
        <v>115.0</v>
      </c>
    </row>
    <row r="751" ht="15.0" customHeight="1">
      <c r="A751" s="9">
        <v>46153.0</v>
      </c>
      <c r="B751" s="8" t="s">
        <v>749</v>
      </c>
      <c r="C751" s="8" t="s">
        <v>167</v>
      </c>
      <c r="D751" s="8" t="s">
        <v>472</v>
      </c>
      <c r="E751" s="8" t="b">
        <f t="shared" si="85"/>
        <v>0</v>
      </c>
      <c r="F751" s="8">
        <v>115.0</v>
      </c>
    </row>
    <row r="752" ht="15.0" customHeight="1">
      <c r="A752" s="9">
        <v>46153.0</v>
      </c>
      <c r="B752" s="8" t="s">
        <v>881</v>
      </c>
      <c r="C752" s="8" t="s">
        <v>167</v>
      </c>
      <c r="D752" s="8" t="s">
        <v>472</v>
      </c>
      <c r="E752" s="8" t="b">
        <f t="shared" si="85"/>
        <v>0</v>
      </c>
      <c r="F752" s="8">
        <v>115.0</v>
      </c>
    </row>
    <row r="753" ht="15.0" customHeight="1">
      <c r="A753" s="9">
        <v>46153.0</v>
      </c>
      <c r="B753" s="8" t="s">
        <v>840</v>
      </c>
      <c r="C753" s="8" t="s">
        <v>167</v>
      </c>
      <c r="D753" s="8" t="s">
        <v>486</v>
      </c>
      <c r="E753" s="8" t="b">
        <f t="shared" si="85"/>
        <v>0</v>
      </c>
      <c r="F753" s="8">
        <v>115.0</v>
      </c>
    </row>
    <row r="754" ht="15.0" customHeight="1">
      <c r="A754" s="9">
        <v>46153.0</v>
      </c>
      <c r="B754" s="8" t="s">
        <v>963</v>
      </c>
      <c r="C754" s="8" t="s">
        <v>167</v>
      </c>
      <c r="D754" s="8" t="s">
        <v>472</v>
      </c>
      <c r="E754" s="8" t="b">
        <f t="shared" si="85"/>
        <v>0</v>
      </c>
      <c r="F754" s="8">
        <v>115.0</v>
      </c>
    </row>
    <row r="755" ht="15.0" customHeight="1">
      <c r="A755" s="9">
        <v>46153.0</v>
      </c>
      <c r="B755" s="8" t="s">
        <v>559</v>
      </c>
      <c r="C755" s="8" t="s">
        <v>313</v>
      </c>
      <c r="D755" s="8" t="s">
        <v>313</v>
      </c>
      <c r="E755" s="8" t="b">
        <f t="shared" si="85"/>
        <v>0</v>
      </c>
      <c r="F755" s="8">
        <v>115.0</v>
      </c>
    </row>
    <row r="756" ht="15.0" customHeight="1">
      <c r="A756" s="9">
        <v>46153.0</v>
      </c>
      <c r="B756" s="8" t="s">
        <v>158</v>
      </c>
      <c r="C756" s="8" t="s">
        <v>167</v>
      </c>
      <c r="D756" s="8" t="s">
        <v>472</v>
      </c>
      <c r="E756" s="8" t="b">
        <f t="shared" si="85"/>
        <v>0</v>
      </c>
      <c r="F756" s="8">
        <v>115.0</v>
      </c>
    </row>
    <row r="757" ht="15.0" customHeight="1">
      <c r="A757" s="9">
        <v>46153.0</v>
      </c>
      <c r="B757" s="8" t="s">
        <v>912</v>
      </c>
      <c r="C757" s="8" t="s">
        <v>167</v>
      </c>
      <c r="D757" s="8" t="s">
        <v>486</v>
      </c>
      <c r="E757" s="8" t="b">
        <f t="shared" si="85"/>
        <v>0</v>
      </c>
      <c r="F757" s="8">
        <v>115.0</v>
      </c>
    </row>
    <row r="758" ht="15.0" customHeight="1">
      <c r="A758" s="9">
        <v>46153.0</v>
      </c>
      <c r="B758" s="8" t="s">
        <v>1007</v>
      </c>
      <c r="C758" s="8" t="s">
        <v>377</v>
      </c>
      <c r="D758" s="8" t="s">
        <v>482</v>
      </c>
      <c r="E758" s="8" t="b">
        <f t="shared" si="85"/>
        <v>0</v>
      </c>
      <c r="F758" s="8">
        <v>115.0</v>
      </c>
    </row>
    <row r="759" ht="15.0" customHeight="1">
      <c r="A759" s="9">
        <v>46153.0</v>
      </c>
      <c r="B759" s="8" t="s">
        <v>915</v>
      </c>
      <c r="C759" s="8" t="s">
        <v>167</v>
      </c>
      <c r="D759" s="8" t="s">
        <v>469</v>
      </c>
      <c r="E759" s="8" t="b">
        <f t="shared" si="85"/>
        <v>0</v>
      </c>
      <c r="F759" s="8">
        <v>115.0</v>
      </c>
    </row>
    <row r="760" ht="15.0" customHeight="1">
      <c r="A760" s="9">
        <v>46153.0</v>
      </c>
      <c r="B760" s="8" t="s">
        <v>937</v>
      </c>
      <c r="C760" s="8" t="s">
        <v>167</v>
      </c>
      <c r="D760" s="8" t="s">
        <v>469</v>
      </c>
      <c r="E760" s="8" t="b">
        <f t="shared" si="85"/>
        <v>0</v>
      </c>
      <c r="F760" s="8">
        <v>115.0</v>
      </c>
    </row>
    <row r="761" ht="15.0" customHeight="1">
      <c r="A761" s="9">
        <v>46153.0</v>
      </c>
      <c r="B761" s="8" t="s">
        <v>815</v>
      </c>
      <c r="C761" s="8" t="s">
        <v>167</v>
      </c>
      <c r="D761" s="8" t="s">
        <v>469</v>
      </c>
      <c r="E761" s="8" t="b">
        <f t="shared" si="85"/>
        <v>0</v>
      </c>
      <c r="F761" s="8">
        <v>115.0</v>
      </c>
    </row>
    <row r="762" ht="15.0" customHeight="1">
      <c r="A762" s="9">
        <v>46153.0</v>
      </c>
      <c r="B762" s="8" t="s">
        <v>587</v>
      </c>
      <c r="C762" s="8" t="s">
        <v>313</v>
      </c>
      <c r="D762" s="8" t="s">
        <v>313</v>
      </c>
      <c r="E762" s="8" t="b">
        <f t="shared" si="85"/>
        <v>0</v>
      </c>
      <c r="F762" s="8">
        <v>115.0</v>
      </c>
    </row>
    <row r="763" ht="15.0" customHeight="1">
      <c r="A763" s="9">
        <v>46153.0</v>
      </c>
      <c r="B763" s="8" t="s">
        <v>1004</v>
      </c>
      <c r="C763" s="8" t="s">
        <v>167</v>
      </c>
      <c r="D763" s="8" t="s">
        <v>486</v>
      </c>
      <c r="E763" s="8" t="b">
        <f t="shared" si="85"/>
        <v>0</v>
      </c>
      <c r="F763" s="8">
        <v>115.0</v>
      </c>
    </row>
    <row r="764" ht="15.0" customHeight="1">
      <c r="A764" s="9">
        <v>46153.0</v>
      </c>
      <c r="B764" s="8" t="s">
        <v>837</v>
      </c>
      <c r="C764" s="8" t="s">
        <v>167</v>
      </c>
      <c r="D764" s="8" t="s">
        <v>472</v>
      </c>
      <c r="E764" s="8" t="b">
        <f t="shared" si="85"/>
        <v>0</v>
      </c>
      <c r="F764" s="8">
        <v>115.0</v>
      </c>
    </row>
    <row r="765" ht="15.0" customHeight="1">
      <c r="A765" s="9">
        <v>46153.0</v>
      </c>
      <c r="B765" s="8" t="s">
        <v>852</v>
      </c>
      <c r="C765" s="8" t="s">
        <v>167</v>
      </c>
      <c r="D765" s="8" t="s">
        <v>472</v>
      </c>
      <c r="E765" s="8" t="b">
        <f t="shared" si="85"/>
        <v>0</v>
      </c>
      <c r="F765" s="8">
        <v>115.0</v>
      </c>
    </row>
    <row r="766" ht="15.0" customHeight="1">
      <c r="A766" s="9">
        <v>46153.0</v>
      </c>
      <c r="B766" s="8" t="s">
        <v>225</v>
      </c>
      <c r="C766" s="8" t="s">
        <v>167</v>
      </c>
      <c r="D766" s="8" t="s">
        <v>472</v>
      </c>
      <c r="E766" s="8" t="b">
        <f>TRUE()</f>
        <v>1</v>
      </c>
      <c r="F766" s="8">
        <v>115.0</v>
      </c>
    </row>
    <row r="767" ht="15.0" customHeight="1">
      <c r="A767" s="9">
        <v>46160.0</v>
      </c>
      <c r="B767" s="8" t="s">
        <v>109</v>
      </c>
      <c r="C767" s="8" t="s">
        <v>167</v>
      </c>
      <c r="D767" s="8" t="s">
        <v>472</v>
      </c>
      <c r="E767" s="8" t="b">
        <f t="shared" ref="E767:E768" si="86">FALSE()</f>
        <v>0</v>
      </c>
      <c r="F767" s="8">
        <v>106.0</v>
      </c>
    </row>
    <row r="768" ht="15.0" customHeight="1">
      <c r="A768" s="9">
        <v>46160.0</v>
      </c>
      <c r="B768" s="8" t="s">
        <v>593</v>
      </c>
      <c r="C768" s="8" t="s">
        <v>167</v>
      </c>
      <c r="D768" s="8" t="s">
        <v>472</v>
      </c>
      <c r="E768" s="8" t="b">
        <f t="shared" si="86"/>
        <v>0</v>
      </c>
      <c r="F768" s="8">
        <v>106.0</v>
      </c>
    </row>
    <row r="769" ht="15.0" customHeight="1">
      <c r="A769" s="9">
        <v>46160.0</v>
      </c>
      <c r="B769" s="8" t="s">
        <v>34</v>
      </c>
      <c r="C769" s="8" t="s">
        <v>54</v>
      </c>
      <c r="D769" s="8" t="s">
        <v>606</v>
      </c>
      <c r="E769" s="8" t="b">
        <f>TRUE()</f>
        <v>1</v>
      </c>
      <c r="F769" s="8">
        <v>106.0</v>
      </c>
    </row>
    <row r="770" ht="15.0" customHeight="1">
      <c r="A770" s="9">
        <v>46160.0</v>
      </c>
      <c r="B770" s="8" t="s">
        <v>244</v>
      </c>
      <c r="C770" s="8" t="s">
        <v>377</v>
      </c>
      <c r="D770" s="8" t="s">
        <v>482</v>
      </c>
      <c r="E770" s="8" t="b">
        <f>FALSE()</f>
        <v>0</v>
      </c>
      <c r="F770" s="8">
        <v>106.0</v>
      </c>
    </row>
    <row r="771" ht="15.0" customHeight="1">
      <c r="A771" s="9">
        <v>46160.0</v>
      </c>
      <c r="B771" s="8" t="s">
        <v>170</v>
      </c>
      <c r="C771" s="8" t="s">
        <v>167</v>
      </c>
      <c r="D771" s="8" t="s">
        <v>469</v>
      </c>
      <c r="E771" s="8" t="b">
        <f t="shared" ref="E771:E772" si="87">TRUE()</f>
        <v>1</v>
      </c>
      <c r="F771" s="8">
        <v>106.0</v>
      </c>
    </row>
    <row r="772" ht="15.0" customHeight="1">
      <c r="A772" s="9">
        <v>46160.0</v>
      </c>
      <c r="B772" s="8" t="s">
        <v>282</v>
      </c>
      <c r="C772" s="8" t="s">
        <v>54</v>
      </c>
      <c r="D772" s="8" t="s">
        <v>606</v>
      </c>
      <c r="E772" s="8" t="b">
        <f t="shared" si="87"/>
        <v>1</v>
      </c>
      <c r="F772" s="8">
        <v>106.0</v>
      </c>
    </row>
    <row r="773" ht="15.0" customHeight="1">
      <c r="A773" s="9">
        <v>46160.0</v>
      </c>
      <c r="B773" s="8" t="s">
        <v>718</v>
      </c>
      <c r="C773" s="8" t="s">
        <v>167</v>
      </c>
      <c r="D773" s="8" t="s">
        <v>472</v>
      </c>
      <c r="E773" s="8" t="b">
        <f t="shared" ref="E773:E789" si="88">FALSE()</f>
        <v>0</v>
      </c>
      <c r="F773" s="8">
        <v>106.0</v>
      </c>
    </row>
    <row r="774" ht="15.0" customHeight="1">
      <c r="A774" s="9">
        <v>46160.0</v>
      </c>
      <c r="B774" s="8" t="s">
        <v>269</v>
      </c>
      <c r="C774" s="8" t="s">
        <v>313</v>
      </c>
      <c r="D774" s="8" t="s">
        <v>313</v>
      </c>
      <c r="E774" s="8" t="b">
        <f t="shared" si="88"/>
        <v>0</v>
      </c>
      <c r="F774" s="8">
        <v>106.0</v>
      </c>
    </row>
    <row r="775" ht="15.0" customHeight="1">
      <c r="A775" s="9">
        <v>46160.0</v>
      </c>
      <c r="B775" s="8" t="s">
        <v>749</v>
      </c>
      <c r="C775" s="8" t="s">
        <v>167</v>
      </c>
      <c r="D775" s="8" t="s">
        <v>472</v>
      </c>
      <c r="E775" s="8" t="b">
        <f t="shared" si="88"/>
        <v>0</v>
      </c>
      <c r="F775" s="8">
        <v>106.0</v>
      </c>
    </row>
    <row r="776" ht="15.0" customHeight="1">
      <c r="A776" s="9">
        <v>46160.0</v>
      </c>
      <c r="B776" s="8" t="s">
        <v>881</v>
      </c>
      <c r="C776" s="8" t="s">
        <v>167</v>
      </c>
      <c r="D776" s="8" t="s">
        <v>472</v>
      </c>
      <c r="E776" s="8" t="b">
        <f t="shared" si="88"/>
        <v>0</v>
      </c>
      <c r="F776" s="8">
        <v>106.0</v>
      </c>
    </row>
    <row r="777" ht="15.0" customHeight="1">
      <c r="A777" s="9">
        <v>46160.0</v>
      </c>
      <c r="B777" s="8" t="s">
        <v>840</v>
      </c>
      <c r="C777" s="8" t="s">
        <v>167</v>
      </c>
      <c r="D777" s="8" t="s">
        <v>486</v>
      </c>
      <c r="E777" s="8" t="b">
        <f t="shared" si="88"/>
        <v>0</v>
      </c>
      <c r="F777" s="8">
        <v>106.0</v>
      </c>
    </row>
    <row r="778" ht="15.0" customHeight="1">
      <c r="A778" s="9">
        <v>46160.0</v>
      </c>
      <c r="B778" s="8" t="s">
        <v>767</v>
      </c>
      <c r="C778" s="8" t="s">
        <v>167</v>
      </c>
      <c r="D778" s="8" t="s">
        <v>486</v>
      </c>
      <c r="E778" s="8" t="b">
        <f t="shared" si="88"/>
        <v>0</v>
      </c>
      <c r="F778" s="8">
        <v>106.0</v>
      </c>
    </row>
    <row r="779" ht="15.0" customHeight="1">
      <c r="A779" s="9">
        <v>46160.0</v>
      </c>
      <c r="B779" s="8" t="s">
        <v>963</v>
      </c>
      <c r="C779" s="8" t="s">
        <v>167</v>
      </c>
      <c r="D779" s="8" t="s">
        <v>472</v>
      </c>
      <c r="E779" s="8" t="b">
        <f t="shared" si="88"/>
        <v>0</v>
      </c>
      <c r="F779" s="8">
        <v>106.0</v>
      </c>
    </row>
    <row r="780" ht="15.0" customHeight="1">
      <c r="A780" s="9">
        <v>46160.0</v>
      </c>
      <c r="B780" s="8" t="s">
        <v>231</v>
      </c>
      <c r="C780" s="8" t="s">
        <v>167</v>
      </c>
      <c r="D780" s="8" t="s">
        <v>472</v>
      </c>
      <c r="E780" s="8" t="b">
        <f t="shared" si="88"/>
        <v>0</v>
      </c>
      <c r="F780" s="8">
        <v>106.0</v>
      </c>
    </row>
    <row r="781" ht="15.0" customHeight="1">
      <c r="A781" s="9">
        <v>46160.0</v>
      </c>
      <c r="B781" s="8" t="s">
        <v>559</v>
      </c>
      <c r="C781" s="8" t="s">
        <v>313</v>
      </c>
      <c r="D781" s="8" t="s">
        <v>313</v>
      </c>
      <c r="E781" s="8" t="b">
        <f t="shared" si="88"/>
        <v>0</v>
      </c>
      <c r="F781" s="8">
        <v>106.0</v>
      </c>
    </row>
    <row r="782" ht="15.0" customHeight="1">
      <c r="A782" s="9">
        <v>46160.0</v>
      </c>
      <c r="B782" s="8" t="s">
        <v>158</v>
      </c>
      <c r="C782" s="8" t="s">
        <v>167</v>
      </c>
      <c r="D782" s="8" t="s">
        <v>472</v>
      </c>
      <c r="E782" s="8" t="b">
        <f t="shared" si="88"/>
        <v>0</v>
      </c>
      <c r="F782" s="8">
        <v>106.0</v>
      </c>
    </row>
    <row r="783" ht="15.0" customHeight="1">
      <c r="A783" s="9">
        <v>46160.0</v>
      </c>
      <c r="B783" s="8" t="s">
        <v>912</v>
      </c>
      <c r="C783" s="8" t="s">
        <v>167</v>
      </c>
      <c r="D783" s="8" t="s">
        <v>486</v>
      </c>
      <c r="E783" s="8" t="b">
        <f t="shared" si="88"/>
        <v>0</v>
      </c>
      <c r="F783" s="8">
        <v>106.0</v>
      </c>
    </row>
    <row r="784" ht="15.0" customHeight="1">
      <c r="A784" s="9">
        <v>46160.0</v>
      </c>
      <c r="B784" s="8" t="s">
        <v>915</v>
      </c>
      <c r="C784" s="8" t="s">
        <v>167</v>
      </c>
      <c r="D784" s="8" t="s">
        <v>469</v>
      </c>
      <c r="E784" s="8" t="b">
        <f t="shared" si="88"/>
        <v>0</v>
      </c>
      <c r="F784" s="8">
        <v>106.0</v>
      </c>
    </row>
    <row r="785" ht="15.0" customHeight="1">
      <c r="A785" s="9">
        <v>46160.0</v>
      </c>
      <c r="B785" s="8" t="s">
        <v>937</v>
      </c>
      <c r="C785" s="8" t="s">
        <v>167</v>
      </c>
      <c r="D785" s="8" t="s">
        <v>469</v>
      </c>
      <c r="E785" s="8" t="b">
        <f t="shared" si="88"/>
        <v>0</v>
      </c>
      <c r="F785" s="8">
        <v>106.0</v>
      </c>
    </row>
    <row r="786" ht="15.0" customHeight="1">
      <c r="A786" s="9">
        <v>46160.0</v>
      </c>
      <c r="B786" s="8" t="s">
        <v>815</v>
      </c>
      <c r="C786" s="8" t="s">
        <v>167</v>
      </c>
      <c r="D786" s="8" t="s">
        <v>469</v>
      </c>
      <c r="E786" s="8" t="b">
        <f t="shared" si="88"/>
        <v>0</v>
      </c>
      <c r="F786" s="8">
        <v>106.0</v>
      </c>
    </row>
    <row r="787" ht="15.0" customHeight="1">
      <c r="A787" s="9">
        <v>46160.0</v>
      </c>
      <c r="B787" s="8" t="s">
        <v>587</v>
      </c>
      <c r="C787" s="8" t="s">
        <v>313</v>
      </c>
      <c r="D787" s="8" t="s">
        <v>313</v>
      </c>
      <c r="E787" s="8" t="b">
        <f t="shared" si="88"/>
        <v>0</v>
      </c>
      <c r="F787" s="8">
        <v>106.0</v>
      </c>
    </row>
    <row r="788" ht="15.0" customHeight="1">
      <c r="A788" s="9">
        <v>46160.0</v>
      </c>
      <c r="B788" s="8" t="s">
        <v>1004</v>
      </c>
      <c r="C788" s="8" t="s">
        <v>167</v>
      </c>
      <c r="D788" s="8" t="s">
        <v>486</v>
      </c>
      <c r="E788" s="8" t="b">
        <f t="shared" si="88"/>
        <v>0</v>
      </c>
      <c r="F788" s="8">
        <v>106.0</v>
      </c>
    </row>
    <row r="789" ht="15.0" customHeight="1">
      <c r="A789" s="9">
        <v>46160.0</v>
      </c>
      <c r="B789" s="8" t="s">
        <v>852</v>
      </c>
      <c r="C789" s="8" t="s">
        <v>167</v>
      </c>
      <c r="D789" s="8" t="s">
        <v>472</v>
      </c>
      <c r="E789" s="8" t="b">
        <f t="shared" si="88"/>
        <v>0</v>
      </c>
      <c r="F789" s="8">
        <v>106.0</v>
      </c>
    </row>
    <row r="790" ht="15.0" customHeight="1">
      <c r="A790" s="9">
        <v>46160.0</v>
      </c>
      <c r="B790" s="8" t="s">
        <v>225</v>
      </c>
      <c r="C790" s="8" t="s">
        <v>167</v>
      </c>
      <c r="D790" s="8" t="s">
        <v>472</v>
      </c>
      <c r="E790" s="8" t="b">
        <f t="shared" ref="E790:E791" si="89">TRUE()</f>
        <v>1</v>
      </c>
      <c r="F790" s="8">
        <v>106.0</v>
      </c>
    </row>
    <row r="791" ht="15.0" customHeight="1">
      <c r="A791" s="9">
        <v>46168.0</v>
      </c>
      <c r="B791" s="8" t="s">
        <v>109</v>
      </c>
      <c r="C791" s="8" t="s">
        <v>116</v>
      </c>
      <c r="D791" s="8" t="s">
        <v>116</v>
      </c>
      <c r="E791" s="8" t="b">
        <f t="shared" si="89"/>
        <v>1</v>
      </c>
      <c r="F791" s="8">
        <v>92.0</v>
      </c>
    </row>
    <row r="792" ht="15.0" customHeight="1">
      <c r="A792" s="9">
        <v>46168.0</v>
      </c>
      <c r="B792" s="8" t="s">
        <v>593</v>
      </c>
      <c r="C792" s="8" t="s">
        <v>167</v>
      </c>
      <c r="D792" s="8" t="s">
        <v>472</v>
      </c>
      <c r="E792" s="8" t="b">
        <f t="shared" ref="E792:E793" si="90">FALSE()</f>
        <v>0</v>
      </c>
      <c r="F792" s="8">
        <v>92.0</v>
      </c>
    </row>
    <row r="793" ht="15.0" customHeight="1">
      <c r="A793" s="9">
        <v>46168.0</v>
      </c>
      <c r="B793" s="8" t="s">
        <v>615</v>
      </c>
      <c r="C793" s="8" t="s">
        <v>167</v>
      </c>
      <c r="D793" s="8" t="s">
        <v>472</v>
      </c>
      <c r="E793" s="8" t="b">
        <f t="shared" si="90"/>
        <v>0</v>
      </c>
      <c r="F793" s="8">
        <v>92.0</v>
      </c>
    </row>
    <row r="794" ht="15.0" customHeight="1">
      <c r="A794" s="9">
        <v>46168.0</v>
      </c>
      <c r="B794" s="8" t="s">
        <v>244</v>
      </c>
      <c r="C794" s="8" t="s">
        <v>167</v>
      </c>
      <c r="D794" s="8" t="s">
        <v>469</v>
      </c>
      <c r="E794" s="8" t="b">
        <f t="shared" ref="E794:E796" si="91">TRUE()</f>
        <v>1</v>
      </c>
      <c r="F794" s="8">
        <v>92.0</v>
      </c>
    </row>
    <row r="795" ht="15.0" customHeight="1">
      <c r="A795" s="9">
        <v>46168.0</v>
      </c>
      <c r="B795" s="8" t="s">
        <v>170</v>
      </c>
      <c r="C795" s="8" t="s">
        <v>167</v>
      </c>
      <c r="D795" s="8" t="s">
        <v>469</v>
      </c>
      <c r="E795" s="8" t="b">
        <f t="shared" si="91"/>
        <v>1</v>
      </c>
      <c r="F795" s="8">
        <v>92.0</v>
      </c>
    </row>
    <row r="796" ht="15.0" customHeight="1">
      <c r="A796" s="9">
        <v>46168.0</v>
      </c>
      <c r="B796" s="8" t="s">
        <v>282</v>
      </c>
      <c r="C796" s="8" t="s">
        <v>54</v>
      </c>
      <c r="D796" s="8" t="s">
        <v>606</v>
      </c>
      <c r="E796" s="8" t="b">
        <f t="shared" si="91"/>
        <v>1</v>
      </c>
      <c r="F796" s="8">
        <v>92.0</v>
      </c>
    </row>
    <row r="797" ht="15.0" customHeight="1">
      <c r="A797" s="9">
        <v>46168.0</v>
      </c>
      <c r="B797" s="8" t="s">
        <v>718</v>
      </c>
      <c r="C797" s="8" t="s">
        <v>167</v>
      </c>
      <c r="D797" s="8" t="s">
        <v>472</v>
      </c>
      <c r="E797" s="8" t="b">
        <f t="shared" ref="E797:E813" si="92">FALSE()</f>
        <v>0</v>
      </c>
      <c r="F797" s="8">
        <v>92.0</v>
      </c>
    </row>
    <row r="798" ht="15.0" customHeight="1">
      <c r="A798" s="9">
        <v>46168.0</v>
      </c>
      <c r="B798" s="8" t="s">
        <v>269</v>
      </c>
      <c r="C798" s="8" t="s">
        <v>313</v>
      </c>
      <c r="D798" s="8" t="s">
        <v>313</v>
      </c>
      <c r="E798" s="8" t="b">
        <f t="shared" si="92"/>
        <v>0</v>
      </c>
      <c r="F798" s="8">
        <v>92.0</v>
      </c>
    </row>
    <row r="799" ht="15.0" customHeight="1">
      <c r="A799" s="9">
        <v>46168.0</v>
      </c>
      <c r="B799" s="8" t="s">
        <v>840</v>
      </c>
      <c r="C799" s="8" t="s">
        <v>167</v>
      </c>
      <c r="D799" s="8" t="s">
        <v>486</v>
      </c>
      <c r="E799" s="8" t="b">
        <f t="shared" si="92"/>
        <v>0</v>
      </c>
      <c r="F799" s="8">
        <v>92.0</v>
      </c>
    </row>
    <row r="800" ht="15.0" customHeight="1">
      <c r="A800" s="9">
        <v>46168.0</v>
      </c>
      <c r="B800" s="8" t="s">
        <v>767</v>
      </c>
      <c r="C800" s="8" t="s">
        <v>377</v>
      </c>
      <c r="D800" s="8" t="s">
        <v>482</v>
      </c>
      <c r="E800" s="8" t="b">
        <f t="shared" si="92"/>
        <v>0</v>
      </c>
      <c r="F800" s="8">
        <v>92.0</v>
      </c>
    </row>
    <row r="801" ht="15.0" customHeight="1">
      <c r="A801" s="9">
        <v>46168.0</v>
      </c>
      <c r="B801" s="8" t="s">
        <v>767</v>
      </c>
      <c r="C801" s="8" t="s">
        <v>167</v>
      </c>
      <c r="D801" s="8" t="s">
        <v>486</v>
      </c>
      <c r="E801" s="8" t="b">
        <f t="shared" si="92"/>
        <v>0</v>
      </c>
      <c r="F801" s="8">
        <v>92.0</v>
      </c>
    </row>
    <row r="802" ht="15.0" customHeight="1">
      <c r="A802" s="9">
        <v>46168.0</v>
      </c>
      <c r="B802" s="8" t="s">
        <v>926</v>
      </c>
      <c r="C802" s="8" t="s">
        <v>167</v>
      </c>
      <c r="D802" s="8" t="s">
        <v>469</v>
      </c>
      <c r="E802" s="8" t="b">
        <f t="shared" si="92"/>
        <v>0</v>
      </c>
      <c r="F802" s="8">
        <v>92.0</v>
      </c>
    </row>
    <row r="803" ht="15.0" customHeight="1">
      <c r="A803" s="9">
        <v>46168.0</v>
      </c>
      <c r="B803" s="8" t="s">
        <v>231</v>
      </c>
      <c r="C803" s="8" t="s">
        <v>167</v>
      </c>
      <c r="D803" s="8" t="s">
        <v>472</v>
      </c>
      <c r="E803" s="8" t="b">
        <f t="shared" si="92"/>
        <v>0</v>
      </c>
      <c r="F803" s="8">
        <v>92.0</v>
      </c>
    </row>
    <row r="804" ht="15.0" customHeight="1">
      <c r="A804" s="9">
        <v>46168.0</v>
      </c>
      <c r="B804" s="8" t="s">
        <v>559</v>
      </c>
      <c r="C804" s="8" t="s">
        <v>313</v>
      </c>
      <c r="D804" s="8" t="s">
        <v>313</v>
      </c>
      <c r="E804" s="8" t="b">
        <f t="shared" si="92"/>
        <v>0</v>
      </c>
      <c r="F804" s="8">
        <v>92.0</v>
      </c>
    </row>
    <row r="805" ht="15.0" customHeight="1">
      <c r="A805" s="9">
        <v>46168.0</v>
      </c>
      <c r="B805" s="8" t="s">
        <v>158</v>
      </c>
      <c r="C805" s="8" t="s">
        <v>167</v>
      </c>
      <c r="D805" s="8" t="s">
        <v>472</v>
      </c>
      <c r="E805" s="8" t="b">
        <f t="shared" si="92"/>
        <v>0</v>
      </c>
      <c r="F805" s="8">
        <v>92.0</v>
      </c>
    </row>
    <row r="806" ht="15.0" customHeight="1">
      <c r="A806" s="9">
        <v>46168.0</v>
      </c>
      <c r="B806" s="8" t="s">
        <v>912</v>
      </c>
      <c r="C806" s="8" t="s">
        <v>167</v>
      </c>
      <c r="D806" s="8" t="s">
        <v>486</v>
      </c>
      <c r="E806" s="8" t="b">
        <f t="shared" si="92"/>
        <v>0</v>
      </c>
      <c r="F806" s="8">
        <v>92.0</v>
      </c>
    </row>
    <row r="807" ht="15.0" customHeight="1">
      <c r="A807" s="9">
        <v>46168.0</v>
      </c>
      <c r="B807" s="8" t="s">
        <v>1007</v>
      </c>
      <c r="C807" s="8" t="s">
        <v>167</v>
      </c>
      <c r="D807" s="8" t="s">
        <v>469</v>
      </c>
      <c r="E807" s="8" t="b">
        <f t="shared" si="92"/>
        <v>0</v>
      </c>
      <c r="F807" s="8">
        <v>92.0</v>
      </c>
    </row>
    <row r="808" ht="15.0" customHeight="1">
      <c r="A808" s="9">
        <v>46168.0</v>
      </c>
      <c r="B808" s="8" t="s">
        <v>915</v>
      </c>
      <c r="C808" s="8" t="s">
        <v>167</v>
      </c>
      <c r="D808" s="8" t="s">
        <v>469</v>
      </c>
      <c r="E808" s="8" t="b">
        <f t="shared" si="92"/>
        <v>0</v>
      </c>
      <c r="F808" s="8">
        <v>92.0</v>
      </c>
    </row>
    <row r="809" ht="15.0" customHeight="1">
      <c r="A809" s="9">
        <v>46168.0</v>
      </c>
      <c r="B809" s="8" t="s">
        <v>937</v>
      </c>
      <c r="C809" s="8" t="s">
        <v>167</v>
      </c>
      <c r="D809" s="8" t="s">
        <v>469</v>
      </c>
      <c r="E809" s="8" t="b">
        <f t="shared" si="92"/>
        <v>0</v>
      </c>
      <c r="F809" s="8">
        <v>92.0</v>
      </c>
    </row>
    <row r="810" ht="15.0" customHeight="1">
      <c r="A810" s="9">
        <v>46168.0</v>
      </c>
      <c r="B810" s="8" t="s">
        <v>587</v>
      </c>
      <c r="C810" s="8" t="s">
        <v>313</v>
      </c>
      <c r="D810" s="8" t="s">
        <v>313</v>
      </c>
      <c r="E810" s="8" t="b">
        <f t="shared" si="92"/>
        <v>0</v>
      </c>
      <c r="F810" s="8">
        <v>92.0</v>
      </c>
    </row>
    <row r="811" ht="15.0" customHeight="1">
      <c r="A811" s="9">
        <v>46168.0</v>
      </c>
      <c r="B811" s="8" t="s">
        <v>1004</v>
      </c>
      <c r="C811" s="8" t="s">
        <v>167</v>
      </c>
      <c r="D811" s="8" t="s">
        <v>486</v>
      </c>
      <c r="E811" s="8" t="b">
        <f t="shared" si="92"/>
        <v>0</v>
      </c>
      <c r="F811" s="8">
        <v>92.0</v>
      </c>
    </row>
    <row r="812" ht="15.0" customHeight="1">
      <c r="A812" s="9">
        <v>46168.0</v>
      </c>
      <c r="B812" s="8" t="s">
        <v>852</v>
      </c>
      <c r="C812" s="8" t="s">
        <v>167</v>
      </c>
      <c r="D812" s="8" t="s">
        <v>472</v>
      </c>
      <c r="E812" s="8" t="b">
        <f t="shared" si="92"/>
        <v>0</v>
      </c>
      <c r="F812" s="8">
        <v>92.0</v>
      </c>
    </row>
    <row r="813" ht="15.0" customHeight="1">
      <c r="A813" s="9">
        <v>46168.0</v>
      </c>
      <c r="B813" s="8" t="s">
        <v>225</v>
      </c>
      <c r="C813" s="8" t="s">
        <v>377</v>
      </c>
      <c r="D813" s="8" t="s">
        <v>482</v>
      </c>
      <c r="E813" s="8" t="b">
        <f t="shared" si="92"/>
        <v>0</v>
      </c>
      <c r="F813" s="8">
        <v>92.0</v>
      </c>
    </row>
    <row r="814" ht="15.0" customHeight="1">
      <c r="A814" s="9">
        <v>46168.0</v>
      </c>
      <c r="B814" s="8" t="s">
        <v>225</v>
      </c>
      <c r="C814" s="8" t="s">
        <v>167</v>
      </c>
      <c r="D814" s="8" t="s">
        <v>472</v>
      </c>
      <c r="E814" s="8" t="b">
        <f t="shared" ref="E814:E815" si="93">TRUE()</f>
        <v>1</v>
      </c>
      <c r="F814" s="8">
        <v>92.0</v>
      </c>
    </row>
    <row r="815" ht="15.0" customHeight="1">
      <c r="A815" s="9">
        <v>46174.0</v>
      </c>
      <c r="B815" s="8" t="s">
        <v>109</v>
      </c>
      <c r="C815" s="8" t="s">
        <v>116</v>
      </c>
      <c r="D815" s="8" t="s">
        <v>116</v>
      </c>
      <c r="E815" s="8" t="b">
        <f t="shared" si="93"/>
        <v>1</v>
      </c>
      <c r="F815" s="8">
        <v>84.0</v>
      </c>
    </row>
    <row r="816" ht="15.0" customHeight="1">
      <c r="A816" s="9">
        <v>46174.0</v>
      </c>
      <c r="B816" s="8" t="s">
        <v>593</v>
      </c>
      <c r="C816" s="8" t="s">
        <v>167</v>
      </c>
      <c r="D816" s="8" t="s">
        <v>472</v>
      </c>
      <c r="E816" s="8" t="b">
        <f>FALSE()</f>
        <v>0</v>
      </c>
      <c r="F816" s="8">
        <v>84.0</v>
      </c>
    </row>
    <row r="817" ht="15.0" customHeight="1">
      <c r="A817" s="9">
        <v>46174.0</v>
      </c>
      <c r="B817" s="8" t="s">
        <v>244</v>
      </c>
      <c r="C817" s="8" t="s">
        <v>167</v>
      </c>
      <c r="D817" s="8" t="s">
        <v>469</v>
      </c>
      <c r="E817" s="8" t="b">
        <f>TRUE()</f>
        <v>1</v>
      </c>
      <c r="F817" s="8">
        <v>84.0</v>
      </c>
    </row>
    <row r="818" ht="15.0" customHeight="1">
      <c r="A818" s="9">
        <v>46174.0</v>
      </c>
      <c r="B818" s="8" t="s">
        <v>628</v>
      </c>
      <c r="C818" s="8" t="s">
        <v>377</v>
      </c>
      <c r="D818" s="8" t="s">
        <v>482</v>
      </c>
      <c r="E818" s="8" t="b">
        <f>FALSE()</f>
        <v>0</v>
      </c>
      <c r="F818" s="8">
        <v>84.0</v>
      </c>
    </row>
    <row r="819" ht="15.0" customHeight="1">
      <c r="A819" s="9">
        <v>46174.0</v>
      </c>
      <c r="B819" s="8" t="s">
        <v>170</v>
      </c>
      <c r="C819" s="8" t="s">
        <v>167</v>
      </c>
      <c r="D819" s="8" t="s">
        <v>469</v>
      </c>
      <c r="E819" s="8" t="b">
        <f t="shared" ref="E819:E820" si="94">TRUE()</f>
        <v>1</v>
      </c>
      <c r="F819" s="8">
        <v>84.0</v>
      </c>
    </row>
    <row r="820" ht="15.0" customHeight="1">
      <c r="A820" s="9">
        <v>46174.0</v>
      </c>
      <c r="B820" s="8" t="s">
        <v>282</v>
      </c>
      <c r="C820" s="8" t="s">
        <v>54</v>
      </c>
      <c r="D820" s="8" t="s">
        <v>606</v>
      </c>
      <c r="E820" s="8" t="b">
        <f t="shared" si="94"/>
        <v>1</v>
      </c>
      <c r="F820" s="8">
        <v>84.0</v>
      </c>
    </row>
    <row r="821" ht="15.0" customHeight="1">
      <c r="A821" s="9">
        <v>46174.0</v>
      </c>
      <c r="B821" s="8" t="s">
        <v>718</v>
      </c>
      <c r="C821" s="8" t="s">
        <v>167</v>
      </c>
      <c r="D821" s="8" t="s">
        <v>472</v>
      </c>
      <c r="E821" s="8" t="b">
        <f t="shared" ref="E821:E828" si="95">FALSE()</f>
        <v>0</v>
      </c>
      <c r="F821" s="8">
        <v>84.0</v>
      </c>
    </row>
    <row r="822" ht="15.0" customHeight="1">
      <c r="A822" s="9">
        <v>46174.0</v>
      </c>
      <c r="B822" s="8" t="s">
        <v>724</v>
      </c>
      <c r="C822" s="8" t="s">
        <v>167</v>
      </c>
      <c r="D822" s="8" t="s">
        <v>1039</v>
      </c>
      <c r="E822" s="8" t="b">
        <f t="shared" si="95"/>
        <v>0</v>
      </c>
      <c r="F822" s="8">
        <v>84.0</v>
      </c>
    </row>
    <row r="823" ht="15.0" customHeight="1">
      <c r="A823" s="9">
        <v>46174.0</v>
      </c>
      <c r="B823" s="8" t="s">
        <v>269</v>
      </c>
      <c r="C823" s="8" t="s">
        <v>313</v>
      </c>
      <c r="D823" s="8" t="s">
        <v>313</v>
      </c>
      <c r="E823" s="8" t="b">
        <f t="shared" si="95"/>
        <v>0</v>
      </c>
      <c r="F823" s="8">
        <v>84.0</v>
      </c>
    </row>
    <row r="824" ht="15.0" customHeight="1">
      <c r="A824" s="9">
        <v>46174.0</v>
      </c>
      <c r="B824" s="8" t="s">
        <v>738</v>
      </c>
      <c r="C824" s="8" t="s">
        <v>167</v>
      </c>
      <c r="D824" s="8" t="s">
        <v>472</v>
      </c>
      <c r="E824" s="8" t="b">
        <f t="shared" si="95"/>
        <v>0</v>
      </c>
      <c r="F824" s="8">
        <v>84.0</v>
      </c>
    </row>
    <row r="825" ht="15.0" customHeight="1">
      <c r="A825" s="9">
        <v>46174.0</v>
      </c>
      <c r="B825" s="8" t="s">
        <v>840</v>
      </c>
      <c r="C825" s="8" t="s">
        <v>167</v>
      </c>
      <c r="D825" s="8" t="s">
        <v>486</v>
      </c>
      <c r="E825" s="8" t="b">
        <f t="shared" si="95"/>
        <v>0</v>
      </c>
      <c r="F825" s="8">
        <v>84.0</v>
      </c>
    </row>
    <row r="826" ht="15.0" customHeight="1">
      <c r="A826" s="9">
        <v>46174.0</v>
      </c>
      <c r="B826" s="8" t="s">
        <v>767</v>
      </c>
      <c r="C826" s="8" t="s">
        <v>167</v>
      </c>
      <c r="D826" s="8" t="s">
        <v>486</v>
      </c>
      <c r="E826" s="8" t="b">
        <f t="shared" si="95"/>
        <v>0</v>
      </c>
      <c r="F826" s="8">
        <v>84.0</v>
      </c>
    </row>
    <row r="827" ht="15.0" customHeight="1">
      <c r="A827" s="9">
        <v>46174.0</v>
      </c>
      <c r="B827" s="8" t="s">
        <v>923</v>
      </c>
      <c r="C827" s="8" t="s">
        <v>377</v>
      </c>
      <c r="D827" s="8" t="s">
        <v>482</v>
      </c>
      <c r="E827" s="8" t="b">
        <f t="shared" si="95"/>
        <v>0</v>
      </c>
      <c r="F827" s="8">
        <v>84.0</v>
      </c>
    </row>
    <row r="828" ht="15.0" customHeight="1">
      <c r="A828" s="9">
        <v>46174.0</v>
      </c>
      <c r="B828" s="8" t="s">
        <v>926</v>
      </c>
      <c r="C828" s="8" t="s">
        <v>167</v>
      </c>
      <c r="D828" s="8" t="s">
        <v>469</v>
      </c>
      <c r="E828" s="8" t="b">
        <f t="shared" si="95"/>
        <v>0</v>
      </c>
      <c r="F828" s="8">
        <v>84.0</v>
      </c>
    </row>
    <row r="829" ht="15.0" customHeight="1">
      <c r="A829" s="9">
        <v>46174.0</v>
      </c>
      <c r="B829" s="8" t="s">
        <v>231</v>
      </c>
      <c r="C829" s="8" t="s">
        <v>167</v>
      </c>
      <c r="D829" s="8" t="s">
        <v>1039</v>
      </c>
      <c r="E829" s="8" t="b">
        <f>TRUE()</f>
        <v>1</v>
      </c>
      <c r="F829" s="8">
        <v>84.0</v>
      </c>
    </row>
    <row r="830" ht="15.0" customHeight="1">
      <c r="A830" s="9">
        <v>46174.0</v>
      </c>
      <c r="B830" s="8" t="s">
        <v>559</v>
      </c>
      <c r="C830" s="8" t="s">
        <v>313</v>
      </c>
      <c r="D830" s="8" t="s">
        <v>313</v>
      </c>
      <c r="E830" s="8" t="b">
        <f t="shared" ref="E830:E840" si="96">FALSE()</f>
        <v>0</v>
      </c>
      <c r="F830" s="8">
        <v>84.0</v>
      </c>
    </row>
    <row r="831" ht="15.0" customHeight="1">
      <c r="A831" s="9">
        <v>46174.0</v>
      </c>
      <c r="B831" s="8" t="s">
        <v>158</v>
      </c>
      <c r="C831" s="8" t="s">
        <v>167</v>
      </c>
      <c r="D831" s="8" t="s">
        <v>472</v>
      </c>
      <c r="E831" s="8" t="b">
        <f t="shared" si="96"/>
        <v>0</v>
      </c>
      <c r="F831" s="8">
        <v>84.0</v>
      </c>
    </row>
    <row r="832" ht="15.0" customHeight="1">
      <c r="A832" s="9">
        <v>46174.0</v>
      </c>
      <c r="B832" s="8" t="s">
        <v>912</v>
      </c>
      <c r="C832" s="8" t="s">
        <v>167</v>
      </c>
      <c r="D832" s="8" t="s">
        <v>486</v>
      </c>
      <c r="E832" s="8" t="b">
        <f t="shared" si="96"/>
        <v>0</v>
      </c>
      <c r="F832" s="8">
        <v>84.0</v>
      </c>
    </row>
    <row r="833" ht="15.0" customHeight="1">
      <c r="A833" s="9">
        <v>46174.0</v>
      </c>
      <c r="B833" s="8" t="s">
        <v>1040</v>
      </c>
      <c r="C833" s="8" t="s">
        <v>377</v>
      </c>
      <c r="D833" s="8" t="s">
        <v>482</v>
      </c>
      <c r="E833" s="8" t="b">
        <f t="shared" si="96"/>
        <v>0</v>
      </c>
      <c r="F833" s="8">
        <v>84.0</v>
      </c>
    </row>
    <row r="834" ht="15.0" customHeight="1">
      <c r="A834" s="9">
        <v>46174.0</v>
      </c>
      <c r="B834" s="8" t="s">
        <v>1007</v>
      </c>
      <c r="C834" s="8" t="s">
        <v>167</v>
      </c>
      <c r="D834" s="8" t="s">
        <v>469</v>
      </c>
      <c r="E834" s="8" t="b">
        <f t="shared" si="96"/>
        <v>0</v>
      </c>
      <c r="F834" s="8">
        <v>84.0</v>
      </c>
    </row>
    <row r="835" ht="15.0" customHeight="1">
      <c r="A835" s="9">
        <v>46174.0</v>
      </c>
      <c r="B835" s="8" t="s">
        <v>915</v>
      </c>
      <c r="C835" s="8" t="s">
        <v>167</v>
      </c>
      <c r="D835" s="8" t="s">
        <v>469</v>
      </c>
      <c r="E835" s="8" t="b">
        <f t="shared" si="96"/>
        <v>0</v>
      </c>
      <c r="F835" s="8">
        <v>84.0</v>
      </c>
    </row>
    <row r="836" ht="15.0" customHeight="1">
      <c r="A836" s="9">
        <v>46174.0</v>
      </c>
      <c r="B836" s="8" t="s">
        <v>807</v>
      </c>
      <c r="C836" s="8" t="s">
        <v>313</v>
      </c>
      <c r="D836" s="8" t="s">
        <v>313</v>
      </c>
      <c r="E836" s="8" t="b">
        <f t="shared" si="96"/>
        <v>0</v>
      </c>
      <c r="F836" s="8">
        <v>84.0</v>
      </c>
    </row>
    <row r="837" ht="15.0" customHeight="1">
      <c r="A837" s="9">
        <v>46174.0</v>
      </c>
      <c r="B837" s="8" t="s">
        <v>587</v>
      </c>
      <c r="C837" s="8" t="s">
        <v>313</v>
      </c>
      <c r="D837" s="8" t="s">
        <v>313</v>
      </c>
      <c r="E837" s="8" t="b">
        <f t="shared" si="96"/>
        <v>0</v>
      </c>
      <c r="F837" s="8">
        <v>84.0</v>
      </c>
    </row>
    <row r="838" ht="15.0" customHeight="1">
      <c r="A838" s="9">
        <v>46174.0</v>
      </c>
      <c r="B838" s="8" t="s">
        <v>1004</v>
      </c>
      <c r="C838" s="8" t="s">
        <v>167</v>
      </c>
      <c r="D838" s="8" t="s">
        <v>486</v>
      </c>
      <c r="E838" s="8" t="b">
        <f t="shared" si="96"/>
        <v>0</v>
      </c>
      <c r="F838" s="8">
        <v>84.0</v>
      </c>
    </row>
    <row r="839" ht="15.0" customHeight="1">
      <c r="A839" s="9">
        <v>46174.0</v>
      </c>
      <c r="B839" s="8" t="s">
        <v>845</v>
      </c>
      <c r="C839" s="8" t="s">
        <v>167</v>
      </c>
      <c r="D839" s="8" t="s">
        <v>1039</v>
      </c>
      <c r="E839" s="8" t="b">
        <f t="shared" si="96"/>
        <v>0</v>
      </c>
      <c r="F839" s="8">
        <v>84.0</v>
      </c>
    </row>
    <row r="840" ht="15.0" customHeight="1">
      <c r="A840" s="9">
        <v>46174.0</v>
      </c>
      <c r="B840" s="8" t="s">
        <v>852</v>
      </c>
      <c r="C840" s="8" t="s">
        <v>167</v>
      </c>
      <c r="D840" s="8" t="s">
        <v>1039</v>
      </c>
      <c r="E840" s="8" t="b">
        <f t="shared" si="96"/>
        <v>0</v>
      </c>
      <c r="F840" s="8">
        <v>84.0</v>
      </c>
    </row>
    <row r="841" ht="15.0" customHeight="1">
      <c r="A841" s="9">
        <v>46174.0</v>
      </c>
      <c r="B841" s="8" t="s">
        <v>225</v>
      </c>
      <c r="C841" s="8" t="s">
        <v>167</v>
      </c>
      <c r="D841" s="8" t="s">
        <v>472</v>
      </c>
      <c r="E841" s="8" t="b">
        <f t="shared" ref="E841:E842" si="97">TRUE()</f>
        <v>1</v>
      </c>
      <c r="F841" s="8">
        <v>84.0</v>
      </c>
    </row>
    <row r="842" ht="15.0" customHeight="1">
      <c r="A842" s="9">
        <v>46181.0</v>
      </c>
      <c r="B842" s="8" t="s">
        <v>109</v>
      </c>
      <c r="C842" s="8" t="s">
        <v>116</v>
      </c>
      <c r="D842" s="8" t="s">
        <v>116</v>
      </c>
      <c r="E842" s="8" t="b">
        <f t="shared" si="97"/>
        <v>1</v>
      </c>
      <c r="F842" s="8">
        <v>77.0</v>
      </c>
    </row>
    <row r="843" ht="15.0" customHeight="1">
      <c r="A843" s="9">
        <v>46181.0</v>
      </c>
      <c r="B843" s="8" t="s">
        <v>593</v>
      </c>
      <c r="C843" s="8" t="s">
        <v>167</v>
      </c>
      <c r="D843" s="8" t="s">
        <v>472</v>
      </c>
      <c r="E843" s="8" t="b">
        <f t="shared" ref="E843:E846" si="98">FALSE()</f>
        <v>0</v>
      </c>
      <c r="F843" s="8">
        <v>77.0</v>
      </c>
    </row>
    <row r="844" ht="15.0" customHeight="1">
      <c r="A844" s="9">
        <v>46181.0</v>
      </c>
      <c r="B844" s="8" t="s">
        <v>626</v>
      </c>
      <c r="C844" s="8" t="s">
        <v>167</v>
      </c>
      <c r="D844" s="8" t="s">
        <v>472</v>
      </c>
      <c r="E844" s="8" t="b">
        <f t="shared" si="98"/>
        <v>0</v>
      </c>
      <c r="F844" s="8">
        <v>77.0</v>
      </c>
    </row>
    <row r="845" ht="15.0" customHeight="1">
      <c r="A845" s="9">
        <v>46181.0</v>
      </c>
      <c r="B845" s="8" t="s">
        <v>244</v>
      </c>
      <c r="C845" s="8" t="s">
        <v>167</v>
      </c>
      <c r="D845" s="8" t="s">
        <v>469</v>
      </c>
      <c r="E845" s="8" t="b">
        <f t="shared" si="98"/>
        <v>0</v>
      </c>
      <c r="F845" s="8">
        <v>77.0</v>
      </c>
    </row>
    <row r="846" ht="15.0" customHeight="1">
      <c r="A846" s="9">
        <v>46181.0</v>
      </c>
      <c r="B846" s="8" t="s">
        <v>170</v>
      </c>
      <c r="C846" s="8" t="s">
        <v>167</v>
      </c>
      <c r="D846" s="8" t="s">
        <v>469</v>
      </c>
      <c r="E846" s="8" t="b">
        <f t="shared" si="98"/>
        <v>0</v>
      </c>
      <c r="F846" s="8">
        <v>77.0</v>
      </c>
    </row>
    <row r="847" ht="15.0" customHeight="1">
      <c r="A847" s="9">
        <v>46181.0</v>
      </c>
      <c r="B847" s="8" t="s">
        <v>282</v>
      </c>
      <c r="C847" s="8" t="s">
        <v>54</v>
      </c>
      <c r="D847" s="8" t="s">
        <v>606</v>
      </c>
      <c r="E847" s="8" t="b">
        <f>TRUE()</f>
        <v>1</v>
      </c>
      <c r="F847" s="8">
        <v>77.0</v>
      </c>
    </row>
    <row r="848" ht="15.0" customHeight="1">
      <c r="A848" s="9">
        <v>46181.0</v>
      </c>
      <c r="B848" s="8" t="s">
        <v>718</v>
      </c>
      <c r="C848" s="8" t="s">
        <v>167</v>
      </c>
      <c r="D848" s="8" t="s">
        <v>472</v>
      </c>
      <c r="E848" s="8" t="b">
        <f t="shared" ref="E848:E868" si="99">FALSE()</f>
        <v>0</v>
      </c>
      <c r="F848" s="8">
        <v>77.0</v>
      </c>
    </row>
    <row r="849" ht="15.0" customHeight="1">
      <c r="A849" s="9">
        <v>46181.0</v>
      </c>
      <c r="B849" s="8" t="s">
        <v>724</v>
      </c>
      <c r="C849" s="8" t="s">
        <v>167</v>
      </c>
      <c r="D849" s="8" t="s">
        <v>1039</v>
      </c>
      <c r="E849" s="8" t="b">
        <f t="shared" si="99"/>
        <v>0</v>
      </c>
      <c r="F849" s="8">
        <v>77.0</v>
      </c>
    </row>
    <row r="850" ht="15.0" customHeight="1">
      <c r="A850" s="9">
        <v>46181.0</v>
      </c>
      <c r="B850" s="8" t="s">
        <v>269</v>
      </c>
      <c r="C850" s="8" t="s">
        <v>313</v>
      </c>
      <c r="D850" s="8" t="s">
        <v>313</v>
      </c>
      <c r="E850" s="8" t="b">
        <f t="shared" si="99"/>
        <v>0</v>
      </c>
      <c r="F850" s="8">
        <v>77.0</v>
      </c>
    </row>
    <row r="851" ht="15.0" customHeight="1">
      <c r="A851" s="9">
        <v>46181.0</v>
      </c>
      <c r="B851" s="8" t="s">
        <v>738</v>
      </c>
      <c r="C851" s="8" t="s">
        <v>167</v>
      </c>
      <c r="D851" s="8" t="s">
        <v>472</v>
      </c>
      <c r="E851" s="8" t="b">
        <f t="shared" si="99"/>
        <v>0</v>
      </c>
      <c r="F851" s="8">
        <v>77.0</v>
      </c>
    </row>
    <row r="852" ht="15.0" customHeight="1">
      <c r="A852" s="9">
        <v>46181.0</v>
      </c>
      <c r="B852" s="8" t="s">
        <v>896</v>
      </c>
      <c r="C852" s="8" t="s">
        <v>377</v>
      </c>
      <c r="D852" s="8" t="s">
        <v>482</v>
      </c>
      <c r="E852" s="8" t="b">
        <f t="shared" si="99"/>
        <v>0</v>
      </c>
      <c r="F852" s="8">
        <v>77.0</v>
      </c>
    </row>
    <row r="853" ht="15.0" customHeight="1">
      <c r="A853" s="9">
        <v>46181.0</v>
      </c>
      <c r="B853" s="8" t="s">
        <v>840</v>
      </c>
      <c r="C853" s="8" t="s">
        <v>167</v>
      </c>
      <c r="D853" s="8" t="s">
        <v>486</v>
      </c>
      <c r="E853" s="8" t="b">
        <f t="shared" si="99"/>
        <v>0</v>
      </c>
      <c r="F853" s="8">
        <v>77.0</v>
      </c>
    </row>
    <row r="854" ht="15.0" customHeight="1">
      <c r="A854" s="9">
        <v>46181.0</v>
      </c>
      <c r="B854" s="8" t="s">
        <v>767</v>
      </c>
      <c r="C854" s="8" t="s">
        <v>167</v>
      </c>
      <c r="D854" s="8" t="s">
        <v>486</v>
      </c>
      <c r="E854" s="8" t="b">
        <f t="shared" si="99"/>
        <v>0</v>
      </c>
      <c r="F854" s="8">
        <v>77.0</v>
      </c>
    </row>
    <row r="855" ht="15.0" customHeight="1">
      <c r="A855" s="9">
        <v>46181.0</v>
      </c>
      <c r="B855" s="8" t="s">
        <v>926</v>
      </c>
      <c r="C855" s="8" t="s">
        <v>167</v>
      </c>
      <c r="D855" s="8" t="s">
        <v>469</v>
      </c>
      <c r="E855" s="8" t="b">
        <f t="shared" si="99"/>
        <v>0</v>
      </c>
      <c r="F855" s="8">
        <v>77.0</v>
      </c>
    </row>
    <row r="856" ht="15.0" customHeight="1">
      <c r="A856" s="9">
        <v>46181.0</v>
      </c>
      <c r="B856" s="8" t="s">
        <v>231</v>
      </c>
      <c r="C856" s="8" t="s">
        <v>167</v>
      </c>
      <c r="D856" s="8" t="s">
        <v>1039</v>
      </c>
      <c r="E856" s="8" t="b">
        <f t="shared" si="99"/>
        <v>0</v>
      </c>
      <c r="F856" s="8">
        <v>77.0</v>
      </c>
    </row>
    <row r="857" ht="15.0" customHeight="1">
      <c r="A857" s="9">
        <v>46181.0</v>
      </c>
      <c r="B857" s="8" t="s">
        <v>1059</v>
      </c>
      <c r="C857" s="8" t="s">
        <v>377</v>
      </c>
      <c r="D857" s="8" t="s">
        <v>482</v>
      </c>
      <c r="E857" s="8" t="b">
        <f t="shared" si="99"/>
        <v>0</v>
      </c>
      <c r="F857" s="8">
        <v>77.0</v>
      </c>
    </row>
    <row r="858" ht="15.0" customHeight="1">
      <c r="A858" s="9">
        <v>46181.0</v>
      </c>
      <c r="B858" s="8" t="s">
        <v>559</v>
      </c>
      <c r="C858" s="8" t="s">
        <v>313</v>
      </c>
      <c r="D858" s="8" t="s">
        <v>313</v>
      </c>
      <c r="E858" s="8" t="b">
        <f t="shared" si="99"/>
        <v>0</v>
      </c>
      <c r="F858" s="8">
        <v>77.0</v>
      </c>
    </row>
    <row r="859" ht="15.0" customHeight="1">
      <c r="A859" s="9">
        <v>46181.0</v>
      </c>
      <c r="B859" s="8" t="s">
        <v>158</v>
      </c>
      <c r="C859" s="8" t="s">
        <v>167</v>
      </c>
      <c r="D859" s="8" t="s">
        <v>472</v>
      </c>
      <c r="E859" s="8" t="b">
        <f t="shared" si="99"/>
        <v>0</v>
      </c>
      <c r="F859" s="8">
        <v>77.0</v>
      </c>
    </row>
    <row r="860" ht="15.0" customHeight="1">
      <c r="A860" s="9">
        <v>46181.0</v>
      </c>
      <c r="B860" s="8" t="s">
        <v>912</v>
      </c>
      <c r="C860" s="8" t="s">
        <v>167</v>
      </c>
      <c r="D860" s="8" t="s">
        <v>486</v>
      </c>
      <c r="E860" s="8" t="b">
        <f t="shared" si="99"/>
        <v>0</v>
      </c>
      <c r="F860" s="8">
        <v>77.0</v>
      </c>
    </row>
    <row r="861" ht="15.0" customHeight="1">
      <c r="A861" s="9">
        <v>46181.0</v>
      </c>
      <c r="B861" s="8" t="s">
        <v>1007</v>
      </c>
      <c r="C861" s="8" t="s">
        <v>167</v>
      </c>
      <c r="D861" s="8" t="s">
        <v>469</v>
      </c>
      <c r="E861" s="8" t="b">
        <f t="shared" si="99"/>
        <v>0</v>
      </c>
      <c r="F861" s="8">
        <v>77.0</v>
      </c>
    </row>
    <row r="862" ht="15.0" customHeight="1">
      <c r="A862" s="9">
        <v>46181.0</v>
      </c>
      <c r="B862" s="8" t="s">
        <v>915</v>
      </c>
      <c r="C862" s="8" t="s">
        <v>167</v>
      </c>
      <c r="D862" s="8" t="s">
        <v>469</v>
      </c>
      <c r="E862" s="8" t="b">
        <f t="shared" si="99"/>
        <v>0</v>
      </c>
      <c r="F862" s="8">
        <v>77.0</v>
      </c>
    </row>
    <row r="863" ht="15.0" customHeight="1">
      <c r="A863" s="9">
        <v>46181.0</v>
      </c>
      <c r="B863" s="8" t="s">
        <v>587</v>
      </c>
      <c r="C863" s="8" t="s">
        <v>313</v>
      </c>
      <c r="D863" s="8" t="s">
        <v>313</v>
      </c>
      <c r="E863" s="8" t="b">
        <f t="shared" si="99"/>
        <v>0</v>
      </c>
      <c r="F863" s="8">
        <v>77.0</v>
      </c>
    </row>
    <row r="864" ht="15.0" customHeight="1">
      <c r="A864" s="9">
        <v>46181.0</v>
      </c>
      <c r="B864" s="8" t="s">
        <v>1004</v>
      </c>
      <c r="C864" s="8" t="s">
        <v>167</v>
      </c>
      <c r="D864" s="8" t="s">
        <v>486</v>
      </c>
      <c r="E864" s="8" t="b">
        <f t="shared" si="99"/>
        <v>0</v>
      </c>
      <c r="F864" s="8">
        <v>77.0</v>
      </c>
    </row>
    <row r="865" ht="15.0" customHeight="1">
      <c r="A865" s="9">
        <v>46181.0</v>
      </c>
      <c r="B865" s="8" t="s">
        <v>845</v>
      </c>
      <c r="C865" s="8" t="s">
        <v>167</v>
      </c>
      <c r="D865" s="8" t="s">
        <v>1039</v>
      </c>
      <c r="E865" s="8" t="b">
        <f t="shared" si="99"/>
        <v>0</v>
      </c>
      <c r="F865" s="8">
        <v>77.0</v>
      </c>
    </row>
    <row r="866" ht="15.0" customHeight="1">
      <c r="A866" s="9">
        <v>46181.0</v>
      </c>
      <c r="B866" s="8" t="s">
        <v>1063</v>
      </c>
      <c r="C866" s="8" t="s">
        <v>313</v>
      </c>
      <c r="D866" s="8" t="s">
        <v>313</v>
      </c>
      <c r="E866" s="8" t="b">
        <f t="shared" si="99"/>
        <v>0</v>
      </c>
      <c r="F866" s="8">
        <v>77.0</v>
      </c>
    </row>
    <row r="867" ht="15.0" customHeight="1">
      <c r="A867" s="9">
        <v>46181.0</v>
      </c>
      <c r="B867" s="8" t="s">
        <v>669</v>
      </c>
      <c r="C867" s="8" t="s">
        <v>377</v>
      </c>
      <c r="D867" s="8" t="s">
        <v>482</v>
      </c>
      <c r="E867" s="8" t="b">
        <f t="shared" si="99"/>
        <v>0</v>
      </c>
      <c r="F867" s="8">
        <v>77.0</v>
      </c>
    </row>
    <row r="868" ht="15.0" customHeight="1">
      <c r="A868" s="9">
        <v>46181.0</v>
      </c>
      <c r="B868" s="8" t="s">
        <v>852</v>
      </c>
      <c r="C868" s="8" t="s">
        <v>313</v>
      </c>
      <c r="D868" s="8" t="s">
        <v>313</v>
      </c>
      <c r="E868" s="8" t="b">
        <f t="shared" si="99"/>
        <v>0</v>
      </c>
      <c r="F868" s="8">
        <v>77.0</v>
      </c>
    </row>
    <row r="869" ht="15.0" customHeight="1">
      <c r="A869" s="9">
        <v>46188.0</v>
      </c>
      <c r="B869" s="8" t="s">
        <v>109</v>
      </c>
      <c r="C869" s="8" t="s">
        <v>116</v>
      </c>
      <c r="D869" s="8" t="s">
        <v>116</v>
      </c>
      <c r="E869" s="8" t="b">
        <f>TRUE()</f>
        <v>1</v>
      </c>
      <c r="F869" s="8">
        <v>59.0</v>
      </c>
    </row>
    <row r="870" ht="15.0" customHeight="1">
      <c r="A870" s="9">
        <v>46188.0</v>
      </c>
      <c r="B870" s="8" t="s">
        <v>593</v>
      </c>
      <c r="C870" s="8" t="s">
        <v>167</v>
      </c>
      <c r="D870" s="8" t="s">
        <v>472</v>
      </c>
      <c r="E870" s="8" t="b">
        <f t="shared" ref="E870:E873" si="100">FALSE()</f>
        <v>0</v>
      </c>
      <c r="F870" s="8">
        <v>59.0</v>
      </c>
    </row>
    <row r="871" ht="15.0" customHeight="1">
      <c r="A871" s="9">
        <v>46188.0</v>
      </c>
      <c r="B871" s="8" t="s">
        <v>626</v>
      </c>
      <c r="C871" s="8" t="s">
        <v>167</v>
      </c>
      <c r="D871" s="8" t="s">
        <v>472</v>
      </c>
      <c r="E871" s="8" t="b">
        <f t="shared" si="100"/>
        <v>0</v>
      </c>
      <c r="F871" s="8">
        <v>59.0</v>
      </c>
    </row>
    <row r="872" ht="15.0" customHeight="1">
      <c r="A872" s="9">
        <v>46188.0</v>
      </c>
      <c r="B872" s="8" t="s">
        <v>631</v>
      </c>
      <c r="C872" s="8" t="s">
        <v>167</v>
      </c>
      <c r="D872" s="8" t="s">
        <v>469</v>
      </c>
      <c r="E872" s="8" t="b">
        <f t="shared" si="100"/>
        <v>0</v>
      </c>
      <c r="F872" s="8">
        <v>59.0</v>
      </c>
    </row>
    <row r="873" ht="15.0" customHeight="1">
      <c r="A873" s="9">
        <v>46188.0</v>
      </c>
      <c r="B873" s="8" t="s">
        <v>244</v>
      </c>
      <c r="C873" s="8" t="s">
        <v>167</v>
      </c>
      <c r="D873" s="8" t="s">
        <v>469</v>
      </c>
      <c r="E873" s="8" t="b">
        <f t="shared" si="100"/>
        <v>0</v>
      </c>
      <c r="F873" s="8">
        <v>59.0</v>
      </c>
    </row>
    <row r="874" ht="15.0" customHeight="1">
      <c r="A874" s="9">
        <v>46188.0</v>
      </c>
      <c r="B874" s="8" t="s">
        <v>170</v>
      </c>
      <c r="C874" s="8" t="s">
        <v>167</v>
      </c>
      <c r="D874" s="8" t="s">
        <v>469</v>
      </c>
      <c r="E874" s="8" t="b">
        <f t="shared" ref="E874:E875" si="101">TRUE()</f>
        <v>1</v>
      </c>
      <c r="F874" s="8">
        <v>59.0</v>
      </c>
    </row>
    <row r="875" ht="15.0" customHeight="1">
      <c r="A875" s="9">
        <v>46188.0</v>
      </c>
      <c r="B875" s="8" t="s">
        <v>282</v>
      </c>
      <c r="C875" s="8" t="s">
        <v>54</v>
      </c>
      <c r="D875" s="8" t="s">
        <v>606</v>
      </c>
      <c r="E875" s="8" t="b">
        <f t="shared" si="101"/>
        <v>1</v>
      </c>
      <c r="F875" s="8">
        <v>59.0</v>
      </c>
    </row>
    <row r="876" ht="15.0" customHeight="1">
      <c r="A876" s="9">
        <v>46188.0</v>
      </c>
      <c r="B876" s="8" t="s">
        <v>718</v>
      </c>
      <c r="C876" s="8" t="s">
        <v>167</v>
      </c>
      <c r="D876" s="8" t="s">
        <v>472</v>
      </c>
      <c r="E876" s="8" t="b">
        <f t="shared" ref="E876:E880" si="102">FALSE()</f>
        <v>0</v>
      </c>
      <c r="F876" s="8">
        <v>59.0</v>
      </c>
    </row>
    <row r="877" ht="15.0" customHeight="1">
      <c r="A877" s="9">
        <v>46188.0</v>
      </c>
      <c r="B877" s="8" t="s">
        <v>269</v>
      </c>
      <c r="C877" s="8" t="s">
        <v>313</v>
      </c>
      <c r="D877" s="8" t="s">
        <v>313</v>
      </c>
      <c r="E877" s="8" t="b">
        <f t="shared" si="102"/>
        <v>0</v>
      </c>
      <c r="F877" s="8">
        <v>59.0</v>
      </c>
    </row>
    <row r="878" ht="15.0" customHeight="1">
      <c r="A878" s="9">
        <v>46188.0</v>
      </c>
      <c r="B878" s="8" t="s">
        <v>738</v>
      </c>
      <c r="C878" s="8" t="s">
        <v>167</v>
      </c>
      <c r="D878" s="8" t="s">
        <v>472</v>
      </c>
      <c r="E878" s="8" t="b">
        <f t="shared" si="102"/>
        <v>0</v>
      </c>
      <c r="F878" s="8">
        <v>59.0</v>
      </c>
    </row>
    <row r="879" ht="15.0" customHeight="1">
      <c r="A879" s="9">
        <v>46188.0</v>
      </c>
      <c r="B879" s="8" t="s">
        <v>892</v>
      </c>
      <c r="C879" s="8" t="s">
        <v>167</v>
      </c>
      <c r="D879" s="8" t="s">
        <v>469</v>
      </c>
      <c r="E879" s="8" t="b">
        <f t="shared" si="102"/>
        <v>0</v>
      </c>
      <c r="F879" s="8">
        <v>59.0</v>
      </c>
    </row>
    <row r="880" ht="15.0" customHeight="1">
      <c r="A880" s="9">
        <v>46188.0</v>
      </c>
      <c r="B880" s="8" t="s">
        <v>840</v>
      </c>
      <c r="C880" s="8" t="s">
        <v>167</v>
      </c>
      <c r="D880" s="8" t="s">
        <v>486</v>
      </c>
      <c r="E880" s="8" t="b">
        <f t="shared" si="102"/>
        <v>0</v>
      </c>
      <c r="F880" s="8">
        <v>59.0</v>
      </c>
    </row>
    <row r="881" ht="15.0" customHeight="1">
      <c r="A881" s="9">
        <v>46188.0</v>
      </c>
      <c r="B881" s="8" t="s">
        <v>231</v>
      </c>
      <c r="C881" s="8" t="s">
        <v>167</v>
      </c>
      <c r="D881" s="8" t="s">
        <v>1039</v>
      </c>
      <c r="E881" s="8" t="b">
        <f>TRUE()</f>
        <v>1</v>
      </c>
      <c r="F881" s="8">
        <v>59.0</v>
      </c>
    </row>
    <row r="882" ht="15.0" customHeight="1">
      <c r="A882" s="9">
        <v>46188.0</v>
      </c>
      <c r="B882" s="8" t="s">
        <v>559</v>
      </c>
      <c r="C882" s="8" t="s">
        <v>313</v>
      </c>
      <c r="D882" s="8" t="s">
        <v>313</v>
      </c>
      <c r="E882" s="8" t="b">
        <f>FALSE()</f>
        <v>0</v>
      </c>
      <c r="F882" s="8">
        <v>59.0</v>
      </c>
    </row>
    <row r="883" ht="15.0" customHeight="1">
      <c r="A883" s="9">
        <v>46188.0</v>
      </c>
      <c r="B883" s="8" t="s">
        <v>158</v>
      </c>
      <c r="C883" s="8" t="s">
        <v>167</v>
      </c>
      <c r="D883" s="8" t="s">
        <v>472</v>
      </c>
      <c r="E883" s="8" t="b">
        <f>TRUE()</f>
        <v>1</v>
      </c>
      <c r="F883" s="8">
        <v>59.0</v>
      </c>
    </row>
    <row r="884" ht="15.0" customHeight="1">
      <c r="A884" s="9">
        <v>46188.0</v>
      </c>
      <c r="B884" s="8" t="s">
        <v>915</v>
      </c>
      <c r="C884" s="8" t="s">
        <v>167</v>
      </c>
      <c r="D884" s="8" t="s">
        <v>469</v>
      </c>
      <c r="E884" s="8" t="b">
        <f t="shared" ref="E884:E890" si="103">FALSE()</f>
        <v>0</v>
      </c>
      <c r="F884" s="8">
        <v>59.0</v>
      </c>
    </row>
    <row r="885" ht="15.0" customHeight="1">
      <c r="A885" s="9">
        <v>46188.0</v>
      </c>
      <c r="B885" s="8" t="s">
        <v>984</v>
      </c>
      <c r="C885" s="8" t="s">
        <v>167</v>
      </c>
      <c r="D885" s="8" t="s">
        <v>469</v>
      </c>
      <c r="E885" s="8" t="b">
        <f t="shared" si="103"/>
        <v>0</v>
      </c>
      <c r="F885" s="8">
        <v>59.0</v>
      </c>
    </row>
    <row r="886" ht="15.0" customHeight="1">
      <c r="A886" s="9">
        <v>46188.0</v>
      </c>
      <c r="B886" s="8" t="s">
        <v>587</v>
      </c>
      <c r="C886" s="8" t="s">
        <v>313</v>
      </c>
      <c r="D886" s="8" t="s">
        <v>313</v>
      </c>
      <c r="E886" s="8" t="b">
        <f t="shared" si="103"/>
        <v>0</v>
      </c>
      <c r="F886" s="8">
        <v>59.0</v>
      </c>
    </row>
    <row r="887" ht="15.0" customHeight="1">
      <c r="A887" s="9">
        <v>46188.0</v>
      </c>
      <c r="B887" s="8" t="s">
        <v>1004</v>
      </c>
      <c r="C887" s="8" t="s">
        <v>167</v>
      </c>
      <c r="D887" s="8" t="s">
        <v>486</v>
      </c>
      <c r="E887" s="8" t="b">
        <f t="shared" si="103"/>
        <v>0</v>
      </c>
      <c r="F887" s="8">
        <v>59.0</v>
      </c>
    </row>
    <row r="888" ht="15.0" customHeight="1">
      <c r="A888" s="9">
        <v>46188.0</v>
      </c>
      <c r="B888" s="8" t="s">
        <v>845</v>
      </c>
      <c r="C888" s="8" t="s">
        <v>313</v>
      </c>
      <c r="D888" s="8" t="s">
        <v>313</v>
      </c>
      <c r="E888" s="8" t="b">
        <f t="shared" si="103"/>
        <v>0</v>
      </c>
      <c r="F888" s="8">
        <v>59.0</v>
      </c>
    </row>
    <row r="889" ht="15.0" customHeight="1">
      <c r="A889" s="9">
        <v>46188.0</v>
      </c>
      <c r="B889" s="8" t="s">
        <v>1063</v>
      </c>
      <c r="C889" s="8" t="s">
        <v>313</v>
      </c>
      <c r="D889" s="8" t="s">
        <v>313</v>
      </c>
      <c r="E889" s="8" t="b">
        <f t="shared" si="103"/>
        <v>0</v>
      </c>
      <c r="F889" s="8">
        <v>59.0</v>
      </c>
    </row>
    <row r="890" ht="15.0" customHeight="1">
      <c r="A890" s="9">
        <v>46188.0</v>
      </c>
      <c r="B890" s="8" t="s">
        <v>852</v>
      </c>
      <c r="C890" s="8" t="s">
        <v>313</v>
      </c>
      <c r="D890" s="8" t="s">
        <v>313</v>
      </c>
      <c r="E890" s="8" t="b">
        <f t="shared" si="103"/>
        <v>0</v>
      </c>
      <c r="F890" s="8">
        <v>59.0</v>
      </c>
    </row>
    <row r="891" ht="15.0" customHeight="1">
      <c r="A891" s="9">
        <v>46195.0</v>
      </c>
      <c r="B891" s="8" t="s">
        <v>109</v>
      </c>
      <c r="C891" s="8" t="s">
        <v>116</v>
      </c>
      <c r="D891" s="8" t="s">
        <v>116</v>
      </c>
      <c r="E891" s="8" t="b">
        <f>TRUE()</f>
        <v>1</v>
      </c>
      <c r="F891" s="8">
        <v>56.0</v>
      </c>
    </row>
    <row r="892" ht="15.0" customHeight="1">
      <c r="A892" s="9">
        <v>46195.0</v>
      </c>
      <c r="B892" s="8" t="s">
        <v>593</v>
      </c>
      <c r="C892" s="8" t="s">
        <v>167</v>
      </c>
      <c r="D892" s="8" t="s">
        <v>472</v>
      </c>
      <c r="E892" s="8" t="b">
        <f t="shared" ref="E892:E897" si="104">FALSE()</f>
        <v>0</v>
      </c>
      <c r="F892" s="8">
        <v>56.0</v>
      </c>
    </row>
    <row r="893" ht="15.0" customHeight="1">
      <c r="A893" s="9">
        <v>46195.0</v>
      </c>
      <c r="B893" s="8" t="s">
        <v>626</v>
      </c>
      <c r="C893" s="8" t="s">
        <v>313</v>
      </c>
      <c r="D893" s="8" t="s">
        <v>313</v>
      </c>
      <c r="E893" s="8" t="b">
        <f t="shared" si="104"/>
        <v>0</v>
      </c>
      <c r="F893" s="8">
        <v>56.0</v>
      </c>
    </row>
    <row r="894" ht="15.0" customHeight="1">
      <c r="A894" s="9">
        <v>46195.0</v>
      </c>
      <c r="B894" s="8" t="s">
        <v>631</v>
      </c>
      <c r="C894" s="8" t="s">
        <v>167</v>
      </c>
      <c r="D894" s="8" t="s">
        <v>469</v>
      </c>
      <c r="E894" s="8" t="b">
        <f t="shared" si="104"/>
        <v>0</v>
      </c>
      <c r="F894" s="8">
        <v>56.0</v>
      </c>
    </row>
    <row r="895" ht="15.0" customHeight="1">
      <c r="A895" s="9">
        <v>46195.0</v>
      </c>
      <c r="B895" s="8" t="s">
        <v>634</v>
      </c>
      <c r="C895" s="8" t="s">
        <v>377</v>
      </c>
      <c r="D895" s="8" t="s">
        <v>482</v>
      </c>
      <c r="E895" s="8" t="b">
        <f t="shared" si="104"/>
        <v>0</v>
      </c>
      <c r="F895" s="8">
        <v>56.0</v>
      </c>
    </row>
    <row r="896" ht="15.0" customHeight="1">
      <c r="A896" s="9">
        <v>46195.0</v>
      </c>
      <c r="B896" s="8" t="s">
        <v>244</v>
      </c>
      <c r="C896" s="8" t="s">
        <v>167</v>
      </c>
      <c r="D896" s="8" t="s">
        <v>469</v>
      </c>
      <c r="E896" s="8" t="b">
        <f t="shared" si="104"/>
        <v>0</v>
      </c>
      <c r="F896" s="8">
        <v>56.0</v>
      </c>
    </row>
    <row r="897" ht="15.0" customHeight="1">
      <c r="A897" s="9">
        <v>46195.0</v>
      </c>
      <c r="B897" s="8" t="s">
        <v>170</v>
      </c>
      <c r="C897" s="8" t="s">
        <v>167</v>
      </c>
      <c r="D897" s="8" t="s">
        <v>469</v>
      </c>
      <c r="E897" s="8" t="b">
        <f t="shared" si="104"/>
        <v>0</v>
      </c>
      <c r="F897" s="8">
        <v>56.0</v>
      </c>
    </row>
    <row r="898" ht="15.0" customHeight="1">
      <c r="A898" s="9">
        <v>46195.0</v>
      </c>
      <c r="B898" s="8" t="s">
        <v>282</v>
      </c>
      <c r="C898" s="8" t="s">
        <v>54</v>
      </c>
      <c r="D898" s="8" t="s">
        <v>606</v>
      </c>
      <c r="E898" s="8" t="b">
        <f t="shared" ref="E898:E899" si="105">TRUE()</f>
        <v>1</v>
      </c>
      <c r="F898" s="8">
        <v>56.0</v>
      </c>
    </row>
    <row r="899" ht="15.0" customHeight="1">
      <c r="A899" s="9">
        <v>46195.0</v>
      </c>
      <c r="B899" s="8" t="s">
        <v>263</v>
      </c>
      <c r="C899" s="8" t="s">
        <v>167</v>
      </c>
      <c r="D899" s="8" t="s">
        <v>472</v>
      </c>
      <c r="E899" s="8" t="b">
        <f t="shared" si="105"/>
        <v>1</v>
      </c>
      <c r="F899" s="8">
        <v>56.0</v>
      </c>
    </row>
    <row r="900" ht="15.0" customHeight="1">
      <c r="A900" s="9">
        <v>46195.0</v>
      </c>
      <c r="B900" s="8" t="s">
        <v>718</v>
      </c>
      <c r="C900" s="8" t="s">
        <v>167</v>
      </c>
      <c r="D900" s="8" t="s">
        <v>472</v>
      </c>
      <c r="E900" s="8" t="b">
        <f t="shared" ref="E900:E917" si="106">FALSE()</f>
        <v>0</v>
      </c>
      <c r="F900" s="8">
        <v>56.0</v>
      </c>
    </row>
    <row r="901" ht="15.0" customHeight="1">
      <c r="A901" s="9">
        <v>46195.0</v>
      </c>
      <c r="B901" s="8" t="s">
        <v>269</v>
      </c>
      <c r="C901" s="8" t="s">
        <v>313</v>
      </c>
      <c r="D901" s="8" t="s">
        <v>313</v>
      </c>
      <c r="E901" s="8" t="b">
        <f t="shared" si="106"/>
        <v>0</v>
      </c>
      <c r="F901" s="8">
        <v>56.0</v>
      </c>
    </row>
    <row r="902" ht="15.0" customHeight="1">
      <c r="A902" s="9">
        <v>46195.0</v>
      </c>
      <c r="B902" s="8" t="s">
        <v>738</v>
      </c>
      <c r="C902" s="8" t="s">
        <v>167</v>
      </c>
      <c r="D902" s="8" t="s">
        <v>472</v>
      </c>
      <c r="E902" s="8" t="b">
        <f t="shared" si="106"/>
        <v>0</v>
      </c>
      <c r="F902" s="8">
        <v>56.0</v>
      </c>
    </row>
    <row r="903" ht="15.0" customHeight="1">
      <c r="A903" s="9">
        <v>46195.0</v>
      </c>
      <c r="B903" s="8" t="s">
        <v>892</v>
      </c>
      <c r="C903" s="8" t="s">
        <v>167</v>
      </c>
      <c r="D903" s="8" t="s">
        <v>469</v>
      </c>
      <c r="E903" s="8" t="b">
        <f t="shared" si="106"/>
        <v>0</v>
      </c>
      <c r="F903" s="8">
        <v>56.0</v>
      </c>
    </row>
    <row r="904" ht="15.0" customHeight="1">
      <c r="A904" s="9">
        <v>46195.0</v>
      </c>
      <c r="B904" s="8" t="s">
        <v>840</v>
      </c>
      <c r="C904" s="8" t="s">
        <v>167</v>
      </c>
      <c r="D904" s="8" t="s">
        <v>486</v>
      </c>
      <c r="E904" s="8" t="b">
        <f t="shared" si="106"/>
        <v>0</v>
      </c>
      <c r="F904" s="8">
        <v>56.0</v>
      </c>
    </row>
    <row r="905" ht="15.0" customHeight="1">
      <c r="A905" s="9">
        <v>46195.0</v>
      </c>
      <c r="B905" s="8" t="s">
        <v>923</v>
      </c>
      <c r="C905" s="8" t="s">
        <v>167</v>
      </c>
      <c r="D905" s="8" t="s">
        <v>472</v>
      </c>
      <c r="E905" s="8" t="b">
        <f t="shared" si="106"/>
        <v>0</v>
      </c>
      <c r="F905" s="8">
        <v>56.0</v>
      </c>
    </row>
    <row r="906" ht="15.0" customHeight="1">
      <c r="A906" s="9">
        <v>46195.0</v>
      </c>
      <c r="B906" s="8" t="s">
        <v>231</v>
      </c>
      <c r="C906" s="8" t="s">
        <v>167</v>
      </c>
      <c r="D906" s="8" t="s">
        <v>1039</v>
      </c>
      <c r="E906" s="8" t="b">
        <f t="shared" si="106"/>
        <v>0</v>
      </c>
      <c r="F906" s="8">
        <v>56.0</v>
      </c>
    </row>
    <row r="907" ht="15.0" customHeight="1">
      <c r="A907" s="9">
        <v>46195.0</v>
      </c>
      <c r="B907" s="8" t="s">
        <v>1078</v>
      </c>
      <c r="C907" s="8" t="s">
        <v>167</v>
      </c>
      <c r="D907" s="8" t="s">
        <v>469</v>
      </c>
      <c r="E907" s="8" t="b">
        <f t="shared" si="106"/>
        <v>0</v>
      </c>
      <c r="F907" s="8">
        <v>56.0</v>
      </c>
    </row>
    <row r="908" ht="15.0" customHeight="1">
      <c r="A908" s="9">
        <v>46195.0</v>
      </c>
      <c r="B908" s="8" t="s">
        <v>559</v>
      </c>
      <c r="C908" s="8" t="s">
        <v>313</v>
      </c>
      <c r="D908" s="8" t="s">
        <v>313</v>
      </c>
      <c r="E908" s="8" t="b">
        <f t="shared" si="106"/>
        <v>0</v>
      </c>
      <c r="F908" s="8">
        <v>56.0</v>
      </c>
    </row>
    <row r="909" ht="15.0" customHeight="1">
      <c r="A909" s="9">
        <v>46195.0</v>
      </c>
      <c r="B909" s="8" t="s">
        <v>158</v>
      </c>
      <c r="C909" s="8" t="s">
        <v>167</v>
      </c>
      <c r="D909" s="8" t="s">
        <v>472</v>
      </c>
      <c r="E909" s="8" t="b">
        <f t="shared" si="106"/>
        <v>0</v>
      </c>
      <c r="F909" s="8">
        <v>56.0</v>
      </c>
    </row>
    <row r="910" ht="15.0" customHeight="1">
      <c r="A910" s="9">
        <v>46195.0</v>
      </c>
      <c r="B910" s="8" t="s">
        <v>1079</v>
      </c>
      <c r="C910" s="8" t="s">
        <v>167</v>
      </c>
      <c r="D910" s="8" t="s">
        <v>469</v>
      </c>
      <c r="E910" s="8" t="b">
        <f t="shared" si="106"/>
        <v>0</v>
      </c>
      <c r="F910" s="8">
        <v>56.0</v>
      </c>
    </row>
    <row r="911" ht="15.0" customHeight="1">
      <c r="A911" s="9">
        <v>46195.0</v>
      </c>
      <c r="B911" s="8" t="s">
        <v>915</v>
      </c>
      <c r="C911" s="8" t="s">
        <v>167</v>
      </c>
      <c r="D911" s="8" t="s">
        <v>469</v>
      </c>
      <c r="E911" s="8" t="b">
        <f t="shared" si="106"/>
        <v>0</v>
      </c>
      <c r="F911" s="8">
        <v>56.0</v>
      </c>
    </row>
    <row r="912" ht="15.0" customHeight="1">
      <c r="A912" s="9">
        <v>46195.0</v>
      </c>
      <c r="B912" s="8" t="s">
        <v>984</v>
      </c>
      <c r="C912" s="8" t="s">
        <v>167</v>
      </c>
      <c r="D912" s="8" t="s">
        <v>469</v>
      </c>
      <c r="E912" s="8" t="b">
        <f t="shared" si="106"/>
        <v>0</v>
      </c>
      <c r="F912" s="8">
        <v>56.0</v>
      </c>
    </row>
    <row r="913" ht="15.0" customHeight="1">
      <c r="A913" s="9">
        <v>46195.0</v>
      </c>
      <c r="B913" s="8" t="s">
        <v>1080</v>
      </c>
      <c r="C913" s="8" t="s">
        <v>377</v>
      </c>
      <c r="D913" s="8" t="s">
        <v>482</v>
      </c>
      <c r="E913" s="8" t="b">
        <f t="shared" si="106"/>
        <v>0</v>
      </c>
      <c r="F913" s="8">
        <v>56.0</v>
      </c>
    </row>
    <row r="914" ht="15.0" customHeight="1">
      <c r="A914" s="9">
        <v>46195.0</v>
      </c>
      <c r="B914" s="8" t="s">
        <v>587</v>
      </c>
      <c r="C914" s="8" t="s">
        <v>313</v>
      </c>
      <c r="D914" s="8" t="s">
        <v>313</v>
      </c>
      <c r="E914" s="8" t="b">
        <f t="shared" si="106"/>
        <v>0</v>
      </c>
      <c r="F914" s="8">
        <v>56.0</v>
      </c>
    </row>
    <row r="915" ht="15.0" customHeight="1">
      <c r="A915" s="9">
        <v>46195.0</v>
      </c>
      <c r="B915" s="8" t="s">
        <v>1004</v>
      </c>
      <c r="C915" s="8" t="s">
        <v>167</v>
      </c>
      <c r="D915" s="8" t="s">
        <v>486</v>
      </c>
      <c r="E915" s="8" t="b">
        <f t="shared" si="106"/>
        <v>0</v>
      </c>
      <c r="F915" s="8">
        <v>56.0</v>
      </c>
    </row>
    <row r="916" ht="15.0" customHeight="1">
      <c r="A916" s="9">
        <v>46195.0</v>
      </c>
      <c r="B916" s="8" t="s">
        <v>845</v>
      </c>
      <c r="C916" s="8" t="s">
        <v>313</v>
      </c>
      <c r="D916" s="8" t="s">
        <v>313</v>
      </c>
      <c r="E916" s="8" t="b">
        <f t="shared" si="106"/>
        <v>0</v>
      </c>
      <c r="F916" s="8">
        <v>56.0</v>
      </c>
    </row>
    <row r="917" ht="15.0" customHeight="1">
      <c r="A917" s="9">
        <v>46195.0</v>
      </c>
      <c r="B917" s="8" t="s">
        <v>852</v>
      </c>
      <c r="C917" s="8" t="s">
        <v>313</v>
      </c>
      <c r="D917" s="8" t="s">
        <v>313</v>
      </c>
      <c r="E917" s="8" t="b">
        <f t="shared" si="106"/>
        <v>0</v>
      </c>
      <c r="F917" s="8">
        <v>56.0</v>
      </c>
    </row>
    <row r="918" ht="15.0" customHeight="1">
      <c r="A918" s="9">
        <v>46209.0</v>
      </c>
      <c r="B918" s="8" t="s">
        <v>109</v>
      </c>
      <c r="C918" s="8" t="s">
        <v>116</v>
      </c>
      <c r="D918" s="8" t="s">
        <v>116</v>
      </c>
      <c r="E918" s="8" t="b">
        <f>TRUE()</f>
        <v>1</v>
      </c>
      <c r="F918" s="8">
        <v>54.0</v>
      </c>
    </row>
    <row r="919" ht="15.0" customHeight="1">
      <c r="A919" s="9">
        <v>46209.0</v>
      </c>
      <c r="B919" s="8" t="s">
        <v>593</v>
      </c>
      <c r="C919" s="8" t="s">
        <v>167</v>
      </c>
      <c r="D919" s="8" t="s">
        <v>472</v>
      </c>
      <c r="E919" s="8" t="b">
        <f t="shared" ref="E919:E924" si="107">FALSE()</f>
        <v>0</v>
      </c>
      <c r="F919" s="8">
        <v>54.0</v>
      </c>
    </row>
    <row r="920" ht="15.0" customHeight="1">
      <c r="A920" s="9">
        <v>46209.0</v>
      </c>
      <c r="B920" s="8" t="s">
        <v>626</v>
      </c>
      <c r="C920" s="8" t="s">
        <v>313</v>
      </c>
      <c r="D920" s="8" t="s">
        <v>313</v>
      </c>
      <c r="E920" s="8" t="b">
        <f t="shared" si="107"/>
        <v>0</v>
      </c>
      <c r="F920" s="8">
        <v>54.0</v>
      </c>
    </row>
    <row r="921" ht="15.0" customHeight="1">
      <c r="A921" s="9">
        <v>46209.0</v>
      </c>
      <c r="B921" s="8" t="s">
        <v>631</v>
      </c>
      <c r="C921" s="8" t="s">
        <v>167</v>
      </c>
      <c r="D921" s="8" t="s">
        <v>469</v>
      </c>
      <c r="E921" s="8" t="b">
        <f t="shared" si="107"/>
        <v>0</v>
      </c>
      <c r="F921" s="8">
        <v>54.0</v>
      </c>
    </row>
    <row r="922" ht="15.0" customHeight="1">
      <c r="A922" s="9">
        <v>46209.0</v>
      </c>
      <c r="B922" s="8" t="s">
        <v>634</v>
      </c>
      <c r="C922" s="8" t="s">
        <v>167</v>
      </c>
      <c r="D922" s="8" t="s">
        <v>486</v>
      </c>
      <c r="E922" s="8" t="b">
        <f t="shared" si="107"/>
        <v>0</v>
      </c>
      <c r="F922" s="8">
        <v>54.0</v>
      </c>
    </row>
    <row r="923" ht="15.0" customHeight="1">
      <c r="A923" s="9">
        <v>46209.0</v>
      </c>
      <c r="B923" s="8" t="s">
        <v>244</v>
      </c>
      <c r="C923" s="8" t="s">
        <v>167</v>
      </c>
      <c r="D923" s="8" t="s">
        <v>469</v>
      </c>
      <c r="E923" s="8" t="b">
        <f t="shared" si="107"/>
        <v>0</v>
      </c>
      <c r="F923" s="8">
        <v>54.0</v>
      </c>
    </row>
    <row r="924" ht="15.0" customHeight="1">
      <c r="A924" s="9">
        <v>46209.0</v>
      </c>
      <c r="B924" s="8" t="s">
        <v>709</v>
      </c>
      <c r="C924" s="8" t="s">
        <v>377</v>
      </c>
      <c r="D924" s="8" t="s">
        <v>482</v>
      </c>
      <c r="E924" s="8" t="b">
        <f t="shared" si="107"/>
        <v>0</v>
      </c>
      <c r="F924" s="8">
        <v>54.0</v>
      </c>
    </row>
    <row r="925" ht="15.0" customHeight="1">
      <c r="A925" s="9">
        <v>46209.0</v>
      </c>
      <c r="B925" s="8" t="s">
        <v>282</v>
      </c>
      <c r="C925" s="8" t="s">
        <v>54</v>
      </c>
      <c r="D925" s="8" t="s">
        <v>606</v>
      </c>
      <c r="E925" s="8" t="b">
        <f>TRUE()</f>
        <v>1</v>
      </c>
      <c r="F925" s="8">
        <v>54.0</v>
      </c>
    </row>
    <row r="926" ht="15.0" customHeight="1">
      <c r="A926" s="9">
        <v>46209.0</v>
      </c>
      <c r="B926" s="8" t="s">
        <v>718</v>
      </c>
      <c r="C926" s="8" t="s">
        <v>167</v>
      </c>
      <c r="D926" s="8" t="s">
        <v>472</v>
      </c>
      <c r="E926" s="8" t="b">
        <f t="shared" ref="E926:E952" si="108">FALSE()</f>
        <v>0</v>
      </c>
      <c r="F926" s="8">
        <v>54.0</v>
      </c>
    </row>
    <row r="927" ht="15.0" customHeight="1">
      <c r="A927" s="9">
        <v>46209.0</v>
      </c>
      <c r="B927" s="8" t="s">
        <v>720</v>
      </c>
      <c r="C927" s="8" t="s">
        <v>377</v>
      </c>
      <c r="D927" s="8" t="s">
        <v>482</v>
      </c>
      <c r="E927" s="8" t="b">
        <f t="shared" si="108"/>
        <v>0</v>
      </c>
      <c r="F927" s="8">
        <v>54.0</v>
      </c>
    </row>
    <row r="928" ht="15.0" customHeight="1">
      <c r="A928" s="9">
        <v>46209.0</v>
      </c>
      <c r="B928" s="8" t="s">
        <v>720</v>
      </c>
      <c r="C928" s="8" t="s">
        <v>167</v>
      </c>
      <c r="D928" s="8" t="s">
        <v>469</v>
      </c>
      <c r="E928" s="8" t="b">
        <f t="shared" si="108"/>
        <v>0</v>
      </c>
      <c r="F928" s="8">
        <v>54.0</v>
      </c>
    </row>
    <row r="929" ht="15.0" customHeight="1">
      <c r="A929" s="9">
        <v>46209.0</v>
      </c>
      <c r="B929" s="8" t="s">
        <v>269</v>
      </c>
      <c r="C929" s="8" t="s">
        <v>313</v>
      </c>
      <c r="D929" s="8" t="s">
        <v>313</v>
      </c>
      <c r="E929" s="8" t="b">
        <f t="shared" si="108"/>
        <v>0</v>
      </c>
      <c r="F929" s="8">
        <v>54.0</v>
      </c>
    </row>
    <row r="930" ht="15.0" customHeight="1">
      <c r="A930" s="9">
        <v>46209.0</v>
      </c>
      <c r="B930" s="8" t="s">
        <v>272</v>
      </c>
      <c r="C930" s="8" t="s">
        <v>167</v>
      </c>
      <c r="D930" s="8" t="s">
        <v>469</v>
      </c>
      <c r="E930" s="8" t="b">
        <f t="shared" si="108"/>
        <v>0</v>
      </c>
      <c r="F930" s="8">
        <v>54.0</v>
      </c>
    </row>
    <row r="931" ht="15.0" customHeight="1">
      <c r="A931" s="9">
        <v>46209.0</v>
      </c>
      <c r="B931" s="8" t="s">
        <v>892</v>
      </c>
      <c r="C931" s="8" t="s">
        <v>167</v>
      </c>
      <c r="D931" s="8" t="s">
        <v>469</v>
      </c>
      <c r="E931" s="8" t="b">
        <f t="shared" si="108"/>
        <v>0</v>
      </c>
      <c r="F931" s="8">
        <v>54.0</v>
      </c>
    </row>
    <row r="932" ht="15.0" customHeight="1">
      <c r="A932" s="9">
        <v>46209.0</v>
      </c>
      <c r="B932" s="8" t="s">
        <v>840</v>
      </c>
      <c r="C932" s="8" t="s">
        <v>167</v>
      </c>
      <c r="D932" s="8" t="s">
        <v>486</v>
      </c>
      <c r="E932" s="8" t="b">
        <f t="shared" si="108"/>
        <v>0</v>
      </c>
      <c r="F932" s="8">
        <v>54.0</v>
      </c>
    </row>
    <row r="933" ht="15.0" customHeight="1">
      <c r="A933" s="9">
        <v>46209.0</v>
      </c>
      <c r="B933" s="8" t="s">
        <v>923</v>
      </c>
      <c r="C933" s="8" t="s">
        <v>167</v>
      </c>
      <c r="D933" s="8" t="s">
        <v>472</v>
      </c>
      <c r="E933" s="8" t="b">
        <f t="shared" si="108"/>
        <v>0</v>
      </c>
      <c r="F933" s="8">
        <v>54.0</v>
      </c>
    </row>
    <row r="934" ht="15.0" customHeight="1">
      <c r="A934" s="9">
        <v>46209.0</v>
      </c>
      <c r="B934" s="8" t="s">
        <v>231</v>
      </c>
      <c r="C934" s="8" t="s">
        <v>167</v>
      </c>
      <c r="D934" s="8" t="s">
        <v>1039</v>
      </c>
      <c r="E934" s="8" t="b">
        <f t="shared" si="108"/>
        <v>0</v>
      </c>
      <c r="F934" s="8">
        <v>54.0</v>
      </c>
    </row>
    <row r="935" ht="15.0" customHeight="1">
      <c r="A935" s="9">
        <v>46209.0</v>
      </c>
      <c r="B935" s="8" t="s">
        <v>949</v>
      </c>
      <c r="C935" s="8" t="s">
        <v>167</v>
      </c>
      <c r="D935" s="8" t="s">
        <v>469</v>
      </c>
      <c r="E935" s="8" t="b">
        <f t="shared" si="108"/>
        <v>0</v>
      </c>
      <c r="F935" s="8">
        <v>54.0</v>
      </c>
    </row>
    <row r="936" ht="15.0" customHeight="1">
      <c r="A936" s="9">
        <v>46209.0</v>
      </c>
      <c r="B936" s="8" t="s">
        <v>559</v>
      </c>
      <c r="C936" s="8" t="s">
        <v>313</v>
      </c>
      <c r="D936" s="8" t="s">
        <v>313</v>
      </c>
      <c r="E936" s="8" t="b">
        <f t="shared" si="108"/>
        <v>0</v>
      </c>
      <c r="F936" s="8">
        <v>54.0</v>
      </c>
    </row>
    <row r="937" ht="15.0" customHeight="1">
      <c r="A937" s="9">
        <v>46209.0</v>
      </c>
      <c r="B937" s="8" t="s">
        <v>158</v>
      </c>
      <c r="C937" s="8" t="s">
        <v>167</v>
      </c>
      <c r="D937" s="8" t="s">
        <v>472</v>
      </c>
      <c r="E937" s="8" t="b">
        <f t="shared" si="108"/>
        <v>0</v>
      </c>
      <c r="F937" s="8">
        <v>54.0</v>
      </c>
    </row>
    <row r="938" ht="15.0" customHeight="1">
      <c r="A938" s="9">
        <v>46209.0</v>
      </c>
      <c r="B938" s="8" t="s">
        <v>1054</v>
      </c>
      <c r="C938" s="8" t="s">
        <v>377</v>
      </c>
      <c r="D938" s="8" t="s">
        <v>482</v>
      </c>
      <c r="E938" s="8" t="b">
        <f t="shared" si="108"/>
        <v>0</v>
      </c>
      <c r="F938" s="8">
        <v>54.0</v>
      </c>
    </row>
    <row r="939" ht="15.0" customHeight="1">
      <c r="A939" s="9">
        <v>46209.0</v>
      </c>
      <c r="B939" s="8" t="s">
        <v>1079</v>
      </c>
      <c r="C939" s="8" t="s">
        <v>167</v>
      </c>
      <c r="D939" s="8" t="s">
        <v>469</v>
      </c>
      <c r="E939" s="8" t="b">
        <f t="shared" si="108"/>
        <v>0</v>
      </c>
      <c r="F939" s="8">
        <v>54.0</v>
      </c>
    </row>
    <row r="940" ht="15.0" customHeight="1">
      <c r="A940" s="9">
        <v>46209.0</v>
      </c>
      <c r="B940" s="8" t="s">
        <v>915</v>
      </c>
      <c r="C940" s="8" t="s">
        <v>167</v>
      </c>
      <c r="D940" s="8" t="s">
        <v>469</v>
      </c>
      <c r="E940" s="8" t="b">
        <f t="shared" si="108"/>
        <v>0</v>
      </c>
      <c r="F940" s="8">
        <v>54.0</v>
      </c>
    </row>
    <row r="941" ht="15.0" customHeight="1">
      <c r="A941" s="9">
        <v>46209.0</v>
      </c>
      <c r="B941" s="8" t="s">
        <v>984</v>
      </c>
      <c r="C941" s="8" t="s">
        <v>167</v>
      </c>
      <c r="D941" s="8" t="s">
        <v>469</v>
      </c>
      <c r="E941" s="8" t="b">
        <f t="shared" si="108"/>
        <v>0</v>
      </c>
      <c r="F941" s="8">
        <v>54.0</v>
      </c>
    </row>
    <row r="942" ht="15.0" customHeight="1">
      <c r="A942" s="9">
        <v>46209.0</v>
      </c>
      <c r="B942" s="8" t="s">
        <v>1087</v>
      </c>
      <c r="C942" s="8" t="s">
        <v>167</v>
      </c>
      <c r="D942" s="8" t="s">
        <v>472</v>
      </c>
      <c r="E942" s="8" t="b">
        <f t="shared" si="108"/>
        <v>0</v>
      </c>
      <c r="F942" s="8">
        <v>54.0</v>
      </c>
    </row>
    <row r="943" ht="15.0" customHeight="1">
      <c r="A943" s="9">
        <v>46209.0</v>
      </c>
      <c r="B943" s="8" t="s">
        <v>1080</v>
      </c>
      <c r="C943" s="8" t="s">
        <v>377</v>
      </c>
      <c r="D943" s="8" t="s">
        <v>482</v>
      </c>
      <c r="E943" s="8" t="b">
        <f t="shared" si="108"/>
        <v>0</v>
      </c>
      <c r="F943" s="8">
        <v>54.0</v>
      </c>
    </row>
    <row r="944" ht="15.0" customHeight="1">
      <c r="A944" s="9">
        <v>46209.0</v>
      </c>
      <c r="B944" s="8" t="s">
        <v>1080</v>
      </c>
      <c r="C944" s="8" t="s">
        <v>167</v>
      </c>
      <c r="D944" s="8" t="s">
        <v>472</v>
      </c>
      <c r="E944" s="8" t="b">
        <f t="shared" si="108"/>
        <v>0</v>
      </c>
      <c r="F944" s="8">
        <v>54.0</v>
      </c>
    </row>
    <row r="945" ht="15.0" customHeight="1">
      <c r="A945" s="9">
        <v>46209.0</v>
      </c>
      <c r="B945" s="8" t="s">
        <v>587</v>
      </c>
      <c r="C945" s="8" t="s">
        <v>313</v>
      </c>
      <c r="D945" s="8" t="s">
        <v>313</v>
      </c>
      <c r="E945" s="8" t="b">
        <f t="shared" si="108"/>
        <v>0</v>
      </c>
      <c r="F945" s="8">
        <v>54.0</v>
      </c>
    </row>
    <row r="946" ht="15.0" customHeight="1">
      <c r="A946" s="9">
        <v>46209.0</v>
      </c>
      <c r="B946" s="8" t="s">
        <v>1004</v>
      </c>
      <c r="C946" s="8" t="s">
        <v>167</v>
      </c>
      <c r="D946" s="8" t="s">
        <v>486</v>
      </c>
      <c r="E946" s="8" t="b">
        <f t="shared" si="108"/>
        <v>0</v>
      </c>
      <c r="F946" s="8">
        <v>54.0</v>
      </c>
    </row>
    <row r="947" ht="15.0" customHeight="1">
      <c r="A947" s="9">
        <v>46209.0</v>
      </c>
      <c r="B947" s="8" t="s">
        <v>845</v>
      </c>
      <c r="C947" s="8" t="s">
        <v>313</v>
      </c>
      <c r="D947" s="8" t="s">
        <v>313</v>
      </c>
      <c r="E947" s="8" t="b">
        <f t="shared" si="108"/>
        <v>0</v>
      </c>
      <c r="F947" s="8">
        <v>54.0</v>
      </c>
    </row>
    <row r="948" ht="15.0" customHeight="1">
      <c r="A948" s="9">
        <v>46209.0</v>
      </c>
      <c r="B948" s="8" t="s">
        <v>847</v>
      </c>
      <c r="C948" s="8" t="s">
        <v>167</v>
      </c>
      <c r="D948" s="8" t="s">
        <v>486</v>
      </c>
      <c r="E948" s="8" t="b">
        <f t="shared" si="108"/>
        <v>0</v>
      </c>
      <c r="F948" s="8">
        <v>54.0</v>
      </c>
    </row>
    <row r="949" ht="15.0" customHeight="1">
      <c r="A949" s="9">
        <v>46209.0</v>
      </c>
      <c r="B949" s="8" t="s">
        <v>669</v>
      </c>
      <c r="C949" s="8" t="s">
        <v>167</v>
      </c>
      <c r="D949" s="8" t="s">
        <v>486</v>
      </c>
      <c r="E949" s="8" t="b">
        <f t="shared" si="108"/>
        <v>0</v>
      </c>
      <c r="F949" s="8">
        <v>54.0</v>
      </c>
    </row>
    <row r="950" ht="15.0" customHeight="1">
      <c r="A950" s="9">
        <v>46209.0</v>
      </c>
      <c r="B950" s="8" t="s">
        <v>852</v>
      </c>
      <c r="C950" s="8" t="s">
        <v>313</v>
      </c>
      <c r="D950" s="8" t="s">
        <v>313</v>
      </c>
      <c r="E950" s="8" t="b">
        <f t="shared" si="108"/>
        <v>0</v>
      </c>
      <c r="F950" s="8">
        <v>54.0</v>
      </c>
    </row>
    <row r="951" ht="15.0" customHeight="1">
      <c r="A951" s="9">
        <v>46209.0</v>
      </c>
      <c r="B951" s="8" t="s">
        <v>854</v>
      </c>
      <c r="C951" s="8" t="s">
        <v>167</v>
      </c>
      <c r="D951" s="8" t="s">
        <v>472</v>
      </c>
      <c r="E951" s="8" t="b">
        <f t="shared" si="108"/>
        <v>0</v>
      </c>
      <c r="F951" s="8">
        <v>54.0</v>
      </c>
    </row>
    <row r="952" ht="15.0" customHeight="1">
      <c r="A952" s="9">
        <v>46216.0</v>
      </c>
      <c r="B952" s="8" t="s">
        <v>557</v>
      </c>
      <c r="C952" s="8" t="s">
        <v>377</v>
      </c>
      <c r="D952" s="8" t="s">
        <v>482</v>
      </c>
      <c r="E952" s="8" t="b">
        <f t="shared" si="108"/>
        <v>0</v>
      </c>
      <c r="F952" s="8">
        <v>47.0</v>
      </c>
    </row>
    <row r="953" ht="15.0" customHeight="1">
      <c r="A953" s="9">
        <v>46216.0</v>
      </c>
      <c r="B953" s="8" t="s">
        <v>109</v>
      </c>
      <c r="C953" s="8" t="s">
        <v>116</v>
      </c>
      <c r="D953" s="8" t="s">
        <v>116</v>
      </c>
      <c r="E953" s="8" t="b">
        <f>TRUE()</f>
        <v>1</v>
      </c>
      <c r="F953" s="8">
        <v>47.0</v>
      </c>
    </row>
    <row r="954" ht="15.0" customHeight="1">
      <c r="A954" s="9">
        <v>46216.0</v>
      </c>
      <c r="B954" s="8" t="s">
        <v>593</v>
      </c>
      <c r="C954" s="8" t="s">
        <v>167</v>
      </c>
      <c r="D954" s="8" t="s">
        <v>472</v>
      </c>
      <c r="E954" s="8" t="b">
        <f t="shared" ref="E954:E957" si="109">FALSE()</f>
        <v>0</v>
      </c>
      <c r="F954" s="8">
        <v>47.0</v>
      </c>
    </row>
    <row r="955" ht="15.0" customHeight="1">
      <c r="A955" s="9">
        <v>46216.0</v>
      </c>
      <c r="B955" s="8" t="s">
        <v>634</v>
      </c>
      <c r="C955" s="8" t="s">
        <v>167</v>
      </c>
      <c r="D955" s="8" t="s">
        <v>486</v>
      </c>
      <c r="E955" s="8" t="b">
        <f t="shared" si="109"/>
        <v>0</v>
      </c>
      <c r="F955" s="8">
        <v>47.0</v>
      </c>
    </row>
    <row r="956" ht="15.0" customHeight="1">
      <c r="A956" s="9">
        <v>46216.0</v>
      </c>
      <c r="B956" s="8" t="s">
        <v>244</v>
      </c>
      <c r="C956" s="8" t="s">
        <v>167</v>
      </c>
      <c r="D956" s="8" t="s">
        <v>469</v>
      </c>
      <c r="E956" s="8" t="b">
        <f t="shared" si="109"/>
        <v>0</v>
      </c>
      <c r="F956" s="8">
        <v>47.0</v>
      </c>
    </row>
    <row r="957" ht="15.0" customHeight="1">
      <c r="A957" s="9">
        <v>46216.0</v>
      </c>
      <c r="B957" s="8" t="s">
        <v>709</v>
      </c>
      <c r="C957" s="8" t="s">
        <v>377</v>
      </c>
      <c r="D957" s="8" t="s">
        <v>482</v>
      </c>
      <c r="E957" s="8" t="b">
        <f t="shared" si="109"/>
        <v>0</v>
      </c>
      <c r="F957" s="8">
        <v>47.0</v>
      </c>
    </row>
    <row r="958" ht="15.0" customHeight="1">
      <c r="A958" s="9">
        <v>46216.0</v>
      </c>
      <c r="B958" s="8" t="s">
        <v>282</v>
      </c>
      <c r="C958" s="8" t="s">
        <v>54</v>
      </c>
      <c r="D958" s="8" t="s">
        <v>606</v>
      </c>
      <c r="E958" s="8" t="b">
        <f>TRUE()</f>
        <v>1</v>
      </c>
      <c r="F958" s="8">
        <v>47.0</v>
      </c>
    </row>
    <row r="959" ht="15.0" customHeight="1">
      <c r="A959" s="9">
        <v>46216.0</v>
      </c>
      <c r="B959" s="8" t="s">
        <v>269</v>
      </c>
      <c r="C959" s="8" t="s">
        <v>313</v>
      </c>
      <c r="D959" s="8" t="s">
        <v>313</v>
      </c>
      <c r="E959" s="8" t="b">
        <f t="shared" ref="E959:E967" si="110">FALSE()</f>
        <v>0</v>
      </c>
      <c r="F959" s="8">
        <v>47.0</v>
      </c>
    </row>
    <row r="960" ht="15.0" customHeight="1">
      <c r="A960" s="9">
        <v>46216.0</v>
      </c>
      <c r="B960" s="8" t="s">
        <v>770</v>
      </c>
      <c r="C960" s="8" t="s">
        <v>167</v>
      </c>
      <c r="D960" s="8" t="s">
        <v>486</v>
      </c>
      <c r="E960" s="8" t="b">
        <f t="shared" si="110"/>
        <v>0</v>
      </c>
      <c r="F960" s="8">
        <v>47.0</v>
      </c>
    </row>
    <row r="961" ht="15.0" customHeight="1">
      <c r="A961" s="9">
        <v>46216.0</v>
      </c>
      <c r="B961" s="8" t="s">
        <v>272</v>
      </c>
      <c r="C961" s="8" t="s">
        <v>167</v>
      </c>
      <c r="D961" s="8" t="s">
        <v>469</v>
      </c>
      <c r="E961" s="8" t="b">
        <f t="shared" si="110"/>
        <v>0</v>
      </c>
      <c r="F961" s="8">
        <v>47.0</v>
      </c>
    </row>
    <row r="962" ht="15.0" customHeight="1">
      <c r="A962" s="9">
        <v>46216.0</v>
      </c>
      <c r="B962" s="8" t="s">
        <v>884</v>
      </c>
      <c r="C962" s="8" t="s">
        <v>377</v>
      </c>
      <c r="D962" s="8" t="s">
        <v>482</v>
      </c>
      <c r="E962" s="8" t="b">
        <f t="shared" si="110"/>
        <v>0</v>
      </c>
      <c r="F962" s="8">
        <v>47.0</v>
      </c>
    </row>
    <row r="963" ht="15.0" customHeight="1">
      <c r="A963" s="9">
        <v>46216.0</v>
      </c>
      <c r="B963" s="8" t="s">
        <v>892</v>
      </c>
      <c r="C963" s="8" t="s">
        <v>167</v>
      </c>
      <c r="D963" s="8" t="s">
        <v>469</v>
      </c>
      <c r="E963" s="8" t="b">
        <f t="shared" si="110"/>
        <v>0</v>
      </c>
      <c r="F963" s="8">
        <v>47.0</v>
      </c>
    </row>
    <row r="964" ht="15.0" customHeight="1">
      <c r="A964" s="9">
        <v>46216.0</v>
      </c>
      <c r="B964" s="8" t="s">
        <v>840</v>
      </c>
      <c r="C964" s="8" t="s">
        <v>167</v>
      </c>
      <c r="D964" s="8" t="s">
        <v>486</v>
      </c>
      <c r="E964" s="8" t="b">
        <f t="shared" si="110"/>
        <v>0</v>
      </c>
      <c r="F964" s="8">
        <v>47.0</v>
      </c>
    </row>
    <row r="965" ht="15.0" customHeight="1">
      <c r="A965" s="9">
        <v>46216.0</v>
      </c>
      <c r="B965" s="8" t="s">
        <v>923</v>
      </c>
      <c r="C965" s="8" t="s">
        <v>167</v>
      </c>
      <c r="D965" s="8" t="s">
        <v>472</v>
      </c>
      <c r="E965" s="8" t="b">
        <f t="shared" si="110"/>
        <v>0</v>
      </c>
      <c r="F965" s="8">
        <v>47.0</v>
      </c>
    </row>
    <row r="966" ht="15.0" customHeight="1">
      <c r="A966" s="9">
        <v>46216.0</v>
      </c>
      <c r="B966" s="8" t="s">
        <v>188</v>
      </c>
      <c r="C966" s="8" t="s">
        <v>377</v>
      </c>
      <c r="D966" s="8" t="s">
        <v>482</v>
      </c>
      <c r="E966" s="8" t="b">
        <f t="shared" si="110"/>
        <v>0</v>
      </c>
      <c r="F966" s="8">
        <v>47.0</v>
      </c>
    </row>
    <row r="967" ht="15.0" customHeight="1">
      <c r="A967" s="9">
        <v>46216.0</v>
      </c>
      <c r="B967" s="8" t="s">
        <v>188</v>
      </c>
      <c r="C967" s="8" t="s">
        <v>167</v>
      </c>
      <c r="D967" s="8" t="s">
        <v>469</v>
      </c>
      <c r="E967" s="8" t="b">
        <f t="shared" si="110"/>
        <v>0</v>
      </c>
      <c r="F967" s="8">
        <v>47.0</v>
      </c>
    </row>
    <row r="968" ht="15.0" customHeight="1">
      <c r="A968" s="9">
        <v>46216.0</v>
      </c>
      <c r="B968" s="8" t="s">
        <v>231</v>
      </c>
      <c r="C968" s="8" t="s">
        <v>167</v>
      </c>
      <c r="D968" s="8" t="s">
        <v>1039</v>
      </c>
      <c r="E968" s="8" t="b">
        <f>TRUE()</f>
        <v>1</v>
      </c>
      <c r="F968" s="8">
        <v>47.0</v>
      </c>
    </row>
    <row r="969" ht="15.0" customHeight="1">
      <c r="A969" s="9">
        <v>46216.0</v>
      </c>
      <c r="B969" s="8" t="s">
        <v>559</v>
      </c>
      <c r="C969" s="8" t="s">
        <v>313</v>
      </c>
      <c r="D969" s="8" t="s">
        <v>313</v>
      </c>
      <c r="E969" s="8" t="b">
        <f t="shared" ref="E969:E986" si="111">FALSE()</f>
        <v>0</v>
      </c>
      <c r="F969" s="8">
        <v>47.0</v>
      </c>
    </row>
    <row r="970" ht="15.0" customHeight="1">
      <c r="A970" s="9">
        <v>46216.0</v>
      </c>
      <c r="B970" s="8" t="s">
        <v>1050</v>
      </c>
      <c r="C970" s="8" t="s">
        <v>377</v>
      </c>
      <c r="D970" s="8" t="s">
        <v>482</v>
      </c>
      <c r="E970" s="8" t="b">
        <f t="shared" si="111"/>
        <v>0</v>
      </c>
      <c r="F970" s="8">
        <v>47.0</v>
      </c>
    </row>
    <row r="971" ht="15.0" customHeight="1">
      <c r="A971" s="9">
        <v>46216.0</v>
      </c>
      <c r="B971" s="8" t="s">
        <v>1079</v>
      </c>
      <c r="C971" s="8" t="s">
        <v>377</v>
      </c>
      <c r="D971" s="8" t="s">
        <v>482</v>
      </c>
      <c r="E971" s="8" t="b">
        <f t="shared" si="111"/>
        <v>0</v>
      </c>
      <c r="F971" s="8">
        <v>47.0</v>
      </c>
    </row>
    <row r="972" ht="15.0" customHeight="1">
      <c r="A972" s="9">
        <v>46216.0</v>
      </c>
      <c r="B972" s="8" t="s">
        <v>1079</v>
      </c>
      <c r="C972" s="8" t="s">
        <v>167</v>
      </c>
      <c r="D972" s="8" t="s">
        <v>469</v>
      </c>
      <c r="E972" s="8" t="b">
        <f t="shared" si="111"/>
        <v>0</v>
      </c>
      <c r="F972" s="8">
        <v>47.0</v>
      </c>
    </row>
    <row r="973" ht="15.0" customHeight="1">
      <c r="A973" s="9">
        <v>46216.0</v>
      </c>
      <c r="B973" s="8" t="s">
        <v>984</v>
      </c>
      <c r="C973" s="8" t="s">
        <v>167</v>
      </c>
      <c r="D973" s="8" t="s">
        <v>469</v>
      </c>
      <c r="E973" s="8" t="b">
        <f t="shared" si="111"/>
        <v>0</v>
      </c>
      <c r="F973" s="8">
        <v>47.0</v>
      </c>
    </row>
    <row r="974" ht="15.0" customHeight="1">
      <c r="A974" s="9">
        <v>46216.0</v>
      </c>
      <c r="B974" s="8" t="s">
        <v>987</v>
      </c>
      <c r="C974" s="8" t="s">
        <v>167</v>
      </c>
      <c r="D974" s="8" t="s">
        <v>469</v>
      </c>
      <c r="E974" s="8" t="b">
        <f t="shared" si="111"/>
        <v>0</v>
      </c>
      <c r="F974" s="8">
        <v>47.0</v>
      </c>
    </row>
    <row r="975" ht="15.0" customHeight="1">
      <c r="A975" s="9">
        <v>46216.0</v>
      </c>
      <c r="B975" s="8" t="s">
        <v>1087</v>
      </c>
      <c r="C975" s="8" t="s">
        <v>167</v>
      </c>
      <c r="D975" s="8" t="s">
        <v>472</v>
      </c>
      <c r="E975" s="8" t="b">
        <f t="shared" si="111"/>
        <v>0</v>
      </c>
      <c r="F975" s="8">
        <v>47.0</v>
      </c>
    </row>
    <row r="976" ht="15.0" customHeight="1">
      <c r="A976" s="9">
        <v>46216.0</v>
      </c>
      <c r="B976" s="8" t="s">
        <v>1080</v>
      </c>
      <c r="C976" s="8" t="s">
        <v>167</v>
      </c>
      <c r="D976" s="8" t="s">
        <v>472</v>
      </c>
      <c r="E976" s="8" t="b">
        <f t="shared" si="111"/>
        <v>0</v>
      </c>
      <c r="F976" s="8">
        <v>47.0</v>
      </c>
    </row>
    <row r="977" ht="15.0" customHeight="1">
      <c r="A977" s="9">
        <v>46216.0</v>
      </c>
      <c r="B977" s="8" t="s">
        <v>587</v>
      </c>
      <c r="C977" s="8" t="s">
        <v>313</v>
      </c>
      <c r="D977" s="8" t="s">
        <v>313</v>
      </c>
      <c r="E977" s="8" t="b">
        <f t="shared" si="111"/>
        <v>0</v>
      </c>
      <c r="F977" s="8">
        <v>47.0</v>
      </c>
    </row>
    <row r="978" ht="15.0" customHeight="1">
      <c r="A978" s="9">
        <v>46216.0</v>
      </c>
      <c r="B978" s="8" t="s">
        <v>1004</v>
      </c>
      <c r="C978" s="8" t="s">
        <v>167</v>
      </c>
      <c r="D978" s="8" t="s">
        <v>486</v>
      </c>
      <c r="E978" s="8" t="b">
        <f t="shared" si="111"/>
        <v>0</v>
      </c>
      <c r="F978" s="8">
        <v>47.0</v>
      </c>
    </row>
    <row r="979" ht="15.0" customHeight="1">
      <c r="A979" s="9">
        <v>46216.0</v>
      </c>
      <c r="B979" s="8" t="s">
        <v>845</v>
      </c>
      <c r="C979" s="8" t="s">
        <v>313</v>
      </c>
      <c r="D979" s="8" t="s">
        <v>313</v>
      </c>
      <c r="E979" s="8" t="b">
        <f t="shared" si="111"/>
        <v>0</v>
      </c>
      <c r="F979" s="8">
        <v>47.0</v>
      </c>
    </row>
    <row r="980" ht="15.0" customHeight="1">
      <c r="A980" s="9">
        <v>46216.0</v>
      </c>
      <c r="B980" s="8" t="s">
        <v>847</v>
      </c>
      <c r="C980" s="8" t="s">
        <v>167</v>
      </c>
      <c r="D980" s="8" t="s">
        <v>486</v>
      </c>
      <c r="E980" s="8" t="b">
        <f t="shared" si="111"/>
        <v>0</v>
      </c>
      <c r="F980" s="8">
        <v>47.0</v>
      </c>
    </row>
    <row r="981" ht="15.0" customHeight="1">
      <c r="A981" s="9">
        <v>46216.0</v>
      </c>
      <c r="B981" s="8" t="s">
        <v>669</v>
      </c>
      <c r="C981" s="8" t="s">
        <v>167</v>
      </c>
      <c r="D981" s="8" t="s">
        <v>486</v>
      </c>
      <c r="E981" s="8" t="b">
        <f t="shared" si="111"/>
        <v>0</v>
      </c>
      <c r="F981" s="8">
        <v>47.0</v>
      </c>
    </row>
    <row r="982" ht="15.0" customHeight="1">
      <c r="A982" s="9">
        <v>46216.0</v>
      </c>
      <c r="B982" s="8" t="s">
        <v>852</v>
      </c>
      <c r="C982" s="8" t="s">
        <v>313</v>
      </c>
      <c r="D982" s="8" t="s">
        <v>313</v>
      </c>
      <c r="E982" s="8" t="b">
        <f t="shared" si="111"/>
        <v>0</v>
      </c>
      <c r="F982" s="8">
        <v>47.0</v>
      </c>
    </row>
    <row r="983" ht="15.0" customHeight="1">
      <c r="A983" s="9">
        <v>46216.0</v>
      </c>
      <c r="B983" s="8" t="s">
        <v>854</v>
      </c>
      <c r="C983" s="8" t="s">
        <v>167</v>
      </c>
      <c r="D983" s="8" t="s">
        <v>472</v>
      </c>
      <c r="E983" s="8" t="b">
        <f t="shared" si="111"/>
        <v>0</v>
      </c>
      <c r="F983" s="8">
        <v>47.0</v>
      </c>
    </row>
    <row r="984" ht="15.0" customHeight="1">
      <c r="A984" s="9">
        <v>46223.0</v>
      </c>
      <c r="B984" s="8" t="s">
        <v>1097</v>
      </c>
      <c r="C984" s="8" t="s">
        <v>377</v>
      </c>
      <c r="D984" s="8" t="s">
        <v>482</v>
      </c>
      <c r="E984" s="8" t="b">
        <f t="shared" si="111"/>
        <v>0</v>
      </c>
      <c r="F984" s="8">
        <v>41.0</v>
      </c>
    </row>
    <row r="985" ht="15.0" customHeight="1">
      <c r="A985" s="9">
        <v>46223.0</v>
      </c>
      <c r="B985" s="8" t="s">
        <v>557</v>
      </c>
      <c r="C985" s="8" t="s">
        <v>377</v>
      </c>
      <c r="D985" s="8" t="s">
        <v>482</v>
      </c>
      <c r="E985" s="8" t="b">
        <f t="shared" si="111"/>
        <v>0</v>
      </c>
      <c r="F985" s="8">
        <v>41.0</v>
      </c>
    </row>
    <row r="986" ht="15.0" customHeight="1">
      <c r="A986" s="9">
        <v>46223.0</v>
      </c>
      <c r="B986" s="8" t="s">
        <v>557</v>
      </c>
      <c r="C986" s="8" t="s">
        <v>167</v>
      </c>
      <c r="D986" s="8" t="s">
        <v>469</v>
      </c>
      <c r="E986" s="8" t="b">
        <f t="shared" si="111"/>
        <v>0</v>
      </c>
      <c r="F986" s="8">
        <v>41.0</v>
      </c>
    </row>
    <row r="987" ht="15.0" customHeight="1">
      <c r="A987" s="9">
        <v>46223.0</v>
      </c>
      <c r="B987" s="8" t="s">
        <v>109</v>
      </c>
      <c r="C987" s="8" t="s">
        <v>116</v>
      </c>
      <c r="D987" s="8" t="s">
        <v>116</v>
      </c>
      <c r="E987" s="8" t="b">
        <f>TRUE()</f>
        <v>1</v>
      </c>
      <c r="F987" s="8">
        <v>41.0</v>
      </c>
    </row>
    <row r="988" ht="15.0" customHeight="1">
      <c r="A988" s="9">
        <v>46223.0</v>
      </c>
      <c r="B988" s="8" t="s">
        <v>593</v>
      </c>
      <c r="C988" s="8" t="s">
        <v>167</v>
      </c>
      <c r="D988" s="8" t="s">
        <v>472</v>
      </c>
      <c r="E988" s="8" t="b">
        <f t="shared" ref="E988:E992" si="112">FALSE()</f>
        <v>0</v>
      </c>
      <c r="F988" s="8">
        <v>41.0</v>
      </c>
    </row>
    <row r="989" ht="15.0" customHeight="1">
      <c r="A989" s="9">
        <v>46223.0</v>
      </c>
      <c r="B989" s="8" t="s">
        <v>634</v>
      </c>
      <c r="C989" s="8" t="s">
        <v>167</v>
      </c>
      <c r="D989" s="8" t="s">
        <v>486</v>
      </c>
      <c r="E989" s="8" t="b">
        <f t="shared" si="112"/>
        <v>0</v>
      </c>
      <c r="F989" s="8">
        <v>41.0</v>
      </c>
    </row>
    <row r="990" ht="15.0" customHeight="1">
      <c r="A990" s="9">
        <v>46223.0</v>
      </c>
      <c r="B990" s="8" t="s">
        <v>244</v>
      </c>
      <c r="C990" s="8" t="s">
        <v>167</v>
      </c>
      <c r="D990" s="8" t="s">
        <v>469</v>
      </c>
      <c r="E990" s="8" t="b">
        <f t="shared" si="112"/>
        <v>0</v>
      </c>
      <c r="F990" s="8">
        <v>41.0</v>
      </c>
    </row>
    <row r="991" ht="15.0" customHeight="1">
      <c r="A991" s="9">
        <v>46223.0</v>
      </c>
      <c r="B991" s="8" t="s">
        <v>709</v>
      </c>
      <c r="C991" s="8" t="s">
        <v>377</v>
      </c>
      <c r="D991" s="8" t="s">
        <v>482</v>
      </c>
      <c r="E991" s="8" t="b">
        <f t="shared" si="112"/>
        <v>0</v>
      </c>
      <c r="F991" s="8">
        <v>41.0</v>
      </c>
    </row>
    <row r="992" ht="15.0" customHeight="1">
      <c r="A992" s="9">
        <v>46223.0</v>
      </c>
      <c r="B992" s="8" t="s">
        <v>709</v>
      </c>
      <c r="C992" s="8" t="s">
        <v>167</v>
      </c>
      <c r="D992" s="8" t="s">
        <v>469</v>
      </c>
      <c r="E992" s="8" t="b">
        <f t="shared" si="112"/>
        <v>0</v>
      </c>
      <c r="F992" s="8">
        <v>41.0</v>
      </c>
    </row>
    <row r="993" ht="15.0" customHeight="1">
      <c r="A993" s="9">
        <v>46223.0</v>
      </c>
      <c r="B993" s="8" t="s">
        <v>282</v>
      </c>
      <c r="C993" s="8" t="s">
        <v>54</v>
      </c>
      <c r="D993" s="8" t="s">
        <v>606</v>
      </c>
      <c r="E993" s="8" t="b">
        <f>TRUE()</f>
        <v>1</v>
      </c>
      <c r="F993" s="8">
        <v>41.0</v>
      </c>
    </row>
    <row r="994" ht="15.0" customHeight="1">
      <c r="A994" s="9">
        <v>46223.0</v>
      </c>
      <c r="B994" s="8" t="s">
        <v>734</v>
      </c>
      <c r="C994" s="8" t="s">
        <v>377</v>
      </c>
      <c r="D994" s="8" t="s">
        <v>482</v>
      </c>
      <c r="E994" s="8" t="b">
        <f t="shared" ref="E994:E1003" si="113">FALSE()</f>
        <v>0</v>
      </c>
      <c r="F994" s="8">
        <v>41.0</v>
      </c>
    </row>
    <row r="995" ht="15.0" customHeight="1">
      <c r="A995" s="9">
        <v>46223.0</v>
      </c>
      <c r="B995" s="8" t="s">
        <v>269</v>
      </c>
      <c r="C995" s="8" t="s">
        <v>313</v>
      </c>
      <c r="D995" s="8" t="s">
        <v>313</v>
      </c>
      <c r="E995" s="8" t="b">
        <f t="shared" si="113"/>
        <v>0</v>
      </c>
      <c r="F995" s="8">
        <v>41.0</v>
      </c>
    </row>
    <row r="996" ht="15.0" customHeight="1">
      <c r="A996" s="9">
        <v>46223.0</v>
      </c>
      <c r="B996" s="8" t="s">
        <v>770</v>
      </c>
      <c r="C996" s="8" t="s">
        <v>167</v>
      </c>
      <c r="D996" s="8" t="s">
        <v>486</v>
      </c>
      <c r="E996" s="8" t="b">
        <f t="shared" si="113"/>
        <v>0</v>
      </c>
      <c r="F996" s="8">
        <v>41.0</v>
      </c>
    </row>
    <row r="997" ht="15.0" customHeight="1">
      <c r="A997" s="9">
        <v>46223.0</v>
      </c>
      <c r="B997" s="8" t="s">
        <v>272</v>
      </c>
      <c r="C997" s="8" t="s">
        <v>167</v>
      </c>
      <c r="D997" s="8" t="s">
        <v>469</v>
      </c>
      <c r="E997" s="8" t="b">
        <f t="shared" si="113"/>
        <v>0</v>
      </c>
      <c r="F997" s="8">
        <v>41.0</v>
      </c>
    </row>
    <row r="998" ht="15.0" customHeight="1">
      <c r="A998" s="9">
        <v>46223.0</v>
      </c>
      <c r="B998" s="8" t="s">
        <v>832</v>
      </c>
      <c r="C998" s="8" t="s">
        <v>167</v>
      </c>
      <c r="D998" s="8" t="s">
        <v>486</v>
      </c>
      <c r="E998" s="8" t="b">
        <f t="shared" si="113"/>
        <v>0</v>
      </c>
      <c r="F998" s="8">
        <v>41.0</v>
      </c>
    </row>
    <row r="999" ht="15.0" customHeight="1">
      <c r="A999" s="9">
        <v>46223.0</v>
      </c>
      <c r="B999" s="8" t="s">
        <v>884</v>
      </c>
      <c r="C999" s="8" t="s">
        <v>167</v>
      </c>
      <c r="D999" s="8" t="s">
        <v>469</v>
      </c>
      <c r="E999" s="8" t="b">
        <f t="shared" si="113"/>
        <v>0</v>
      </c>
      <c r="F999" s="8">
        <v>41.0</v>
      </c>
    </row>
    <row r="1000" ht="15.0" customHeight="1">
      <c r="A1000" s="9">
        <v>46223.0</v>
      </c>
      <c r="B1000" s="8" t="s">
        <v>892</v>
      </c>
      <c r="C1000" s="8" t="s">
        <v>167</v>
      </c>
      <c r="D1000" s="8" t="s">
        <v>469</v>
      </c>
      <c r="E1000" s="8" t="b">
        <f t="shared" si="113"/>
        <v>0</v>
      </c>
      <c r="F1000" s="8">
        <v>41.0</v>
      </c>
    </row>
    <row r="1001" ht="15.0" customHeight="1">
      <c r="A1001" s="9">
        <v>46223.0</v>
      </c>
      <c r="B1001" s="8" t="s">
        <v>914</v>
      </c>
      <c r="C1001" s="8" t="s">
        <v>167</v>
      </c>
      <c r="D1001" s="8" t="s">
        <v>469</v>
      </c>
      <c r="E1001" s="8" t="b">
        <f t="shared" si="113"/>
        <v>0</v>
      </c>
      <c r="F1001" s="8">
        <v>41.0</v>
      </c>
    </row>
    <row r="1002" ht="15.0" customHeight="1">
      <c r="A1002" s="9">
        <v>46223.0</v>
      </c>
      <c r="B1002" s="8" t="s">
        <v>779</v>
      </c>
      <c r="C1002" s="8" t="s">
        <v>377</v>
      </c>
      <c r="D1002" s="8" t="s">
        <v>482</v>
      </c>
      <c r="E1002" s="8" t="b">
        <f t="shared" si="113"/>
        <v>0</v>
      </c>
      <c r="F1002" s="8">
        <v>41.0</v>
      </c>
    </row>
    <row r="1003" ht="15.0" customHeight="1">
      <c r="A1003" s="9">
        <v>46223.0</v>
      </c>
      <c r="B1003" s="8" t="s">
        <v>779</v>
      </c>
      <c r="C1003" s="8" t="s">
        <v>167</v>
      </c>
      <c r="D1003" s="8" t="s">
        <v>472</v>
      </c>
      <c r="E1003" s="8" t="b">
        <f t="shared" si="113"/>
        <v>0</v>
      </c>
      <c r="F1003" s="8">
        <v>41.0</v>
      </c>
    </row>
    <row r="1004" ht="15.0" customHeight="1">
      <c r="A1004" s="9">
        <v>46223.0</v>
      </c>
      <c r="B1004" s="8" t="s">
        <v>188</v>
      </c>
      <c r="C1004" s="8" t="s">
        <v>167</v>
      </c>
      <c r="D1004" s="8" t="s">
        <v>1039</v>
      </c>
      <c r="E1004" s="8" t="b">
        <f>TRUE()</f>
        <v>1</v>
      </c>
      <c r="F1004" s="8">
        <v>41.0</v>
      </c>
    </row>
    <row r="1005" ht="15.0" customHeight="1">
      <c r="A1005" s="9">
        <v>46223.0</v>
      </c>
      <c r="B1005" s="8" t="s">
        <v>231</v>
      </c>
      <c r="C1005" s="8" t="s">
        <v>167</v>
      </c>
      <c r="D1005" s="8" t="s">
        <v>1039</v>
      </c>
      <c r="E1005" s="8" t="b">
        <f t="shared" ref="E1005:E1021" si="114">FALSE()</f>
        <v>0</v>
      </c>
      <c r="F1005" s="8">
        <v>41.0</v>
      </c>
    </row>
    <row r="1006" ht="15.0" customHeight="1">
      <c r="A1006" s="9">
        <v>46223.0</v>
      </c>
      <c r="B1006" s="8" t="s">
        <v>559</v>
      </c>
      <c r="C1006" s="8" t="s">
        <v>313</v>
      </c>
      <c r="D1006" s="8" t="s">
        <v>313</v>
      </c>
      <c r="E1006" s="8" t="b">
        <f t="shared" si="114"/>
        <v>0</v>
      </c>
      <c r="F1006" s="8">
        <v>41.0</v>
      </c>
    </row>
    <row r="1007" ht="15.0" customHeight="1">
      <c r="A1007" s="9">
        <v>46223.0</v>
      </c>
      <c r="B1007" s="8" t="s">
        <v>1050</v>
      </c>
      <c r="C1007" s="8" t="s">
        <v>167</v>
      </c>
      <c r="D1007" s="8" t="s">
        <v>469</v>
      </c>
      <c r="E1007" s="8" t="b">
        <f t="shared" si="114"/>
        <v>0</v>
      </c>
      <c r="F1007" s="8">
        <v>41.0</v>
      </c>
    </row>
    <row r="1008" ht="15.0" customHeight="1">
      <c r="A1008" s="9">
        <v>46223.0</v>
      </c>
      <c r="B1008" s="8" t="s">
        <v>967</v>
      </c>
      <c r="C1008" s="8" t="s">
        <v>377</v>
      </c>
      <c r="D1008" s="8" t="s">
        <v>482</v>
      </c>
      <c r="E1008" s="8" t="b">
        <f t="shared" si="114"/>
        <v>0</v>
      </c>
      <c r="F1008" s="8">
        <v>41.0</v>
      </c>
    </row>
    <row r="1009" ht="15.0" customHeight="1">
      <c r="A1009" s="9">
        <v>46223.0</v>
      </c>
      <c r="B1009" s="8" t="s">
        <v>967</v>
      </c>
      <c r="C1009" s="8" t="s">
        <v>167</v>
      </c>
      <c r="D1009" s="8" t="s">
        <v>472</v>
      </c>
      <c r="E1009" s="8" t="b">
        <f t="shared" si="114"/>
        <v>0</v>
      </c>
      <c r="F1009" s="8">
        <v>41.0</v>
      </c>
    </row>
    <row r="1010" ht="15.0" customHeight="1">
      <c r="A1010" s="9">
        <v>46223.0</v>
      </c>
      <c r="B1010" s="8" t="s">
        <v>1079</v>
      </c>
      <c r="C1010" s="8" t="s">
        <v>167</v>
      </c>
      <c r="D1010" s="8" t="s">
        <v>469</v>
      </c>
      <c r="E1010" s="8" t="b">
        <f t="shared" si="114"/>
        <v>0</v>
      </c>
      <c r="F1010" s="8">
        <v>41.0</v>
      </c>
    </row>
    <row r="1011" ht="15.0" customHeight="1">
      <c r="A1011" s="9">
        <v>46223.0</v>
      </c>
      <c r="B1011" s="8" t="s">
        <v>984</v>
      </c>
      <c r="C1011" s="8" t="s">
        <v>167</v>
      </c>
      <c r="D1011" s="8" t="s">
        <v>469</v>
      </c>
      <c r="E1011" s="8" t="b">
        <f t="shared" si="114"/>
        <v>0</v>
      </c>
      <c r="F1011" s="8">
        <v>41.0</v>
      </c>
    </row>
    <row r="1012" ht="15.0" customHeight="1">
      <c r="A1012" s="9">
        <v>46223.0</v>
      </c>
      <c r="B1012" s="8" t="s">
        <v>987</v>
      </c>
      <c r="C1012" s="8" t="s">
        <v>167</v>
      </c>
      <c r="D1012" s="8" t="s">
        <v>469</v>
      </c>
      <c r="E1012" s="8" t="b">
        <f t="shared" si="114"/>
        <v>0</v>
      </c>
      <c r="F1012" s="8">
        <v>41.0</v>
      </c>
    </row>
    <row r="1013" ht="15.0" customHeight="1">
      <c r="A1013" s="9">
        <v>46223.0</v>
      </c>
      <c r="B1013" s="8" t="s">
        <v>1108</v>
      </c>
      <c r="C1013" s="8" t="s">
        <v>167</v>
      </c>
      <c r="D1013" s="8" t="s">
        <v>472</v>
      </c>
      <c r="E1013" s="8" t="b">
        <f t="shared" si="114"/>
        <v>0</v>
      </c>
      <c r="F1013" s="8">
        <v>41.0</v>
      </c>
    </row>
    <row r="1014" ht="15.0" customHeight="1">
      <c r="A1014" s="9">
        <v>46223.0</v>
      </c>
      <c r="B1014" s="8" t="s">
        <v>1080</v>
      </c>
      <c r="C1014" s="8" t="s">
        <v>377</v>
      </c>
      <c r="D1014" s="8" t="s">
        <v>482</v>
      </c>
      <c r="E1014" s="8" t="b">
        <f t="shared" si="114"/>
        <v>0</v>
      </c>
      <c r="F1014" s="8">
        <v>41.0</v>
      </c>
    </row>
    <row r="1015" ht="15.0" customHeight="1">
      <c r="A1015" s="9">
        <v>46223.0</v>
      </c>
      <c r="B1015" s="8" t="s">
        <v>587</v>
      </c>
      <c r="C1015" s="8" t="s">
        <v>313</v>
      </c>
      <c r="D1015" s="8" t="s">
        <v>313</v>
      </c>
      <c r="E1015" s="8" t="b">
        <f t="shared" si="114"/>
        <v>0</v>
      </c>
      <c r="F1015" s="8">
        <v>41.0</v>
      </c>
    </row>
    <row r="1016" ht="15.0" customHeight="1">
      <c r="A1016" s="9">
        <v>46223.0</v>
      </c>
      <c r="B1016" s="8" t="s">
        <v>1004</v>
      </c>
      <c r="C1016" s="8" t="s">
        <v>167</v>
      </c>
      <c r="D1016" s="8" t="s">
        <v>486</v>
      </c>
      <c r="E1016" s="8" t="b">
        <f t="shared" si="114"/>
        <v>0</v>
      </c>
      <c r="F1016" s="8">
        <v>41.0</v>
      </c>
    </row>
    <row r="1017" ht="15.0" customHeight="1">
      <c r="A1017" s="9">
        <v>46223.0</v>
      </c>
      <c r="B1017" s="8" t="s">
        <v>845</v>
      </c>
      <c r="C1017" s="8" t="s">
        <v>313</v>
      </c>
      <c r="D1017" s="8" t="s">
        <v>313</v>
      </c>
      <c r="E1017" s="8" t="b">
        <f t="shared" si="114"/>
        <v>0</v>
      </c>
      <c r="F1017" s="8">
        <v>41.0</v>
      </c>
    </row>
    <row r="1018" ht="15.0" customHeight="1">
      <c r="A1018" s="9">
        <v>46223.0</v>
      </c>
      <c r="B1018" s="8" t="s">
        <v>669</v>
      </c>
      <c r="C1018" s="8" t="s">
        <v>167</v>
      </c>
      <c r="D1018" s="8" t="s">
        <v>486</v>
      </c>
      <c r="E1018" s="8" t="b">
        <f t="shared" si="114"/>
        <v>0</v>
      </c>
      <c r="F1018" s="8">
        <v>41.0</v>
      </c>
    </row>
    <row r="1019" ht="15.0" customHeight="1">
      <c r="A1019" s="9">
        <v>46223.0</v>
      </c>
      <c r="B1019" s="8" t="s">
        <v>852</v>
      </c>
      <c r="C1019" s="8" t="s">
        <v>313</v>
      </c>
      <c r="D1019" s="8" t="s">
        <v>313</v>
      </c>
      <c r="E1019" s="8" t="b">
        <f t="shared" si="114"/>
        <v>0</v>
      </c>
      <c r="F1019" s="8">
        <v>41.0</v>
      </c>
    </row>
    <row r="1020" ht="15.0" customHeight="1">
      <c r="A1020" s="9">
        <v>46230.0</v>
      </c>
      <c r="B1020" s="8" t="s">
        <v>544</v>
      </c>
      <c r="C1020" s="8" t="s">
        <v>167</v>
      </c>
      <c r="D1020" s="8" t="s">
        <v>472</v>
      </c>
      <c r="E1020" s="8" t="b">
        <f t="shared" si="114"/>
        <v>0</v>
      </c>
      <c r="F1020" s="8">
        <v>36.0</v>
      </c>
    </row>
    <row r="1021" ht="15.0" customHeight="1">
      <c r="A1021" s="9">
        <v>46230.0</v>
      </c>
      <c r="B1021" s="8" t="s">
        <v>557</v>
      </c>
      <c r="C1021" s="8" t="s">
        <v>167</v>
      </c>
      <c r="D1021" s="8" t="s">
        <v>469</v>
      </c>
      <c r="E1021" s="8" t="b">
        <f t="shared" si="114"/>
        <v>0</v>
      </c>
      <c r="F1021" s="8">
        <v>36.0</v>
      </c>
    </row>
    <row r="1022" ht="15.0" customHeight="1">
      <c r="A1022" s="9">
        <v>46230.0</v>
      </c>
      <c r="B1022" s="8" t="s">
        <v>109</v>
      </c>
      <c r="C1022" s="8" t="s">
        <v>116</v>
      </c>
      <c r="D1022" s="8" t="s">
        <v>116</v>
      </c>
      <c r="E1022" s="8" t="b">
        <f>TRUE()</f>
        <v>1</v>
      </c>
      <c r="F1022" s="8">
        <v>36.0</v>
      </c>
    </row>
    <row r="1023" ht="15.0" customHeight="1">
      <c r="A1023" s="9">
        <v>46230.0</v>
      </c>
      <c r="B1023" s="8" t="s">
        <v>634</v>
      </c>
      <c r="C1023" s="8" t="s">
        <v>167</v>
      </c>
      <c r="D1023" s="8" t="s">
        <v>486</v>
      </c>
      <c r="E1023" s="8" t="b">
        <f t="shared" ref="E1023:E1025" si="115">FALSE()</f>
        <v>0</v>
      </c>
      <c r="F1023" s="8">
        <v>36.0</v>
      </c>
    </row>
    <row r="1024" ht="15.0" customHeight="1">
      <c r="A1024" s="9">
        <v>46230.0</v>
      </c>
      <c r="B1024" s="8" t="s">
        <v>244</v>
      </c>
      <c r="C1024" s="8" t="s">
        <v>167</v>
      </c>
      <c r="D1024" s="8" t="s">
        <v>469</v>
      </c>
      <c r="E1024" s="8" t="b">
        <f t="shared" si="115"/>
        <v>0</v>
      </c>
      <c r="F1024" s="8">
        <v>36.0</v>
      </c>
    </row>
    <row r="1025" ht="15.0" customHeight="1">
      <c r="A1025" s="9">
        <v>46230.0</v>
      </c>
      <c r="B1025" s="8" t="s">
        <v>709</v>
      </c>
      <c r="C1025" s="8" t="s">
        <v>167</v>
      </c>
      <c r="D1025" s="8" t="s">
        <v>469</v>
      </c>
      <c r="E1025" s="8" t="b">
        <f t="shared" si="115"/>
        <v>0</v>
      </c>
      <c r="F1025" s="8">
        <v>36.0</v>
      </c>
    </row>
    <row r="1026" ht="15.0" customHeight="1">
      <c r="A1026" s="9">
        <v>46230.0</v>
      </c>
      <c r="B1026" s="8" t="s">
        <v>282</v>
      </c>
      <c r="C1026" s="8" t="s">
        <v>54</v>
      </c>
      <c r="D1026" s="8" t="s">
        <v>606</v>
      </c>
      <c r="E1026" s="8" t="b">
        <f>TRUE()</f>
        <v>1</v>
      </c>
      <c r="F1026" s="8">
        <v>36.0</v>
      </c>
    </row>
    <row r="1027" ht="15.0" customHeight="1">
      <c r="A1027" s="9">
        <v>46230.0</v>
      </c>
      <c r="B1027" s="8" t="s">
        <v>728</v>
      </c>
      <c r="C1027" s="8" t="s">
        <v>167</v>
      </c>
      <c r="D1027" s="8" t="s">
        <v>472</v>
      </c>
      <c r="E1027" s="8" t="b">
        <f t="shared" ref="E1027:E1029" si="116">FALSE()</f>
        <v>0</v>
      </c>
      <c r="F1027" s="8">
        <v>36.0</v>
      </c>
    </row>
    <row r="1028" ht="15.0" customHeight="1">
      <c r="A1028" s="9">
        <v>46230.0</v>
      </c>
      <c r="B1028" s="8" t="s">
        <v>269</v>
      </c>
      <c r="C1028" s="8" t="s">
        <v>313</v>
      </c>
      <c r="D1028" s="8" t="s">
        <v>313</v>
      </c>
      <c r="E1028" s="8" t="b">
        <f t="shared" si="116"/>
        <v>0</v>
      </c>
      <c r="F1028" s="8">
        <v>36.0</v>
      </c>
    </row>
    <row r="1029" ht="15.0" customHeight="1">
      <c r="A1029" s="9">
        <v>46230.0</v>
      </c>
      <c r="B1029" s="8" t="s">
        <v>770</v>
      </c>
      <c r="C1029" s="8" t="s">
        <v>167</v>
      </c>
      <c r="D1029" s="8" t="s">
        <v>486</v>
      </c>
      <c r="E1029" s="8" t="b">
        <f t="shared" si="116"/>
        <v>0</v>
      </c>
      <c r="F1029" s="8">
        <v>36.0</v>
      </c>
    </row>
    <row r="1030" ht="15.0" customHeight="1">
      <c r="A1030" s="9">
        <v>46230.0</v>
      </c>
      <c r="B1030" s="8" t="s">
        <v>272</v>
      </c>
      <c r="C1030" s="8" t="s">
        <v>167</v>
      </c>
      <c r="D1030" s="8" t="s">
        <v>469</v>
      </c>
      <c r="E1030" s="8" t="b">
        <f>TRUE()</f>
        <v>1</v>
      </c>
      <c r="F1030" s="8">
        <v>36.0</v>
      </c>
    </row>
    <row r="1031" ht="15.0" customHeight="1">
      <c r="A1031" s="9">
        <v>46230.0</v>
      </c>
      <c r="B1031" s="8" t="s">
        <v>823</v>
      </c>
      <c r="C1031" s="8" t="s">
        <v>167</v>
      </c>
      <c r="D1031" s="8" t="s">
        <v>486</v>
      </c>
      <c r="E1031" s="8" t="b">
        <f t="shared" ref="E1031:E1040" si="117">FALSE()</f>
        <v>0</v>
      </c>
      <c r="F1031" s="8">
        <v>36.0</v>
      </c>
    </row>
    <row r="1032" ht="15.0" customHeight="1">
      <c r="A1032" s="9">
        <v>46230.0</v>
      </c>
      <c r="B1032" s="8" t="s">
        <v>884</v>
      </c>
      <c r="C1032" s="8" t="s">
        <v>377</v>
      </c>
      <c r="D1032" s="8" t="s">
        <v>482</v>
      </c>
      <c r="E1032" s="8" t="b">
        <f t="shared" si="117"/>
        <v>0</v>
      </c>
      <c r="F1032" s="8">
        <v>36.0</v>
      </c>
    </row>
    <row r="1033" ht="15.0" customHeight="1">
      <c r="A1033" s="9">
        <v>46230.0</v>
      </c>
      <c r="B1033" s="8" t="s">
        <v>884</v>
      </c>
      <c r="C1033" s="8" t="s">
        <v>167</v>
      </c>
      <c r="D1033" s="8" t="s">
        <v>469</v>
      </c>
      <c r="E1033" s="8" t="b">
        <f t="shared" si="117"/>
        <v>0</v>
      </c>
      <c r="F1033" s="8">
        <v>36.0</v>
      </c>
    </row>
    <row r="1034" ht="15.0" customHeight="1">
      <c r="A1034" s="9">
        <v>46230.0</v>
      </c>
      <c r="B1034" s="8" t="s">
        <v>914</v>
      </c>
      <c r="C1034" s="8" t="s">
        <v>167</v>
      </c>
      <c r="D1034" s="8" t="s">
        <v>469</v>
      </c>
      <c r="E1034" s="8" t="b">
        <f t="shared" si="117"/>
        <v>0</v>
      </c>
      <c r="F1034" s="8">
        <v>36.0</v>
      </c>
    </row>
    <row r="1035" ht="15.0" customHeight="1">
      <c r="A1035" s="9">
        <v>46230.0</v>
      </c>
      <c r="B1035" s="8" t="s">
        <v>779</v>
      </c>
      <c r="C1035" s="8" t="s">
        <v>167</v>
      </c>
      <c r="D1035" s="8" t="s">
        <v>472</v>
      </c>
      <c r="E1035" s="8" t="b">
        <f t="shared" si="117"/>
        <v>0</v>
      </c>
      <c r="F1035" s="8">
        <v>36.0</v>
      </c>
    </row>
    <row r="1036" ht="15.0" customHeight="1">
      <c r="A1036" s="9">
        <v>46230.0</v>
      </c>
      <c r="B1036" s="8" t="s">
        <v>779</v>
      </c>
      <c r="C1036" s="8" t="s">
        <v>167</v>
      </c>
      <c r="D1036" s="8" t="s">
        <v>472</v>
      </c>
      <c r="E1036" s="8" t="b">
        <f t="shared" si="117"/>
        <v>0</v>
      </c>
      <c r="F1036" s="8">
        <v>36.0</v>
      </c>
    </row>
    <row r="1037" ht="15.0" customHeight="1">
      <c r="A1037" s="9">
        <v>46230.0</v>
      </c>
      <c r="B1037" s="8" t="s">
        <v>188</v>
      </c>
      <c r="C1037" s="8" t="s">
        <v>167</v>
      </c>
      <c r="D1037" s="8" t="s">
        <v>1039</v>
      </c>
      <c r="E1037" s="8" t="b">
        <f t="shared" si="117"/>
        <v>0</v>
      </c>
      <c r="F1037" s="8">
        <v>36.0</v>
      </c>
    </row>
    <row r="1038" ht="15.0" customHeight="1">
      <c r="A1038" s="9">
        <v>46230.0</v>
      </c>
      <c r="B1038" s="8" t="s">
        <v>231</v>
      </c>
      <c r="C1038" s="8" t="s">
        <v>167</v>
      </c>
      <c r="D1038" s="8" t="s">
        <v>1039</v>
      </c>
      <c r="E1038" s="8" t="b">
        <f t="shared" si="117"/>
        <v>0</v>
      </c>
      <c r="F1038" s="8">
        <v>36.0</v>
      </c>
    </row>
    <row r="1039" ht="15.0" customHeight="1">
      <c r="A1039" s="9">
        <v>46230.0</v>
      </c>
      <c r="B1039" s="8" t="s">
        <v>559</v>
      </c>
      <c r="C1039" s="8" t="s">
        <v>313</v>
      </c>
      <c r="D1039" s="8" t="s">
        <v>313</v>
      </c>
      <c r="E1039" s="8" t="b">
        <f t="shared" si="117"/>
        <v>0</v>
      </c>
      <c r="F1039" s="8">
        <v>36.0</v>
      </c>
    </row>
    <row r="1040" ht="15.0" customHeight="1">
      <c r="A1040" s="9">
        <v>46230.0</v>
      </c>
      <c r="B1040" s="8" t="s">
        <v>791</v>
      </c>
      <c r="C1040" s="8" t="s">
        <v>167</v>
      </c>
      <c r="D1040" s="8" t="s">
        <v>472</v>
      </c>
      <c r="E1040" s="8" t="b">
        <f t="shared" si="117"/>
        <v>0</v>
      </c>
      <c r="F1040" s="8">
        <v>36.0</v>
      </c>
    </row>
    <row r="1041" ht="15.0" customHeight="1">
      <c r="A1041" s="9">
        <v>46230.0</v>
      </c>
      <c r="B1041" s="8" t="s">
        <v>158</v>
      </c>
      <c r="C1041" s="8" t="s">
        <v>167</v>
      </c>
      <c r="D1041" s="8" t="s">
        <v>472</v>
      </c>
      <c r="E1041" s="8" t="b">
        <f>TRUE()</f>
        <v>1</v>
      </c>
      <c r="F1041" s="8">
        <v>36.0</v>
      </c>
    </row>
    <row r="1042" ht="15.0" customHeight="1">
      <c r="A1042" s="9">
        <v>46230.0</v>
      </c>
      <c r="B1042" s="8" t="s">
        <v>1050</v>
      </c>
      <c r="C1042" s="8" t="s">
        <v>167</v>
      </c>
      <c r="D1042" s="8" t="s">
        <v>469</v>
      </c>
      <c r="E1042" s="8" t="b">
        <f t="shared" ref="E1042:E1073" si="118">FALSE()</f>
        <v>0</v>
      </c>
      <c r="F1042" s="8">
        <v>36.0</v>
      </c>
    </row>
    <row r="1043" ht="15.0" customHeight="1">
      <c r="A1043" s="9">
        <v>46230.0</v>
      </c>
      <c r="B1043" s="8" t="s">
        <v>967</v>
      </c>
      <c r="C1043" s="8" t="s">
        <v>167</v>
      </c>
      <c r="D1043" s="8" t="s">
        <v>472</v>
      </c>
      <c r="E1043" s="8" t="b">
        <f t="shared" si="118"/>
        <v>0</v>
      </c>
      <c r="F1043" s="8">
        <v>36.0</v>
      </c>
    </row>
    <row r="1044" ht="15.0" customHeight="1">
      <c r="A1044" s="9">
        <v>46230.0</v>
      </c>
      <c r="B1044" s="8" t="s">
        <v>1079</v>
      </c>
      <c r="C1044" s="8" t="s">
        <v>377</v>
      </c>
      <c r="D1044" s="8" t="s">
        <v>482</v>
      </c>
      <c r="E1044" s="8" t="b">
        <f t="shared" si="118"/>
        <v>0</v>
      </c>
      <c r="F1044" s="8">
        <v>36.0</v>
      </c>
    </row>
    <row r="1045" ht="15.0" customHeight="1">
      <c r="A1045" s="9">
        <v>46230.0</v>
      </c>
      <c r="B1045" s="8" t="s">
        <v>1079</v>
      </c>
      <c r="C1045" s="8" t="s">
        <v>167</v>
      </c>
      <c r="D1045" s="8" t="s">
        <v>469</v>
      </c>
      <c r="E1045" s="8" t="b">
        <f t="shared" si="118"/>
        <v>0</v>
      </c>
      <c r="F1045" s="8">
        <v>36.0</v>
      </c>
    </row>
    <row r="1046" ht="15.0" customHeight="1">
      <c r="A1046" s="9">
        <v>46230.0</v>
      </c>
      <c r="B1046" s="8" t="s">
        <v>984</v>
      </c>
      <c r="C1046" s="8" t="s">
        <v>167</v>
      </c>
      <c r="D1046" s="8" t="s">
        <v>469</v>
      </c>
      <c r="E1046" s="8" t="b">
        <f t="shared" si="118"/>
        <v>0</v>
      </c>
      <c r="F1046" s="8">
        <v>36.0</v>
      </c>
    </row>
    <row r="1047" ht="15.0" customHeight="1">
      <c r="A1047" s="9">
        <v>46230.0</v>
      </c>
      <c r="B1047" s="8" t="s">
        <v>987</v>
      </c>
      <c r="C1047" s="8" t="s">
        <v>167</v>
      </c>
      <c r="D1047" s="8" t="s">
        <v>469</v>
      </c>
      <c r="E1047" s="8" t="b">
        <f t="shared" si="118"/>
        <v>0</v>
      </c>
      <c r="F1047" s="8">
        <v>36.0</v>
      </c>
    </row>
    <row r="1048" ht="15.0" customHeight="1">
      <c r="A1048" s="9">
        <v>46230.0</v>
      </c>
      <c r="B1048" s="8" t="s">
        <v>1108</v>
      </c>
      <c r="C1048" s="8" t="s">
        <v>377</v>
      </c>
      <c r="D1048" s="8" t="s">
        <v>482</v>
      </c>
      <c r="E1048" s="8" t="b">
        <f t="shared" si="118"/>
        <v>0</v>
      </c>
      <c r="F1048" s="8">
        <v>36.0</v>
      </c>
    </row>
    <row r="1049" ht="15.0" customHeight="1">
      <c r="A1049" s="9">
        <v>46230.0</v>
      </c>
      <c r="B1049" s="8" t="s">
        <v>1108</v>
      </c>
      <c r="C1049" s="8" t="s">
        <v>167</v>
      </c>
      <c r="D1049" s="8" t="s">
        <v>472</v>
      </c>
      <c r="E1049" s="8" t="b">
        <f t="shared" si="118"/>
        <v>0</v>
      </c>
      <c r="F1049" s="8">
        <v>36.0</v>
      </c>
    </row>
    <row r="1050" ht="15.0" customHeight="1">
      <c r="A1050" s="9">
        <v>46230.0</v>
      </c>
      <c r="B1050" s="8" t="s">
        <v>587</v>
      </c>
      <c r="C1050" s="8" t="s">
        <v>313</v>
      </c>
      <c r="D1050" s="8" t="s">
        <v>313</v>
      </c>
      <c r="E1050" s="8" t="b">
        <f t="shared" si="118"/>
        <v>0</v>
      </c>
      <c r="F1050" s="8">
        <v>36.0</v>
      </c>
    </row>
    <row r="1051" ht="15.0" customHeight="1">
      <c r="A1051" s="9">
        <v>46230.0</v>
      </c>
      <c r="B1051" s="8" t="s">
        <v>1004</v>
      </c>
      <c r="C1051" s="8" t="s">
        <v>167</v>
      </c>
      <c r="D1051" s="8" t="s">
        <v>486</v>
      </c>
      <c r="E1051" s="8" t="b">
        <f t="shared" si="118"/>
        <v>0</v>
      </c>
      <c r="F1051" s="8">
        <v>36.0</v>
      </c>
    </row>
    <row r="1052" ht="15.0" customHeight="1">
      <c r="A1052" s="9">
        <v>46230.0</v>
      </c>
      <c r="B1052" s="8" t="s">
        <v>845</v>
      </c>
      <c r="C1052" s="8" t="s">
        <v>313</v>
      </c>
      <c r="D1052" s="8" t="s">
        <v>313</v>
      </c>
      <c r="E1052" s="8" t="b">
        <f t="shared" si="118"/>
        <v>0</v>
      </c>
      <c r="F1052" s="8">
        <v>36.0</v>
      </c>
    </row>
    <row r="1053" ht="15.0" customHeight="1">
      <c r="A1053" s="9">
        <v>46230.0</v>
      </c>
      <c r="B1053" s="8" t="s">
        <v>669</v>
      </c>
      <c r="C1053" s="8" t="s">
        <v>167</v>
      </c>
      <c r="D1053" s="8" t="s">
        <v>486</v>
      </c>
      <c r="E1053" s="8" t="b">
        <f t="shared" si="118"/>
        <v>0</v>
      </c>
      <c r="F1053" s="8">
        <v>36.0</v>
      </c>
    </row>
    <row r="1054" ht="15.0" customHeight="1">
      <c r="A1054" s="9">
        <v>46230.0</v>
      </c>
      <c r="B1054" s="8" t="s">
        <v>852</v>
      </c>
      <c r="C1054" s="8" t="s">
        <v>313</v>
      </c>
      <c r="D1054" s="8" t="s">
        <v>313</v>
      </c>
      <c r="E1054" s="8" t="b">
        <f t="shared" si="118"/>
        <v>0</v>
      </c>
      <c r="F1054" s="8">
        <v>36.0</v>
      </c>
    </row>
    <row r="1055" ht="15.0" customHeight="1">
      <c r="A1055" s="9">
        <v>46230.0</v>
      </c>
      <c r="B1055" s="8" t="s">
        <v>1112</v>
      </c>
      <c r="C1055" s="8" t="s">
        <v>377</v>
      </c>
      <c r="D1055" s="8" t="s">
        <v>482</v>
      </c>
      <c r="E1055" s="8" t="b">
        <f t="shared" si="118"/>
        <v>0</v>
      </c>
      <c r="F1055" s="8">
        <v>36.0</v>
      </c>
    </row>
    <row r="1056" ht="15.0" customHeight="1">
      <c r="A1056" s="9">
        <v>46230.0</v>
      </c>
      <c r="B1056" s="8" t="s">
        <v>1113</v>
      </c>
      <c r="C1056" s="8" t="s">
        <v>167</v>
      </c>
      <c r="D1056" s="8" t="s">
        <v>469</v>
      </c>
      <c r="E1056" s="8" t="b">
        <f t="shared" si="118"/>
        <v>0</v>
      </c>
      <c r="F1056" s="8">
        <v>36.0</v>
      </c>
    </row>
    <row r="1057" ht="15.0" customHeight="1">
      <c r="A1057" s="9">
        <v>46237.0</v>
      </c>
      <c r="B1057" s="8" t="s">
        <v>544</v>
      </c>
      <c r="C1057" s="8" t="s">
        <v>167</v>
      </c>
      <c r="D1057" s="8" t="s">
        <v>472</v>
      </c>
      <c r="E1057" s="8" t="b">
        <f t="shared" si="118"/>
        <v>0</v>
      </c>
      <c r="F1057" s="8">
        <v>29.0</v>
      </c>
    </row>
    <row r="1058" ht="15.0" customHeight="1">
      <c r="A1058" s="9">
        <v>46237.0</v>
      </c>
      <c r="B1058" s="8" t="s">
        <v>557</v>
      </c>
      <c r="C1058" s="8" t="s">
        <v>167</v>
      </c>
      <c r="D1058" s="8" t="s">
        <v>469</v>
      </c>
      <c r="E1058" s="8" t="b">
        <f t="shared" si="118"/>
        <v>0</v>
      </c>
      <c r="F1058" s="8">
        <v>29.0</v>
      </c>
    </row>
    <row r="1059" ht="15.0" customHeight="1">
      <c r="A1059" s="9">
        <v>46237.0</v>
      </c>
      <c r="B1059" s="8" t="s">
        <v>109</v>
      </c>
      <c r="C1059" s="8" t="s">
        <v>116</v>
      </c>
      <c r="D1059" s="8" t="s">
        <v>116</v>
      </c>
      <c r="E1059" s="8" t="b">
        <f t="shared" si="118"/>
        <v>0</v>
      </c>
      <c r="F1059" s="8">
        <v>29.0</v>
      </c>
    </row>
    <row r="1060" ht="15.0" customHeight="1">
      <c r="A1060" s="9">
        <v>46237.0</v>
      </c>
      <c r="B1060" s="8" t="s">
        <v>634</v>
      </c>
      <c r="C1060" s="8" t="s">
        <v>167</v>
      </c>
      <c r="D1060" s="8" t="s">
        <v>486</v>
      </c>
      <c r="E1060" s="8" t="b">
        <f t="shared" si="118"/>
        <v>0</v>
      </c>
      <c r="F1060" s="8">
        <v>29.0</v>
      </c>
    </row>
    <row r="1061" ht="15.0" customHeight="1">
      <c r="A1061" s="9">
        <v>46237.0</v>
      </c>
      <c r="B1061" s="8" t="s">
        <v>244</v>
      </c>
      <c r="C1061" s="8" t="s">
        <v>167</v>
      </c>
      <c r="D1061" s="8" t="s">
        <v>469</v>
      </c>
      <c r="E1061" s="8" t="b">
        <f t="shared" si="118"/>
        <v>0</v>
      </c>
      <c r="F1061" s="8">
        <v>29.0</v>
      </c>
    </row>
    <row r="1062" ht="15.0" customHeight="1">
      <c r="A1062" s="9">
        <v>46237.0</v>
      </c>
      <c r="B1062" s="8" t="s">
        <v>709</v>
      </c>
      <c r="C1062" s="8" t="s">
        <v>167</v>
      </c>
      <c r="D1062" s="8" t="s">
        <v>469</v>
      </c>
      <c r="E1062" s="8" t="b">
        <f t="shared" si="118"/>
        <v>0</v>
      </c>
      <c r="F1062" s="8">
        <v>29.0</v>
      </c>
    </row>
    <row r="1063" ht="15.0" customHeight="1">
      <c r="A1063" s="9">
        <v>46237.0</v>
      </c>
      <c r="B1063" s="8" t="s">
        <v>282</v>
      </c>
      <c r="C1063" s="8" t="s">
        <v>54</v>
      </c>
      <c r="D1063" s="8" t="s">
        <v>606</v>
      </c>
      <c r="E1063" s="8" t="b">
        <f t="shared" si="118"/>
        <v>0</v>
      </c>
      <c r="F1063" s="8">
        <v>29.0</v>
      </c>
    </row>
    <row r="1064" ht="15.0" customHeight="1">
      <c r="A1064" s="9">
        <v>46237.0</v>
      </c>
      <c r="B1064" s="8" t="s">
        <v>728</v>
      </c>
      <c r="C1064" s="8" t="s">
        <v>167</v>
      </c>
      <c r="D1064" s="8" t="s">
        <v>472</v>
      </c>
      <c r="E1064" s="8" t="b">
        <f t="shared" si="118"/>
        <v>0</v>
      </c>
      <c r="F1064" s="8">
        <v>29.0</v>
      </c>
    </row>
    <row r="1065" ht="15.0" customHeight="1">
      <c r="A1065" s="9">
        <v>46237.0</v>
      </c>
      <c r="B1065" s="8" t="s">
        <v>770</v>
      </c>
      <c r="C1065" s="8" t="s">
        <v>167</v>
      </c>
      <c r="D1065" s="8" t="s">
        <v>486</v>
      </c>
      <c r="E1065" s="8" t="b">
        <f t="shared" si="118"/>
        <v>0</v>
      </c>
      <c r="F1065" s="8">
        <v>29.0</v>
      </c>
    </row>
    <row r="1066" ht="15.0" customHeight="1">
      <c r="A1066" s="9">
        <v>46237.0</v>
      </c>
      <c r="B1066" s="8" t="s">
        <v>272</v>
      </c>
      <c r="C1066" s="8" t="s">
        <v>167</v>
      </c>
      <c r="D1066" s="8" t="s">
        <v>469</v>
      </c>
      <c r="E1066" s="8" t="b">
        <f t="shared" si="118"/>
        <v>0</v>
      </c>
      <c r="F1066" s="8">
        <v>29.0</v>
      </c>
    </row>
    <row r="1067" ht="15.0" customHeight="1">
      <c r="A1067" s="9">
        <v>46237.0</v>
      </c>
      <c r="B1067" s="8" t="s">
        <v>823</v>
      </c>
      <c r="C1067" s="8" t="s">
        <v>167</v>
      </c>
      <c r="D1067" s="8" t="s">
        <v>486</v>
      </c>
      <c r="E1067" s="8" t="b">
        <f t="shared" si="118"/>
        <v>0</v>
      </c>
      <c r="F1067" s="8">
        <v>29.0</v>
      </c>
    </row>
    <row r="1068" ht="15.0" customHeight="1">
      <c r="A1068" s="9">
        <v>46237.0</v>
      </c>
      <c r="B1068" s="8" t="s">
        <v>884</v>
      </c>
      <c r="C1068" s="8" t="s">
        <v>167</v>
      </c>
      <c r="D1068" s="8" t="s">
        <v>469</v>
      </c>
      <c r="E1068" s="8" t="b">
        <f t="shared" si="118"/>
        <v>0</v>
      </c>
      <c r="F1068" s="8">
        <v>29.0</v>
      </c>
    </row>
    <row r="1069" ht="15.0" customHeight="1">
      <c r="A1069" s="9">
        <v>46237.0</v>
      </c>
      <c r="B1069" s="8" t="s">
        <v>892</v>
      </c>
      <c r="C1069" s="8" t="s">
        <v>167</v>
      </c>
      <c r="D1069" s="8" t="s">
        <v>469</v>
      </c>
      <c r="E1069" s="8" t="b">
        <f t="shared" si="118"/>
        <v>0</v>
      </c>
      <c r="F1069" s="8">
        <v>29.0</v>
      </c>
    </row>
    <row r="1070" ht="15.0" customHeight="1">
      <c r="A1070" s="9">
        <v>46237.0</v>
      </c>
      <c r="B1070" s="8" t="s">
        <v>779</v>
      </c>
      <c r="C1070" s="8" t="s">
        <v>167</v>
      </c>
      <c r="D1070" s="8" t="s">
        <v>472</v>
      </c>
      <c r="E1070" s="8" t="b">
        <f t="shared" si="118"/>
        <v>0</v>
      </c>
      <c r="F1070" s="8">
        <v>29.0</v>
      </c>
    </row>
    <row r="1071" ht="15.0" customHeight="1">
      <c r="A1071" s="9">
        <v>46237.0</v>
      </c>
      <c r="B1071" s="8" t="s">
        <v>188</v>
      </c>
      <c r="C1071" s="8" t="s">
        <v>377</v>
      </c>
      <c r="D1071" s="8" t="s">
        <v>482</v>
      </c>
      <c r="E1071" s="8" t="b">
        <f t="shared" si="118"/>
        <v>0</v>
      </c>
      <c r="F1071" s="8">
        <v>29.0</v>
      </c>
    </row>
    <row r="1072" ht="15.0" customHeight="1">
      <c r="A1072" s="9">
        <v>46237.0</v>
      </c>
      <c r="B1072" s="8" t="s">
        <v>188</v>
      </c>
      <c r="C1072" s="8" t="s">
        <v>167</v>
      </c>
      <c r="D1072" s="8" t="s">
        <v>1039</v>
      </c>
      <c r="E1072" s="8" t="b">
        <f t="shared" si="118"/>
        <v>0</v>
      </c>
      <c r="F1072" s="8">
        <v>29.0</v>
      </c>
    </row>
    <row r="1073" ht="15.0" customHeight="1">
      <c r="A1073" s="9">
        <v>46237.0</v>
      </c>
      <c r="B1073" s="8" t="s">
        <v>791</v>
      </c>
      <c r="C1073" s="8" t="s">
        <v>167</v>
      </c>
      <c r="D1073" s="8" t="s">
        <v>472</v>
      </c>
      <c r="E1073" s="8" t="b">
        <f t="shared" si="118"/>
        <v>0</v>
      </c>
      <c r="F1073" s="8">
        <v>29.0</v>
      </c>
    </row>
    <row r="1074" ht="15.0" customHeight="1">
      <c r="A1074" s="9">
        <v>46237.0</v>
      </c>
      <c r="B1074" s="8" t="s">
        <v>158</v>
      </c>
      <c r="C1074" s="8" t="s">
        <v>167</v>
      </c>
      <c r="D1074" s="8" t="s">
        <v>472</v>
      </c>
      <c r="E1074" s="8" t="b">
        <f>TRUE()</f>
        <v>1</v>
      </c>
      <c r="F1074" s="8">
        <v>29.0</v>
      </c>
    </row>
    <row r="1075" ht="15.0" customHeight="1">
      <c r="A1075" s="9">
        <v>46237.0</v>
      </c>
      <c r="B1075" s="8" t="s">
        <v>967</v>
      </c>
      <c r="C1075" s="8" t="s">
        <v>167</v>
      </c>
      <c r="D1075" s="8" t="s">
        <v>472</v>
      </c>
      <c r="E1075" s="8" t="b">
        <f>FALSE()</f>
        <v>0</v>
      </c>
      <c r="F1075" s="8">
        <v>29.0</v>
      </c>
    </row>
    <row r="1076" ht="15.0" customHeight="1">
      <c r="A1076" s="9">
        <v>46237.0</v>
      </c>
      <c r="B1076" s="8" t="s">
        <v>295</v>
      </c>
      <c r="C1076" s="8" t="s">
        <v>167</v>
      </c>
      <c r="D1076" s="8" t="s">
        <v>1039</v>
      </c>
      <c r="E1076" s="8" t="b">
        <f>TRUE()</f>
        <v>1</v>
      </c>
      <c r="F1076" s="8">
        <v>29.0</v>
      </c>
    </row>
    <row r="1077" ht="15.0" customHeight="1">
      <c r="A1077" s="9">
        <v>46237.0</v>
      </c>
      <c r="B1077" s="8" t="s">
        <v>1079</v>
      </c>
      <c r="C1077" s="8" t="s">
        <v>167</v>
      </c>
      <c r="D1077" s="8" t="s">
        <v>469</v>
      </c>
      <c r="E1077" s="8" t="b">
        <f t="shared" ref="E1077:E1103" si="119">FALSE()</f>
        <v>0</v>
      </c>
      <c r="F1077" s="8">
        <v>29.0</v>
      </c>
    </row>
    <row r="1078" ht="15.0" customHeight="1">
      <c r="A1078" s="9">
        <v>46237.0</v>
      </c>
      <c r="B1078" s="8" t="s">
        <v>307</v>
      </c>
      <c r="C1078" s="8" t="s">
        <v>167</v>
      </c>
      <c r="D1078" s="8" t="s">
        <v>472</v>
      </c>
      <c r="E1078" s="8" t="b">
        <f t="shared" si="119"/>
        <v>0</v>
      </c>
      <c r="F1078" s="8">
        <v>29.0</v>
      </c>
    </row>
    <row r="1079" ht="15.0" customHeight="1">
      <c r="A1079" s="9">
        <v>46237.0</v>
      </c>
      <c r="B1079" s="8" t="s">
        <v>987</v>
      </c>
      <c r="C1079" s="8" t="s">
        <v>167</v>
      </c>
      <c r="D1079" s="8" t="s">
        <v>469</v>
      </c>
      <c r="E1079" s="8" t="b">
        <f t="shared" si="119"/>
        <v>0</v>
      </c>
      <c r="F1079" s="8">
        <v>29.0</v>
      </c>
    </row>
    <row r="1080" ht="15.0" customHeight="1">
      <c r="A1080" s="9">
        <v>46237.0</v>
      </c>
      <c r="B1080" s="8" t="s">
        <v>1116</v>
      </c>
      <c r="C1080" s="8" t="s">
        <v>377</v>
      </c>
      <c r="D1080" s="8" t="s">
        <v>482</v>
      </c>
      <c r="E1080" s="8" t="b">
        <f t="shared" si="119"/>
        <v>0</v>
      </c>
      <c r="F1080" s="8">
        <v>29.0</v>
      </c>
    </row>
    <row r="1081" ht="15.0" customHeight="1">
      <c r="A1081" s="9">
        <v>46237.0</v>
      </c>
      <c r="B1081" s="8" t="s">
        <v>1108</v>
      </c>
      <c r="C1081" s="8" t="s">
        <v>167</v>
      </c>
      <c r="D1081" s="8" t="s">
        <v>472</v>
      </c>
      <c r="E1081" s="8" t="b">
        <f t="shared" si="119"/>
        <v>0</v>
      </c>
      <c r="F1081" s="8">
        <v>29.0</v>
      </c>
    </row>
    <row r="1082" ht="15.0" customHeight="1">
      <c r="A1082" s="9">
        <v>46237.0</v>
      </c>
      <c r="B1082" s="8" t="s">
        <v>587</v>
      </c>
      <c r="C1082" s="8" t="s">
        <v>313</v>
      </c>
      <c r="D1082" s="8" t="s">
        <v>313</v>
      </c>
      <c r="E1082" s="8" t="b">
        <f t="shared" si="119"/>
        <v>0</v>
      </c>
      <c r="F1082" s="8">
        <v>29.0</v>
      </c>
    </row>
    <row r="1083" ht="15.0" customHeight="1">
      <c r="A1083" s="9">
        <v>46237.0</v>
      </c>
      <c r="B1083" s="8" t="s">
        <v>1004</v>
      </c>
      <c r="C1083" s="8" t="s">
        <v>167</v>
      </c>
      <c r="D1083" s="8" t="s">
        <v>486</v>
      </c>
      <c r="E1083" s="8" t="b">
        <f t="shared" si="119"/>
        <v>0</v>
      </c>
      <c r="F1083" s="8">
        <v>29.0</v>
      </c>
    </row>
    <row r="1084" ht="15.0" customHeight="1">
      <c r="A1084" s="9">
        <v>46237.0</v>
      </c>
      <c r="B1084" s="8" t="s">
        <v>845</v>
      </c>
      <c r="C1084" s="8" t="s">
        <v>313</v>
      </c>
      <c r="D1084" s="8" t="s">
        <v>313</v>
      </c>
      <c r="E1084" s="8" t="b">
        <f t="shared" si="119"/>
        <v>0</v>
      </c>
      <c r="F1084" s="8">
        <v>29.0</v>
      </c>
    </row>
    <row r="1085" ht="15.0" customHeight="1">
      <c r="A1085" s="9">
        <v>46237.0</v>
      </c>
      <c r="B1085" s="8" t="s">
        <v>669</v>
      </c>
      <c r="C1085" s="8" t="s">
        <v>167</v>
      </c>
      <c r="D1085" s="8" t="s">
        <v>486</v>
      </c>
      <c r="E1085" s="8" t="b">
        <f t="shared" si="119"/>
        <v>0</v>
      </c>
      <c r="F1085" s="8">
        <v>29.0</v>
      </c>
    </row>
    <row r="1086" ht="15.0" customHeight="1">
      <c r="A1086" s="9">
        <v>46237.0</v>
      </c>
      <c r="B1086" s="8" t="s">
        <v>1113</v>
      </c>
      <c r="C1086" s="8" t="s">
        <v>167</v>
      </c>
      <c r="D1086" s="8" t="s">
        <v>469</v>
      </c>
      <c r="E1086" s="8" t="b">
        <f t="shared" si="119"/>
        <v>0</v>
      </c>
      <c r="F1086" s="8">
        <v>29.0</v>
      </c>
    </row>
    <row r="1087" ht="15.0" customHeight="1">
      <c r="A1087" s="9">
        <v>46237.0</v>
      </c>
      <c r="B1087" s="8" t="s">
        <v>1119</v>
      </c>
      <c r="C1087" s="8" t="s">
        <v>167</v>
      </c>
      <c r="D1087" s="8" t="s">
        <v>472</v>
      </c>
      <c r="E1087" s="8" t="b">
        <f t="shared" si="119"/>
        <v>0</v>
      </c>
      <c r="F1087" s="8">
        <v>29.0</v>
      </c>
    </row>
    <row r="1088" ht="15.0" customHeight="1">
      <c r="A1088" s="9">
        <v>46244.0</v>
      </c>
      <c r="B1088" s="8" t="s">
        <v>544</v>
      </c>
      <c r="C1088" s="8" t="s">
        <v>167</v>
      </c>
      <c r="D1088" s="8" t="s">
        <v>472</v>
      </c>
      <c r="E1088" s="8" t="b">
        <f t="shared" si="119"/>
        <v>0</v>
      </c>
      <c r="F1088" s="8">
        <v>18.0</v>
      </c>
    </row>
    <row r="1089" ht="15.0" customHeight="1">
      <c r="A1089" s="9">
        <v>46244.0</v>
      </c>
      <c r="B1089" s="8" t="s">
        <v>557</v>
      </c>
      <c r="C1089" s="8" t="s">
        <v>167</v>
      </c>
      <c r="D1089" s="8" t="s">
        <v>469</v>
      </c>
      <c r="E1089" s="8" t="b">
        <f t="shared" si="119"/>
        <v>0</v>
      </c>
      <c r="F1089" s="8">
        <v>18.0</v>
      </c>
    </row>
    <row r="1090" ht="15.0" customHeight="1">
      <c r="A1090" s="9">
        <v>46244.0</v>
      </c>
      <c r="B1090" s="8" t="s">
        <v>109</v>
      </c>
      <c r="C1090" s="8" t="s">
        <v>116</v>
      </c>
      <c r="D1090" s="8" t="s">
        <v>116</v>
      </c>
      <c r="E1090" s="8" t="b">
        <f t="shared" si="119"/>
        <v>0</v>
      </c>
      <c r="F1090" s="8">
        <v>18.0</v>
      </c>
    </row>
    <row r="1091" ht="15.0" customHeight="1">
      <c r="A1091" s="9">
        <v>46244.0</v>
      </c>
      <c r="B1091" s="8" t="s">
        <v>634</v>
      </c>
      <c r="C1091" s="8" t="s">
        <v>167</v>
      </c>
      <c r="D1091" s="8" t="s">
        <v>486</v>
      </c>
      <c r="E1091" s="8" t="b">
        <f t="shared" si="119"/>
        <v>0</v>
      </c>
      <c r="F1091" s="8">
        <v>18.0</v>
      </c>
    </row>
    <row r="1092" ht="15.0" customHeight="1">
      <c r="A1092" s="9">
        <v>46244.0</v>
      </c>
      <c r="B1092" s="8" t="s">
        <v>244</v>
      </c>
      <c r="C1092" s="8" t="s">
        <v>167</v>
      </c>
      <c r="D1092" s="8" t="s">
        <v>469</v>
      </c>
      <c r="E1092" s="8" t="b">
        <f t="shared" si="119"/>
        <v>0</v>
      </c>
      <c r="F1092" s="8">
        <v>18.0</v>
      </c>
    </row>
    <row r="1093" ht="15.0" customHeight="1">
      <c r="A1093" s="9">
        <v>46244.0</v>
      </c>
      <c r="B1093" s="8" t="s">
        <v>709</v>
      </c>
      <c r="C1093" s="8" t="s">
        <v>167</v>
      </c>
      <c r="D1093" s="8" t="s">
        <v>469</v>
      </c>
      <c r="E1093" s="8" t="b">
        <f t="shared" si="119"/>
        <v>0</v>
      </c>
      <c r="F1093" s="8">
        <v>18.0</v>
      </c>
    </row>
    <row r="1094" ht="15.0" customHeight="1">
      <c r="A1094" s="9">
        <v>46244.0</v>
      </c>
      <c r="B1094" s="8" t="s">
        <v>282</v>
      </c>
      <c r="C1094" s="8" t="s">
        <v>54</v>
      </c>
      <c r="D1094" s="8" t="s">
        <v>606</v>
      </c>
      <c r="E1094" s="8" t="b">
        <f t="shared" si="119"/>
        <v>0</v>
      </c>
      <c r="F1094" s="8">
        <v>18.0</v>
      </c>
    </row>
    <row r="1095" ht="15.0" customHeight="1">
      <c r="A1095" s="9">
        <v>46244.0</v>
      </c>
      <c r="B1095" s="8" t="s">
        <v>728</v>
      </c>
      <c r="C1095" s="8" t="s">
        <v>167</v>
      </c>
      <c r="D1095" s="8" t="s">
        <v>472</v>
      </c>
      <c r="E1095" s="8" t="b">
        <f t="shared" si="119"/>
        <v>0</v>
      </c>
      <c r="F1095" s="8">
        <v>18.0</v>
      </c>
    </row>
    <row r="1096" ht="15.0" customHeight="1">
      <c r="A1096" s="9">
        <v>46244.0</v>
      </c>
      <c r="B1096" s="8" t="s">
        <v>770</v>
      </c>
      <c r="C1096" s="8" t="s">
        <v>167</v>
      </c>
      <c r="D1096" s="8" t="s">
        <v>486</v>
      </c>
      <c r="E1096" s="8" t="b">
        <f t="shared" si="119"/>
        <v>0</v>
      </c>
      <c r="F1096" s="8">
        <v>18.0</v>
      </c>
    </row>
    <row r="1097" ht="15.0" customHeight="1">
      <c r="A1097" s="9">
        <v>46244.0</v>
      </c>
      <c r="B1097" s="8" t="s">
        <v>272</v>
      </c>
      <c r="C1097" s="8" t="s">
        <v>167</v>
      </c>
      <c r="D1097" s="8" t="s">
        <v>469</v>
      </c>
      <c r="E1097" s="8" t="b">
        <f t="shared" si="119"/>
        <v>0</v>
      </c>
      <c r="F1097" s="8">
        <v>18.0</v>
      </c>
    </row>
    <row r="1098" ht="15.0" customHeight="1">
      <c r="A1098" s="9">
        <v>46244.0</v>
      </c>
      <c r="B1098" s="8" t="s">
        <v>823</v>
      </c>
      <c r="C1098" s="8" t="s">
        <v>167</v>
      </c>
      <c r="D1098" s="8" t="s">
        <v>486</v>
      </c>
      <c r="E1098" s="8" t="b">
        <f t="shared" si="119"/>
        <v>0</v>
      </c>
      <c r="F1098" s="8">
        <v>18.0</v>
      </c>
    </row>
    <row r="1099" ht="15.0" customHeight="1">
      <c r="A1099" s="9">
        <v>46244.0</v>
      </c>
      <c r="B1099" s="8" t="s">
        <v>884</v>
      </c>
      <c r="C1099" s="8" t="s">
        <v>167</v>
      </c>
      <c r="D1099" s="8" t="s">
        <v>469</v>
      </c>
      <c r="E1099" s="8" t="b">
        <f t="shared" si="119"/>
        <v>0</v>
      </c>
      <c r="F1099" s="8">
        <v>18.0</v>
      </c>
    </row>
    <row r="1100" ht="15.0" customHeight="1">
      <c r="A1100" s="9">
        <v>46244.0</v>
      </c>
      <c r="B1100" s="8" t="s">
        <v>892</v>
      </c>
      <c r="C1100" s="8" t="s">
        <v>377</v>
      </c>
      <c r="D1100" s="8" t="s">
        <v>482</v>
      </c>
      <c r="E1100" s="8" t="b">
        <f t="shared" si="119"/>
        <v>0</v>
      </c>
      <c r="F1100" s="8">
        <v>18.0</v>
      </c>
    </row>
    <row r="1101" ht="15.0" customHeight="1">
      <c r="A1101" s="9">
        <v>46244.0</v>
      </c>
      <c r="B1101" s="8" t="s">
        <v>892</v>
      </c>
      <c r="C1101" s="8" t="s">
        <v>167</v>
      </c>
      <c r="D1101" s="8" t="s">
        <v>469</v>
      </c>
      <c r="E1101" s="8" t="b">
        <f t="shared" si="119"/>
        <v>0</v>
      </c>
      <c r="F1101" s="8">
        <v>18.0</v>
      </c>
    </row>
    <row r="1102" ht="15.0" customHeight="1">
      <c r="A1102" s="9">
        <v>46244.0</v>
      </c>
      <c r="B1102" s="8" t="s">
        <v>773</v>
      </c>
      <c r="C1102" s="8" t="s">
        <v>167</v>
      </c>
      <c r="D1102" s="8" t="s">
        <v>472</v>
      </c>
      <c r="E1102" s="8" t="b">
        <f t="shared" si="119"/>
        <v>0</v>
      </c>
      <c r="F1102" s="8">
        <v>18.0</v>
      </c>
    </row>
    <row r="1103" ht="15.0" customHeight="1">
      <c r="A1103" s="9">
        <v>46244.0</v>
      </c>
      <c r="B1103" s="8" t="s">
        <v>779</v>
      </c>
      <c r="C1103" s="8" t="s">
        <v>167</v>
      </c>
      <c r="D1103" s="8" t="s">
        <v>472</v>
      </c>
      <c r="E1103" s="8" t="b">
        <f t="shared" si="119"/>
        <v>0</v>
      </c>
      <c r="F1103" s="8">
        <v>18.0</v>
      </c>
    </row>
    <row r="1104" ht="15.0" customHeight="1">
      <c r="A1104" s="9">
        <v>46244.0</v>
      </c>
      <c r="B1104" s="8" t="s">
        <v>188</v>
      </c>
      <c r="C1104" s="8" t="s">
        <v>167</v>
      </c>
      <c r="D1104" s="8" t="s">
        <v>1039</v>
      </c>
      <c r="E1104" s="8" t="b">
        <f t="shared" ref="E1104:E1105" si="120">TRUE()</f>
        <v>1</v>
      </c>
      <c r="F1104" s="8">
        <v>18.0</v>
      </c>
    </row>
    <row r="1105" ht="15.0" customHeight="1">
      <c r="A1105" s="9">
        <v>46244.0</v>
      </c>
      <c r="B1105" s="8" t="s">
        <v>158</v>
      </c>
      <c r="C1105" s="8" t="s">
        <v>167</v>
      </c>
      <c r="D1105" s="8" t="s">
        <v>472</v>
      </c>
      <c r="E1105" s="8" t="b">
        <f t="shared" si="120"/>
        <v>1</v>
      </c>
      <c r="F1105" s="8">
        <v>18.0</v>
      </c>
    </row>
    <row r="1106" ht="15.0" customHeight="1">
      <c r="A1106" s="9">
        <v>46244.0</v>
      </c>
      <c r="B1106" s="8" t="s">
        <v>967</v>
      </c>
      <c r="C1106" s="8" t="s">
        <v>167</v>
      </c>
      <c r="D1106" s="8" t="s">
        <v>472</v>
      </c>
      <c r="E1106" s="8" t="b">
        <f t="shared" ref="E1106:E1119" si="121">FALSE()</f>
        <v>0</v>
      </c>
      <c r="F1106" s="8">
        <v>18.0</v>
      </c>
    </row>
    <row r="1107" ht="15.0" customHeight="1">
      <c r="A1107" s="9">
        <v>46244.0</v>
      </c>
      <c r="B1107" s="8" t="s">
        <v>1079</v>
      </c>
      <c r="C1107" s="8" t="s">
        <v>167</v>
      </c>
      <c r="D1107" s="8" t="s">
        <v>469</v>
      </c>
      <c r="E1107" s="8" t="b">
        <f t="shared" si="121"/>
        <v>0</v>
      </c>
      <c r="F1107" s="8">
        <v>18.0</v>
      </c>
    </row>
    <row r="1108" ht="15.0" customHeight="1">
      <c r="A1108" s="9">
        <v>46244.0</v>
      </c>
      <c r="B1108" s="8" t="s">
        <v>307</v>
      </c>
      <c r="C1108" s="8" t="s">
        <v>167</v>
      </c>
      <c r="D1108" s="8" t="s">
        <v>472</v>
      </c>
      <c r="E1108" s="8" t="b">
        <f t="shared" si="121"/>
        <v>0</v>
      </c>
      <c r="F1108" s="8">
        <v>18.0</v>
      </c>
    </row>
    <row r="1109" ht="15.0" customHeight="1">
      <c r="A1109" s="9">
        <v>46244.0</v>
      </c>
      <c r="B1109" s="8" t="s">
        <v>987</v>
      </c>
      <c r="C1109" s="8" t="s">
        <v>167</v>
      </c>
      <c r="D1109" s="8" t="s">
        <v>469</v>
      </c>
      <c r="E1109" s="8" t="b">
        <f t="shared" si="121"/>
        <v>0</v>
      </c>
      <c r="F1109" s="8">
        <v>18.0</v>
      </c>
    </row>
    <row r="1110" ht="15.0" customHeight="1">
      <c r="A1110" s="9">
        <v>46244.0</v>
      </c>
      <c r="B1110" s="8" t="s">
        <v>1116</v>
      </c>
      <c r="C1110" s="8" t="s">
        <v>167</v>
      </c>
      <c r="D1110" s="8" t="s">
        <v>472</v>
      </c>
      <c r="E1110" s="8" t="b">
        <f t="shared" si="121"/>
        <v>0</v>
      </c>
      <c r="F1110" s="8">
        <v>18.0</v>
      </c>
    </row>
    <row r="1111" ht="15.0" customHeight="1">
      <c r="A1111" s="9">
        <v>46244.0</v>
      </c>
      <c r="B1111" s="8" t="s">
        <v>1108</v>
      </c>
      <c r="C1111" s="8" t="s">
        <v>167</v>
      </c>
      <c r="D1111" s="8" t="s">
        <v>472</v>
      </c>
      <c r="E1111" s="8" t="b">
        <f t="shared" si="121"/>
        <v>0</v>
      </c>
      <c r="F1111" s="8">
        <v>18.0</v>
      </c>
    </row>
    <row r="1112" ht="15.0" customHeight="1">
      <c r="A1112" s="9">
        <v>46244.0</v>
      </c>
      <c r="B1112" s="8" t="s">
        <v>587</v>
      </c>
      <c r="C1112" s="8" t="s">
        <v>313</v>
      </c>
      <c r="D1112" s="8" t="s">
        <v>313</v>
      </c>
      <c r="E1112" s="8" t="b">
        <f t="shared" si="121"/>
        <v>0</v>
      </c>
      <c r="F1112" s="8">
        <v>18.0</v>
      </c>
    </row>
    <row r="1113" ht="15.0" customHeight="1">
      <c r="A1113" s="9">
        <v>46244.0</v>
      </c>
      <c r="B1113" s="8" t="s">
        <v>1004</v>
      </c>
      <c r="C1113" s="8" t="s">
        <v>167</v>
      </c>
      <c r="D1113" s="8" t="s">
        <v>486</v>
      </c>
      <c r="E1113" s="8" t="b">
        <f t="shared" si="121"/>
        <v>0</v>
      </c>
      <c r="F1113" s="8">
        <v>18.0</v>
      </c>
    </row>
    <row r="1114" ht="15.0" customHeight="1">
      <c r="A1114" s="9">
        <v>46244.0</v>
      </c>
      <c r="B1114" s="8" t="s">
        <v>845</v>
      </c>
      <c r="C1114" s="8" t="s">
        <v>313</v>
      </c>
      <c r="D1114" s="8" t="s">
        <v>313</v>
      </c>
      <c r="E1114" s="8" t="b">
        <f t="shared" si="121"/>
        <v>0</v>
      </c>
      <c r="F1114" s="8">
        <v>18.0</v>
      </c>
    </row>
    <row r="1115" ht="15.0" customHeight="1">
      <c r="A1115" s="9">
        <v>46244.0</v>
      </c>
      <c r="B1115" s="8" t="s">
        <v>669</v>
      </c>
      <c r="C1115" s="8" t="s">
        <v>167</v>
      </c>
      <c r="D1115" s="8" t="s">
        <v>486</v>
      </c>
      <c r="E1115" s="8" t="b">
        <f t="shared" si="121"/>
        <v>0</v>
      </c>
      <c r="F1115" s="8">
        <v>18.0</v>
      </c>
    </row>
    <row r="1116" ht="15.0" customHeight="1">
      <c r="A1116" s="9">
        <v>46244.0</v>
      </c>
      <c r="B1116" s="8" t="s">
        <v>1113</v>
      </c>
      <c r="C1116" s="8" t="s">
        <v>167</v>
      </c>
      <c r="D1116" s="8" t="s">
        <v>469</v>
      </c>
      <c r="E1116" s="8" t="b">
        <f t="shared" si="121"/>
        <v>0</v>
      </c>
      <c r="F1116" s="8">
        <v>18.0</v>
      </c>
    </row>
    <row r="1117" ht="15.0" customHeight="1">
      <c r="A1117" s="9">
        <v>46251.0</v>
      </c>
      <c r="B1117" s="8" t="s">
        <v>544</v>
      </c>
      <c r="C1117" s="8" t="s">
        <v>167</v>
      </c>
      <c r="D1117" s="8" t="s">
        <v>472</v>
      </c>
      <c r="E1117" s="8" t="b">
        <f t="shared" si="121"/>
        <v>0</v>
      </c>
      <c r="F1117" s="8">
        <v>14.0</v>
      </c>
    </row>
    <row r="1118" ht="15.0" customHeight="1">
      <c r="A1118" s="9">
        <v>46251.0</v>
      </c>
      <c r="B1118" s="8" t="s">
        <v>557</v>
      </c>
      <c r="C1118" s="8" t="s">
        <v>167</v>
      </c>
      <c r="D1118" s="8" t="s">
        <v>469</v>
      </c>
      <c r="E1118" s="8" t="b">
        <f t="shared" si="121"/>
        <v>0</v>
      </c>
      <c r="F1118" s="8">
        <v>14.0</v>
      </c>
    </row>
    <row r="1119" ht="15.0" customHeight="1">
      <c r="A1119" s="9">
        <v>46251.0</v>
      </c>
      <c r="B1119" s="8" t="s">
        <v>109</v>
      </c>
      <c r="C1119" s="8" t="s">
        <v>116</v>
      </c>
      <c r="D1119" s="8" t="s">
        <v>116</v>
      </c>
      <c r="E1119" s="8" t="b">
        <f t="shared" si="121"/>
        <v>0</v>
      </c>
      <c r="F1119" s="8">
        <v>14.0</v>
      </c>
    </row>
    <row r="1120" ht="15.0" customHeight="1">
      <c r="A1120" s="9">
        <v>46251.0</v>
      </c>
      <c r="B1120" s="8" t="s">
        <v>259</v>
      </c>
      <c r="C1120" s="8" t="s">
        <v>167</v>
      </c>
      <c r="D1120" s="8" t="s">
        <v>472</v>
      </c>
      <c r="E1120" s="8" t="b">
        <f>TRUE()</f>
        <v>1</v>
      </c>
      <c r="F1120" s="8">
        <v>14.0</v>
      </c>
    </row>
    <row r="1121" ht="15.0" customHeight="1">
      <c r="A1121" s="9">
        <v>46251.0</v>
      </c>
      <c r="B1121" s="8" t="s">
        <v>634</v>
      </c>
      <c r="C1121" s="8" t="s">
        <v>167</v>
      </c>
      <c r="D1121" s="8" t="s">
        <v>486</v>
      </c>
      <c r="E1121" s="8" t="b">
        <f t="shared" ref="E1121:E1131" si="122">FALSE()</f>
        <v>0</v>
      </c>
      <c r="F1121" s="8">
        <v>14.0</v>
      </c>
    </row>
    <row r="1122" ht="15.0" customHeight="1">
      <c r="A1122" s="9">
        <v>46251.0</v>
      </c>
      <c r="B1122" s="8" t="s">
        <v>244</v>
      </c>
      <c r="C1122" s="8" t="s">
        <v>167</v>
      </c>
      <c r="D1122" s="8" t="s">
        <v>469</v>
      </c>
      <c r="E1122" s="8" t="b">
        <f t="shared" si="122"/>
        <v>0</v>
      </c>
      <c r="F1122" s="8">
        <v>14.0</v>
      </c>
    </row>
    <row r="1123" ht="15.0" customHeight="1">
      <c r="A1123" s="9">
        <v>46251.0</v>
      </c>
      <c r="B1123" s="8" t="s">
        <v>709</v>
      </c>
      <c r="C1123" s="8" t="s">
        <v>167</v>
      </c>
      <c r="D1123" s="8" t="s">
        <v>469</v>
      </c>
      <c r="E1123" s="8" t="b">
        <f t="shared" si="122"/>
        <v>0</v>
      </c>
      <c r="F1123" s="8">
        <v>14.0</v>
      </c>
    </row>
    <row r="1124" ht="15.0" customHeight="1">
      <c r="A1124" s="9">
        <v>46251.0</v>
      </c>
      <c r="B1124" s="8" t="s">
        <v>282</v>
      </c>
      <c r="C1124" s="8" t="s">
        <v>54</v>
      </c>
      <c r="D1124" s="8" t="s">
        <v>606</v>
      </c>
      <c r="E1124" s="8" t="b">
        <f t="shared" si="122"/>
        <v>0</v>
      </c>
      <c r="F1124" s="8">
        <v>14.0</v>
      </c>
    </row>
    <row r="1125" ht="15.0" customHeight="1">
      <c r="A1125" s="9">
        <v>46251.0</v>
      </c>
      <c r="B1125" s="8" t="s">
        <v>770</v>
      </c>
      <c r="C1125" s="8" t="s">
        <v>167</v>
      </c>
      <c r="D1125" s="8" t="s">
        <v>486</v>
      </c>
      <c r="E1125" s="8" t="b">
        <f t="shared" si="122"/>
        <v>0</v>
      </c>
      <c r="F1125" s="8">
        <v>14.0</v>
      </c>
    </row>
    <row r="1126" ht="15.0" customHeight="1">
      <c r="A1126" s="9">
        <v>46251.0</v>
      </c>
      <c r="B1126" s="8" t="s">
        <v>272</v>
      </c>
      <c r="C1126" s="8" t="s">
        <v>167</v>
      </c>
      <c r="D1126" s="8" t="s">
        <v>469</v>
      </c>
      <c r="E1126" s="8" t="b">
        <f t="shared" si="122"/>
        <v>0</v>
      </c>
      <c r="F1126" s="8">
        <v>14.0</v>
      </c>
    </row>
    <row r="1127" ht="15.0" customHeight="1">
      <c r="A1127" s="9">
        <v>46251.0</v>
      </c>
      <c r="B1127" s="8" t="s">
        <v>823</v>
      </c>
      <c r="C1127" s="8" t="s">
        <v>167</v>
      </c>
      <c r="D1127" s="8" t="s">
        <v>486</v>
      </c>
      <c r="E1127" s="8" t="b">
        <f t="shared" si="122"/>
        <v>0</v>
      </c>
      <c r="F1127" s="8">
        <v>14.0</v>
      </c>
    </row>
    <row r="1128" ht="15.0" customHeight="1">
      <c r="A1128" s="9">
        <v>46251.0</v>
      </c>
      <c r="B1128" s="8" t="s">
        <v>884</v>
      </c>
      <c r="C1128" s="8" t="s">
        <v>167</v>
      </c>
      <c r="D1128" s="8" t="s">
        <v>469</v>
      </c>
      <c r="E1128" s="8" t="b">
        <f t="shared" si="122"/>
        <v>0</v>
      </c>
      <c r="F1128" s="8">
        <v>14.0</v>
      </c>
    </row>
    <row r="1129" ht="15.0" customHeight="1">
      <c r="A1129" s="9">
        <v>46251.0</v>
      </c>
      <c r="B1129" s="8" t="s">
        <v>892</v>
      </c>
      <c r="C1129" s="8" t="s">
        <v>167</v>
      </c>
      <c r="D1129" s="8" t="s">
        <v>469</v>
      </c>
      <c r="E1129" s="8" t="b">
        <f t="shared" si="122"/>
        <v>0</v>
      </c>
      <c r="F1129" s="8">
        <v>14.0</v>
      </c>
    </row>
    <row r="1130" ht="15.0" customHeight="1">
      <c r="A1130" s="9">
        <v>46251.0</v>
      </c>
      <c r="B1130" s="8" t="s">
        <v>773</v>
      </c>
      <c r="C1130" s="8" t="s">
        <v>167</v>
      </c>
      <c r="D1130" s="8" t="s">
        <v>472</v>
      </c>
      <c r="E1130" s="8" t="b">
        <f t="shared" si="122"/>
        <v>0</v>
      </c>
      <c r="F1130" s="8">
        <v>14.0</v>
      </c>
    </row>
    <row r="1131" ht="15.0" customHeight="1">
      <c r="A1131" s="9">
        <v>46251.0</v>
      </c>
      <c r="B1131" s="8" t="s">
        <v>779</v>
      </c>
      <c r="C1131" s="8" t="s">
        <v>167</v>
      </c>
      <c r="D1131" s="8" t="s">
        <v>472</v>
      </c>
      <c r="E1131" s="8" t="b">
        <f t="shared" si="122"/>
        <v>0</v>
      </c>
      <c r="F1131" s="8">
        <v>14.0</v>
      </c>
    </row>
    <row r="1132" ht="15.0" customHeight="1">
      <c r="A1132" s="9">
        <v>46251.0</v>
      </c>
      <c r="B1132" s="8" t="s">
        <v>188</v>
      </c>
      <c r="C1132" s="8" t="s">
        <v>116</v>
      </c>
      <c r="D1132" s="8" t="s">
        <v>116</v>
      </c>
      <c r="E1132" s="8" t="b">
        <f>TRUE()</f>
        <v>1</v>
      </c>
      <c r="F1132" s="8">
        <v>14.0</v>
      </c>
    </row>
    <row r="1133" ht="15.0" customHeight="1">
      <c r="A1133" s="9">
        <v>46251.0</v>
      </c>
      <c r="B1133" s="8" t="s">
        <v>158</v>
      </c>
      <c r="C1133" s="8" t="s">
        <v>116</v>
      </c>
      <c r="D1133" s="8" t="s">
        <v>116</v>
      </c>
      <c r="E1133" s="8" t="b">
        <f t="shared" ref="E1133:E1146" si="123">FALSE()</f>
        <v>0</v>
      </c>
      <c r="F1133" s="8">
        <v>14.0</v>
      </c>
    </row>
    <row r="1134" ht="15.0" customHeight="1">
      <c r="A1134" s="9">
        <v>46251.0</v>
      </c>
      <c r="B1134" s="8" t="s">
        <v>967</v>
      </c>
      <c r="C1134" s="8" t="s">
        <v>167</v>
      </c>
      <c r="D1134" s="8" t="s">
        <v>472</v>
      </c>
      <c r="E1134" s="8" t="b">
        <f t="shared" si="123"/>
        <v>0</v>
      </c>
      <c r="F1134" s="8">
        <v>14.0</v>
      </c>
    </row>
    <row r="1135" ht="15.0" customHeight="1">
      <c r="A1135" s="9">
        <v>46251.0</v>
      </c>
      <c r="B1135" s="8" t="s">
        <v>1079</v>
      </c>
      <c r="C1135" s="8" t="s">
        <v>167</v>
      </c>
      <c r="D1135" s="8" t="s">
        <v>469</v>
      </c>
      <c r="E1135" s="8" t="b">
        <f t="shared" si="123"/>
        <v>0</v>
      </c>
      <c r="F1135" s="8">
        <v>14.0</v>
      </c>
    </row>
    <row r="1136" ht="15.0" customHeight="1">
      <c r="A1136" s="9">
        <v>46251.0</v>
      </c>
      <c r="B1136" s="8" t="s">
        <v>307</v>
      </c>
      <c r="C1136" s="8" t="s">
        <v>167</v>
      </c>
      <c r="D1136" s="8" t="s">
        <v>472</v>
      </c>
      <c r="E1136" s="8" t="b">
        <f t="shared" si="123"/>
        <v>0</v>
      </c>
      <c r="F1136" s="8">
        <v>14.0</v>
      </c>
    </row>
    <row r="1137" ht="15.0" customHeight="1">
      <c r="A1137" s="9">
        <v>46251.0</v>
      </c>
      <c r="B1137" s="8" t="s">
        <v>987</v>
      </c>
      <c r="C1137" s="8" t="s">
        <v>167</v>
      </c>
      <c r="D1137" s="8" t="s">
        <v>469</v>
      </c>
      <c r="E1137" s="8" t="b">
        <f t="shared" si="123"/>
        <v>0</v>
      </c>
      <c r="F1137" s="8">
        <v>14.0</v>
      </c>
    </row>
    <row r="1138" ht="15.0" customHeight="1">
      <c r="A1138" s="9">
        <v>46251.0</v>
      </c>
      <c r="B1138" s="8" t="s">
        <v>1116</v>
      </c>
      <c r="C1138" s="8" t="s">
        <v>167</v>
      </c>
      <c r="D1138" s="8" t="s">
        <v>472</v>
      </c>
      <c r="E1138" s="8" t="b">
        <f t="shared" si="123"/>
        <v>0</v>
      </c>
      <c r="F1138" s="8">
        <v>14.0</v>
      </c>
    </row>
    <row r="1139" ht="15.0" customHeight="1">
      <c r="A1139" s="9">
        <v>46251.0</v>
      </c>
      <c r="B1139" s="8" t="s">
        <v>1108</v>
      </c>
      <c r="C1139" s="8" t="s">
        <v>167</v>
      </c>
      <c r="D1139" s="8" t="s">
        <v>472</v>
      </c>
      <c r="E1139" s="8" t="b">
        <f t="shared" si="123"/>
        <v>0</v>
      </c>
      <c r="F1139" s="8">
        <v>14.0</v>
      </c>
    </row>
    <row r="1140" ht="15.0" customHeight="1">
      <c r="A1140" s="9">
        <v>46251.0</v>
      </c>
      <c r="B1140" s="8" t="s">
        <v>587</v>
      </c>
      <c r="C1140" s="8" t="s">
        <v>313</v>
      </c>
      <c r="D1140" s="8" t="s">
        <v>313</v>
      </c>
      <c r="E1140" s="8" t="b">
        <f t="shared" si="123"/>
        <v>0</v>
      </c>
      <c r="F1140" s="8">
        <v>14.0</v>
      </c>
    </row>
    <row r="1141" ht="15.0" customHeight="1">
      <c r="A1141" s="9">
        <v>46251.0</v>
      </c>
      <c r="B1141" s="8" t="s">
        <v>1004</v>
      </c>
      <c r="C1141" s="8" t="s">
        <v>167</v>
      </c>
      <c r="D1141" s="8" t="s">
        <v>486</v>
      </c>
      <c r="E1141" s="8" t="b">
        <f t="shared" si="123"/>
        <v>0</v>
      </c>
      <c r="F1141" s="8">
        <v>14.0</v>
      </c>
    </row>
    <row r="1142" ht="15.0" customHeight="1">
      <c r="A1142" s="9">
        <v>46251.0</v>
      </c>
      <c r="B1142" s="8" t="s">
        <v>845</v>
      </c>
      <c r="C1142" s="8" t="s">
        <v>313</v>
      </c>
      <c r="D1142" s="8" t="s">
        <v>313</v>
      </c>
      <c r="E1142" s="8" t="b">
        <f t="shared" si="123"/>
        <v>0</v>
      </c>
      <c r="F1142" s="8">
        <v>14.0</v>
      </c>
    </row>
    <row r="1143" ht="15.0" customHeight="1">
      <c r="A1143" s="9">
        <v>46251.0</v>
      </c>
      <c r="B1143" s="8" t="s">
        <v>669</v>
      </c>
      <c r="C1143" s="8" t="s">
        <v>167</v>
      </c>
      <c r="D1143" s="8" t="s">
        <v>486</v>
      </c>
      <c r="E1143" s="8" t="b">
        <f t="shared" si="123"/>
        <v>0</v>
      </c>
      <c r="F1143" s="8">
        <v>14.0</v>
      </c>
    </row>
    <row r="1144" ht="15.0" customHeight="1">
      <c r="A1144" s="9">
        <v>46251.0</v>
      </c>
      <c r="B1144" s="8" t="s">
        <v>1112</v>
      </c>
      <c r="C1144" s="8" t="s">
        <v>167</v>
      </c>
      <c r="D1144" s="8" t="s">
        <v>469</v>
      </c>
      <c r="E1144" s="8" t="b">
        <f t="shared" si="123"/>
        <v>0</v>
      </c>
      <c r="F1144" s="8">
        <v>14.0</v>
      </c>
    </row>
    <row r="1145" ht="15.0" customHeight="1">
      <c r="A1145" s="9">
        <v>46258.0</v>
      </c>
      <c r="B1145" s="8" t="s">
        <v>544</v>
      </c>
      <c r="C1145" s="8" t="s">
        <v>167</v>
      </c>
      <c r="D1145" s="8" t="s">
        <v>472</v>
      </c>
      <c r="E1145" s="8" t="b">
        <f t="shared" si="123"/>
        <v>0</v>
      </c>
      <c r="F1145" s="8">
        <v>9.0</v>
      </c>
    </row>
    <row r="1146" ht="15.0" customHeight="1">
      <c r="A1146" s="9">
        <v>46258.0</v>
      </c>
      <c r="B1146" s="8" t="s">
        <v>557</v>
      </c>
      <c r="C1146" s="8" t="s">
        <v>167</v>
      </c>
      <c r="D1146" s="8" t="s">
        <v>469</v>
      </c>
      <c r="E1146" s="8" t="b">
        <f t="shared" si="123"/>
        <v>0</v>
      </c>
      <c r="F1146" s="8">
        <v>9.0</v>
      </c>
    </row>
    <row r="1147" ht="15.0" customHeight="1">
      <c r="A1147" s="9">
        <v>46258.0</v>
      </c>
      <c r="B1147" s="8" t="s">
        <v>109</v>
      </c>
      <c r="C1147" s="8" t="s">
        <v>116</v>
      </c>
      <c r="D1147" s="8" t="s">
        <v>116</v>
      </c>
      <c r="E1147" s="8" t="b">
        <f>TRUE()</f>
        <v>1</v>
      </c>
      <c r="F1147" s="8">
        <v>9.0</v>
      </c>
    </row>
    <row r="1148" ht="15.0" customHeight="1">
      <c r="A1148" s="9">
        <v>46258.0</v>
      </c>
      <c r="B1148" s="8" t="s">
        <v>589</v>
      </c>
      <c r="C1148" s="8" t="s">
        <v>377</v>
      </c>
      <c r="D1148" s="8" t="s">
        <v>482</v>
      </c>
      <c r="E1148" s="8" t="b">
        <f t="shared" ref="E1148:E1162" si="124">FALSE()</f>
        <v>0</v>
      </c>
      <c r="F1148" s="8">
        <v>9.0</v>
      </c>
    </row>
    <row r="1149" ht="15.0" customHeight="1">
      <c r="A1149" s="9">
        <v>46258.0</v>
      </c>
      <c r="B1149" s="8" t="s">
        <v>634</v>
      </c>
      <c r="C1149" s="8" t="s">
        <v>167</v>
      </c>
      <c r="D1149" s="8" t="s">
        <v>486</v>
      </c>
      <c r="E1149" s="8" t="b">
        <f t="shared" si="124"/>
        <v>0</v>
      </c>
      <c r="F1149" s="8">
        <v>9.0</v>
      </c>
    </row>
    <row r="1150" ht="15.0" customHeight="1">
      <c r="A1150" s="9">
        <v>46258.0</v>
      </c>
      <c r="B1150" s="8" t="s">
        <v>244</v>
      </c>
      <c r="C1150" s="8" t="s">
        <v>167</v>
      </c>
      <c r="D1150" s="8" t="s">
        <v>469</v>
      </c>
      <c r="E1150" s="8" t="b">
        <f t="shared" si="124"/>
        <v>0</v>
      </c>
      <c r="F1150" s="8">
        <v>9.0</v>
      </c>
    </row>
    <row r="1151" ht="15.0" customHeight="1">
      <c r="A1151" s="9">
        <v>46258.0</v>
      </c>
      <c r="B1151" s="8" t="s">
        <v>709</v>
      </c>
      <c r="C1151" s="8" t="s">
        <v>167</v>
      </c>
      <c r="D1151" s="8" t="s">
        <v>469</v>
      </c>
      <c r="E1151" s="8" t="b">
        <f t="shared" si="124"/>
        <v>0</v>
      </c>
      <c r="F1151" s="8">
        <v>9.0</v>
      </c>
    </row>
    <row r="1152" ht="15.0" customHeight="1">
      <c r="A1152" s="9">
        <v>46258.0</v>
      </c>
      <c r="B1152" s="8" t="s">
        <v>282</v>
      </c>
      <c r="C1152" s="8" t="s">
        <v>54</v>
      </c>
      <c r="D1152" s="8" t="s">
        <v>606</v>
      </c>
      <c r="E1152" s="8" t="b">
        <f t="shared" si="124"/>
        <v>0</v>
      </c>
      <c r="F1152" s="8">
        <v>9.0</v>
      </c>
    </row>
    <row r="1153" ht="15.0" customHeight="1">
      <c r="A1153" s="9">
        <v>46258.0</v>
      </c>
      <c r="B1153" s="8" t="s">
        <v>736</v>
      </c>
      <c r="C1153" s="8" t="s">
        <v>377</v>
      </c>
      <c r="D1153" s="8" t="s">
        <v>482</v>
      </c>
      <c r="E1153" s="8" t="b">
        <f t="shared" si="124"/>
        <v>0</v>
      </c>
      <c r="F1153" s="8">
        <v>9.0</v>
      </c>
    </row>
    <row r="1154" ht="15.0" customHeight="1">
      <c r="A1154" s="9">
        <v>46258.0</v>
      </c>
      <c r="B1154" s="8" t="s">
        <v>770</v>
      </c>
      <c r="C1154" s="8" t="s">
        <v>167</v>
      </c>
      <c r="D1154" s="8" t="s">
        <v>486</v>
      </c>
      <c r="E1154" s="8" t="b">
        <f t="shared" si="124"/>
        <v>0</v>
      </c>
      <c r="F1154" s="8">
        <v>9.0</v>
      </c>
    </row>
    <row r="1155" ht="15.0" customHeight="1">
      <c r="A1155" s="9">
        <v>46258.0</v>
      </c>
      <c r="B1155" s="8" t="s">
        <v>272</v>
      </c>
      <c r="C1155" s="8" t="s">
        <v>167</v>
      </c>
      <c r="D1155" s="8" t="s">
        <v>469</v>
      </c>
      <c r="E1155" s="8" t="b">
        <f t="shared" si="124"/>
        <v>0</v>
      </c>
      <c r="F1155" s="8">
        <v>9.0</v>
      </c>
    </row>
    <row r="1156" ht="15.0" customHeight="1">
      <c r="A1156" s="9">
        <v>46258.0</v>
      </c>
      <c r="B1156" s="8" t="s">
        <v>823</v>
      </c>
      <c r="C1156" s="8" t="s">
        <v>167</v>
      </c>
      <c r="D1156" s="8" t="s">
        <v>486</v>
      </c>
      <c r="E1156" s="8" t="b">
        <f t="shared" si="124"/>
        <v>0</v>
      </c>
      <c r="F1156" s="8">
        <v>9.0</v>
      </c>
    </row>
    <row r="1157" ht="15.0" customHeight="1">
      <c r="A1157" s="9">
        <v>46258.0</v>
      </c>
      <c r="B1157" s="8" t="s">
        <v>753</v>
      </c>
      <c r="C1157" s="8" t="s">
        <v>377</v>
      </c>
      <c r="D1157" s="8" t="s">
        <v>482</v>
      </c>
      <c r="E1157" s="8" t="b">
        <f t="shared" si="124"/>
        <v>0</v>
      </c>
      <c r="F1157" s="8">
        <v>9.0</v>
      </c>
    </row>
    <row r="1158" ht="15.0" customHeight="1">
      <c r="A1158" s="9">
        <v>46258.0</v>
      </c>
      <c r="B1158" s="8" t="s">
        <v>884</v>
      </c>
      <c r="C1158" s="8" t="s">
        <v>167</v>
      </c>
      <c r="D1158" s="8" t="s">
        <v>469</v>
      </c>
      <c r="E1158" s="8" t="b">
        <f t="shared" si="124"/>
        <v>0</v>
      </c>
      <c r="F1158" s="8">
        <v>9.0</v>
      </c>
    </row>
    <row r="1159" ht="15.0" customHeight="1">
      <c r="A1159" s="9">
        <v>46258.0</v>
      </c>
      <c r="B1159" s="8" t="s">
        <v>763</v>
      </c>
      <c r="C1159" s="8" t="s">
        <v>167</v>
      </c>
      <c r="D1159" s="8" t="s">
        <v>469</v>
      </c>
      <c r="E1159" s="8" t="b">
        <f t="shared" si="124"/>
        <v>0</v>
      </c>
      <c r="F1159" s="8">
        <v>9.0</v>
      </c>
    </row>
    <row r="1160" ht="15.0" customHeight="1">
      <c r="A1160" s="9">
        <v>46258.0</v>
      </c>
      <c r="B1160" s="8" t="s">
        <v>892</v>
      </c>
      <c r="C1160" s="8" t="s">
        <v>167</v>
      </c>
      <c r="D1160" s="8" t="s">
        <v>469</v>
      </c>
      <c r="E1160" s="8" t="b">
        <f t="shared" si="124"/>
        <v>0</v>
      </c>
      <c r="F1160" s="8">
        <v>9.0</v>
      </c>
    </row>
    <row r="1161" ht="15.0" customHeight="1">
      <c r="A1161" s="9">
        <v>46258.0</v>
      </c>
      <c r="B1161" s="8" t="s">
        <v>773</v>
      </c>
      <c r="C1161" s="8" t="s">
        <v>167</v>
      </c>
      <c r="D1161" s="8" t="s">
        <v>472</v>
      </c>
      <c r="E1161" s="8" t="b">
        <f t="shared" si="124"/>
        <v>0</v>
      </c>
      <c r="F1161" s="8">
        <v>9.0</v>
      </c>
    </row>
    <row r="1162" ht="15.0" customHeight="1">
      <c r="A1162" s="9">
        <v>46258.0</v>
      </c>
      <c r="B1162" s="8" t="s">
        <v>779</v>
      </c>
      <c r="C1162" s="8" t="s">
        <v>167</v>
      </c>
      <c r="D1162" s="8" t="s">
        <v>472</v>
      </c>
      <c r="E1162" s="8" t="b">
        <f t="shared" si="124"/>
        <v>0</v>
      </c>
      <c r="F1162" s="8">
        <v>9.0</v>
      </c>
    </row>
    <row r="1163" ht="15.0" customHeight="1">
      <c r="A1163" s="9">
        <v>46258.0</v>
      </c>
      <c r="B1163" s="8" t="s">
        <v>188</v>
      </c>
      <c r="C1163" s="8" t="s">
        <v>116</v>
      </c>
      <c r="D1163" s="8" t="s">
        <v>116</v>
      </c>
      <c r="E1163" s="8" t="b">
        <f t="shared" ref="E1163:E1164" si="125">TRUE()</f>
        <v>1</v>
      </c>
      <c r="F1163" s="8">
        <v>9.0</v>
      </c>
    </row>
    <row r="1164" ht="15.0" customHeight="1">
      <c r="A1164" s="9">
        <v>46258.0</v>
      </c>
      <c r="B1164" s="8" t="s">
        <v>158</v>
      </c>
      <c r="C1164" s="8" t="s">
        <v>116</v>
      </c>
      <c r="D1164" s="8" t="s">
        <v>116</v>
      </c>
      <c r="E1164" s="8" t="b">
        <f t="shared" si="125"/>
        <v>1</v>
      </c>
      <c r="F1164" s="8">
        <v>9.0</v>
      </c>
    </row>
    <row r="1165" ht="15.0" customHeight="1">
      <c r="A1165" s="9">
        <v>46258.0</v>
      </c>
      <c r="B1165" s="8" t="s">
        <v>967</v>
      </c>
      <c r="C1165" s="8" t="s">
        <v>167</v>
      </c>
      <c r="D1165" s="8" t="s">
        <v>472</v>
      </c>
      <c r="E1165" s="8" t="b">
        <f t="shared" ref="E1165:E1166" si="126">FALSE()</f>
        <v>0</v>
      </c>
      <c r="F1165" s="8">
        <v>9.0</v>
      </c>
    </row>
    <row r="1166" ht="15.0" customHeight="1">
      <c r="A1166" s="9">
        <v>46258.0</v>
      </c>
      <c r="B1166" s="8" t="s">
        <v>1079</v>
      </c>
      <c r="C1166" s="8" t="s">
        <v>167</v>
      </c>
      <c r="D1166" s="8" t="s">
        <v>469</v>
      </c>
      <c r="E1166" s="8" t="b">
        <f t="shared" si="126"/>
        <v>0</v>
      </c>
      <c r="F1166" s="8">
        <v>9.0</v>
      </c>
    </row>
    <row r="1167" ht="15.0" customHeight="1">
      <c r="A1167" s="9">
        <v>46258.0</v>
      </c>
      <c r="B1167" s="8" t="s">
        <v>307</v>
      </c>
      <c r="C1167" s="8" t="s">
        <v>167</v>
      </c>
      <c r="D1167" s="8" t="s">
        <v>472</v>
      </c>
      <c r="E1167" s="8" t="b">
        <f>TRUE()</f>
        <v>1</v>
      </c>
      <c r="F1167" s="8">
        <v>9.0</v>
      </c>
    </row>
    <row r="1168" ht="15.0" customHeight="1">
      <c r="A1168" s="9">
        <v>46258.0</v>
      </c>
      <c r="B1168" s="8" t="s">
        <v>987</v>
      </c>
      <c r="C1168" s="8" t="s">
        <v>167</v>
      </c>
      <c r="D1168" s="8" t="s">
        <v>469</v>
      </c>
      <c r="E1168" s="8" t="b">
        <f t="shared" ref="E1168:E1192" si="127">FALSE()</f>
        <v>0</v>
      </c>
      <c r="F1168" s="8">
        <v>9.0</v>
      </c>
    </row>
    <row r="1169" ht="15.0" customHeight="1">
      <c r="A1169" s="9">
        <v>46258.0</v>
      </c>
      <c r="B1169" s="8" t="s">
        <v>1116</v>
      </c>
      <c r="C1169" s="8" t="s">
        <v>167</v>
      </c>
      <c r="D1169" s="8" t="s">
        <v>472</v>
      </c>
      <c r="E1169" s="8" t="b">
        <f t="shared" si="127"/>
        <v>0</v>
      </c>
      <c r="F1169" s="8">
        <v>9.0</v>
      </c>
    </row>
    <row r="1170" ht="15.0" customHeight="1">
      <c r="A1170" s="9">
        <v>46258.0</v>
      </c>
      <c r="B1170" s="8" t="s">
        <v>821</v>
      </c>
      <c r="C1170" s="8" t="s">
        <v>167</v>
      </c>
      <c r="D1170" s="8" t="s">
        <v>469</v>
      </c>
      <c r="E1170" s="8" t="b">
        <f t="shared" si="127"/>
        <v>0</v>
      </c>
      <c r="F1170" s="8">
        <v>9.0</v>
      </c>
    </row>
    <row r="1171" ht="15.0" customHeight="1">
      <c r="A1171" s="9">
        <v>46258.0</v>
      </c>
      <c r="B1171" s="8" t="s">
        <v>1108</v>
      </c>
      <c r="C1171" s="8" t="s">
        <v>167</v>
      </c>
      <c r="D1171" s="8" t="s">
        <v>472</v>
      </c>
      <c r="E1171" s="8" t="b">
        <f t="shared" si="127"/>
        <v>0</v>
      </c>
      <c r="F1171" s="8">
        <v>9.0</v>
      </c>
    </row>
    <row r="1172" ht="15.0" customHeight="1">
      <c r="A1172" s="9">
        <v>46258.0</v>
      </c>
      <c r="B1172" s="8" t="s">
        <v>587</v>
      </c>
      <c r="C1172" s="8" t="s">
        <v>313</v>
      </c>
      <c r="D1172" s="8" t="s">
        <v>313</v>
      </c>
      <c r="E1172" s="8" t="b">
        <f t="shared" si="127"/>
        <v>0</v>
      </c>
      <c r="F1172" s="8">
        <v>9.0</v>
      </c>
    </row>
    <row r="1173" ht="15.0" customHeight="1">
      <c r="A1173" s="9">
        <v>46258.0</v>
      </c>
      <c r="B1173" s="8" t="s">
        <v>1004</v>
      </c>
      <c r="C1173" s="8" t="s">
        <v>167</v>
      </c>
      <c r="D1173" s="8" t="s">
        <v>486</v>
      </c>
      <c r="E1173" s="8" t="b">
        <f t="shared" si="127"/>
        <v>0</v>
      </c>
      <c r="F1173" s="8">
        <v>9.0</v>
      </c>
    </row>
    <row r="1174" ht="15.0" customHeight="1">
      <c r="A1174" s="9">
        <v>46258.0</v>
      </c>
      <c r="B1174" s="8" t="s">
        <v>845</v>
      </c>
      <c r="C1174" s="8" t="s">
        <v>313</v>
      </c>
      <c r="D1174" s="8" t="s">
        <v>313</v>
      </c>
      <c r="E1174" s="8" t="b">
        <f t="shared" si="127"/>
        <v>0</v>
      </c>
      <c r="F1174" s="8">
        <v>9.0</v>
      </c>
    </row>
    <row r="1175" ht="15.0" customHeight="1">
      <c r="A1175" s="9">
        <v>46258.0</v>
      </c>
      <c r="B1175" s="8" t="s">
        <v>669</v>
      </c>
      <c r="C1175" s="8" t="s">
        <v>167</v>
      </c>
      <c r="D1175" s="8" t="s">
        <v>486</v>
      </c>
      <c r="E1175" s="8" t="b">
        <f t="shared" si="127"/>
        <v>0</v>
      </c>
      <c r="F1175" s="8">
        <v>9.0</v>
      </c>
    </row>
    <row r="1176" ht="15.0" customHeight="1">
      <c r="A1176" s="9">
        <v>46258.0</v>
      </c>
      <c r="B1176" s="8" t="s">
        <v>1001</v>
      </c>
      <c r="C1176" s="8" t="s">
        <v>167</v>
      </c>
      <c r="D1176" s="8" t="s">
        <v>469</v>
      </c>
      <c r="E1176" s="8" t="b">
        <f t="shared" si="127"/>
        <v>0</v>
      </c>
      <c r="F1176" s="8">
        <v>9.0</v>
      </c>
    </row>
    <row r="1177" ht="15.0" customHeight="1">
      <c r="A1177" s="9">
        <v>46258.0</v>
      </c>
      <c r="B1177" s="8" t="s">
        <v>1112</v>
      </c>
      <c r="C1177" s="8" t="s">
        <v>167</v>
      </c>
      <c r="D1177" s="8" t="s">
        <v>469</v>
      </c>
      <c r="E1177" s="8" t="b">
        <f t="shared" si="127"/>
        <v>0</v>
      </c>
      <c r="F1177" s="8">
        <v>9.0</v>
      </c>
    </row>
    <row r="1178" ht="15.0" customHeight="1">
      <c r="A1178" s="9">
        <v>46265.0</v>
      </c>
      <c r="B1178" s="8" t="s">
        <v>544</v>
      </c>
      <c r="C1178" s="8" t="s">
        <v>167</v>
      </c>
      <c r="D1178" s="8" t="s">
        <v>472</v>
      </c>
      <c r="E1178" s="8" t="b">
        <f t="shared" si="127"/>
        <v>0</v>
      </c>
      <c r="F1178" s="8">
        <v>3.0</v>
      </c>
    </row>
    <row r="1179" ht="15.0" customHeight="1">
      <c r="A1179" s="9">
        <v>46265.0</v>
      </c>
      <c r="B1179" s="8" t="s">
        <v>109</v>
      </c>
      <c r="C1179" s="8" t="s">
        <v>313</v>
      </c>
      <c r="D1179" s="8" t="s">
        <v>313</v>
      </c>
      <c r="E1179" s="8" t="b">
        <f t="shared" si="127"/>
        <v>0</v>
      </c>
      <c r="F1179" s="8">
        <v>3.0</v>
      </c>
    </row>
    <row r="1180" ht="15.0" customHeight="1">
      <c r="A1180" s="9">
        <v>46265.0</v>
      </c>
      <c r="B1180" s="8" t="s">
        <v>591</v>
      </c>
      <c r="C1180" s="8" t="s">
        <v>167</v>
      </c>
      <c r="D1180" s="8" t="s">
        <v>472</v>
      </c>
      <c r="E1180" s="8" t="b">
        <f t="shared" si="127"/>
        <v>0</v>
      </c>
      <c r="F1180" s="8">
        <v>3.0</v>
      </c>
    </row>
    <row r="1181" ht="15.0" customHeight="1">
      <c r="A1181" s="9">
        <v>46265.0</v>
      </c>
      <c r="B1181" s="8" t="s">
        <v>621</v>
      </c>
      <c r="C1181" s="8" t="s">
        <v>167</v>
      </c>
      <c r="D1181" s="8" t="s">
        <v>469</v>
      </c>
      <c r="E1181" s="8" t="b">
        <f t="shared" si="127"/>
        <v>0</v>
      </c>
      <c r="F1181" s="8">
        <v>3.0</v>
      </c>
    </row>
    <row r="1182" ht="15.0" customHeight="1">
      <c r="A1182" s="9">
        <v>46265.0</v>
      </c>
      <c r="B1182" s="8" t="s">
        <v>244</v>
      </c>
      <c r="C1182" s="8" t="s">
        <v>167</v>
      </c>
      <c r="D1182" s="8" t="s">
        <v>469</v>
      </c>
      <c r="E1182" s="8" t="b">
        <f t="shared" si="127"/>
        <v>0</v>
      </c>
      <c r="F1182" s="8">
        <v>3.0</v>
      </c>
    </row>
    <row r="1183" ht="15.0" customHeight="1">
      <c r="A1183" s="9">
        <v>46265.0</v>
      </c>
      <c r="B1183" s="8" t="s">
        <v>709</v>
      </c>
      <c r="C1183" s="8" t="s">
        <v>167</v>
      </c>
      <c r="D1183" s="8" t="s">
        <v>469</v>
      </c>
      <c r="E1183" s="8" t="b">
        <f t="shared" si="127"/>
        <v>0</v>
      </c>
      <c r="F1183" s="8">
        <v>3.0</v>
      </c>
    </row>
    <row r="1184" ht="15.0" customHeight="1">
      <c r="A1184" s="9">
        <v>46265.0</v>
      </c>
      <c r="B1184" s="8" t="s">
        <v>736</v>
      </c>
      <c r="C1184" s="8" t="s">
        <v>167</v>
      </c>
      <c r="D1184" s="8" t="s">
        <v>469</v>
      </c>
      <c r="E1184" s="8" t="b">
        <f t="shared" si="127"/>
        <v>0</v>
      </c>
      <c r="F1184" s="8">
        <v>3.0</v>
      </c>
    </row>
    <row r="1185" ht="15.0" customHeight="1">
      <c r="A1185" s="9">
        <v>46265.0</v>
      </c>
      <c r="B1185" s="8" t="s">
        <v>770</v>
      </c>
      <c r="C1185" s="8" t="s">
        <v>167</v>
      </c>
      <c r="D1185" s="8" t="s">
        <v>486</v>
      </c>
      <c r="E1185" s="8" t="b">
        <f t="shared" si="127"/>
        <v>0</v>
      </c>
      <c r="F1185" s="8">
        <v>3.0</v>
      </c>
    </row>
    <row r="1186" ht="15.0" customHeight="1">
      <c r="A1186" s="9">
        <v>46265.0</v>
      </c>
      <c r="B1186" s="8" t="s">
        <v>741</v>
      </c>
      <c r="C1186" s="8" t="s">
        <v>167</v>
      </c>
      <c r="D1186" s="8" t="s">
        <v>486</v>
      </c>
      <c r="E1186" s="8" t="b">
        <f t="shared" si="127"/>
        <v>0</v>
      </c>
      <c r="F1186" s="8">
        <v>3.0</v>
      </c>
    </row>
    <row r="1187" ht="15.0" customHeight="1">
      <c r="A1187" s="9">
        <v>46265.0</v>
      </c>
      <c r="B1187" s="8" t="s">
        <v>753</v>
      </c>
      <c r="C1187" s="8" t="s">
        <v>167</v>
      </c>
      <c r="D1187" s="8" t="s">
        <v>472</v>
      </c>
      <c r="E1187" s="8" t="b">
        <f t="shared" si="127"/>
        <v>0</v>
      </c>
      <c r="F1187" s="8">
        <v>3.0</v>
      </c>
    </row>
    <row r="1188" ht="15.0" customHeight="1">
      <c r="A1188" s="9">
        <v>46265.0</v>
      </c>
      <c r="B1188" s="8" t="s">
        <v>884</v>
      </c>
      <c r="C1188" s="8" t="s">
        <v>167</v>
      </c>
      <c r="D1188" s="8" t="s">
        <v>469</v>
      </c>
      <c r="E1188" s="8" t="b">
        <f t="shared" si="127"/>
        <v>0</v>
      </c>
      <c r="F1188" s="8">
        <v>3.0</v>
      </c>
    </row>
    <row r="1189" ht="15.0" customHeight="1">
      <c r="A1189" s="9">
        <v>46265.0</v>
      </c>
      <c r="B1189" s="8" t="s">
        <v>763</v>
      </c>
      <c r="C1189" s="8" t="s">
        <v>167</v>
      </c>
      <c r="D1189" s="8" t="s">
        <v>469</v>
      </c>
      <c r="E1189" s="8" t="b">
        <f t="shared" si="127"/>
        <v>0</v>
      </c>
      <c r="F1189" s="8">
        <v>3.0</v>
      </c>
    </row>
    <row r="1190" ht="15.0" customHeight="1">
      <c r="A1190" s="9">
        <v>46265.0</v>
      </c>
      <c r="B1190" s="8" t="s">
        <v>892</v>
      </c>
      <c r="C1190" s="8" t="s">
        <v>167</v>
      </c>
      <c r="D1190" s="8" t="s">
        <v>469</v>
      </c>
      <c r="E1190" s="8" t="b">
        <f t="shared" si="127"/>
        <v>0</v>
      </c>
      <c r="F1190" s="8">
        <v>3.0</v>
      </c>
    </row>
    <row r="1191" ht="15.0" customHeight="1">
      <c r="A1191" s="9">
        <v>46265.0</v>
      </c>
      <c r="B1191" s="8" t="s">
        <v>773</v>
      </c>
      <c r="C1191" s="8" t="s">
        <v>167</v>
      </c>
      <c r="D1191" s="8" t="s">
        <v>472</v>
      </c>
      <c r="E1191" s="8" t="b">
        <f t="shared" si="127"/>
        <v>0</v>
      </c>
      <c r="F1191" s="8">
        <v>3.0</v>
      </c>
    </row>
    <row r="1192" ht="15.0" customHeight="1">
      <c r="A1192" s="9">
        <v>46265.0</v>
      </c>
      <c r="B1192" s="8" t="s">
        <v>779</v>
      </c>
      <c r="C1192" s="8" t="s">
        <v>167</v>
      </c>
      <c r="D1192" s="8" t="s">
        <v>472</v>
      </c>
      <c r="E1192" s="8" t="b">
        <f t="shared" si="127"/>
        <v>0</v>
      </c>
      <c r="F1192" s="8">
        <v>3.0</v>
      </c>
    </row>
    <row r="1193" ht="15.0" customHeight="1">
      <c r="A1193" s="9">
        <v>46265.0</v>
      </c>
      <c r="B1193" s="8" t="s">
        <v>188</v>
      </c>
      <c r="C1193" s="8" t="s">
        <v>116</v>
      </c>
      <c r="D1193" s="8" t="s">
        <v>116</v>
      </c>
      <c r="E1193" s="8" t="b">
        <f t="shared" ref="E1193:E1194" si="128">TRUE()</f>
        <v>1</v>
      </c>
      <c r="F1193" s="8">
        <v>3.0</v>
      </c>
    </row>
    <row r="1194" ht="15.0" customHeight="1">
      <c r="A1194" s="9">
        <v>46265.0</v>
      </c>
      <c r="B1194" s="8" t="s">
        <v>158</v>
      </c>
      <c r="C1194" s="8" t="s">
        <v>116</v>
      </c>
      <c r="D1194" s="8" t="s">
        <v>116</v>
      </c>
      <c r="E1194" s="8" t="b">
        <f t="shared" si="128"/>
        <v>1</v>
      </c>
      <c r="F1194" s="8">
        <v>3.0</v>
      </c>
    </row>
    <row r="1195" ht="15.0" customHeight="1">
      <c r="A1195" s="9">
        <v>46265.0</v>
      </c>
      <c r="B1195" s="8" t="s">
        <v>967</v>
      </c>
      <c r="C1195" s="8" t="s">
        <v>167</v>
      </c>
      <c r="D1195" s="8" t="s">
        <v>472</v>
      </c>
      <c r="E1195" s="8" t="b">
        <f t="shared" ref="E1195:E1208" si="129">FALSE()</f>
        <v>0</v>
      </c>
      <c r="F1195" s="8">
        <v>3.0</v>
      </c>
    </row>
    <row r="1196" ht="15.0" customHeight="1">
      <c r="A1196" s="9">
        <v>46265.0</v>
      </c>
      <c r="B1196" s="8" t="s">
        <v>1150</v>
      </c>
      <c r="C1196" s="8" t="s">
        <v>167</v>
      </c>
      <c r="D1196" s="8" t="s">
        <v>469</v>
      </c>
      <c r="E1196" s="8" t="b">
        <f t="shared" si="129"/>
        <v>0</v>
      </c>
      <c r="F1196" s="8">
        <v>3.0</v>
      </c>
    </row>
    <row r="1197" ht="15.0" customHeight="1">
      <c r="A1197" s="9">
        <v>46265.0</v>
      </c>
      <c r="B1197" s="8" t="s">
        <v>987</v>
      </c>
      <c r="C1197" s="8" t="s">
        <v>167</v>
      </c>
      <c r="D1197" s="8" t="s">
        <v>469</v>
      </c>
      <c r="E1197" s="8" t="b">
        <f t="shared" si="129"/>
        <v>0</v>
      </c>
      <c r="F1197" s="8">
        <v>3.0</v>
      </c>
    </row>
    <row r="1198" ht="15.0" customHeight="1">
      <c r="A1198" s="9">
        <v>46265.0</v>
      </c>
      <c r="B1198" s="8" t="s">
        <v>811</v>
      </c>
      <c r="C1198" s="8" t="s">
        <v>167</v>
      </c>
      <c r="D1198" s="8" t="s">
        <v>469</v>
      </c>
      <c r="E1198" s="8" t="b">
        <f t="shared" si="129"/>
        <v>0</v>
      </c>
      <c r="F1198" s="8">
        <v>3.0</v>
      </c>
    </row>
    <row r="1199" ht="15.0" customHeight="1">
      <c r="A1199" s="9">
        <v>46265.0</v>
      </c>
      <c r="B1199" s="8" t="s">
        <v>1116</v>
      </c>
      <c r="C1199" s="8" t="s">
        <v>167</v>
      </c>
      <c r="D1199" s="8" t="s">
        <v>472</v>
      </c>
      <c r="E1199" s="8" t="b">
        <f t="shared" si="129"/>
        <v>0</v>
      </c>
      <c r="F1199" s="8">
        <v>3.0</v>
      </c>
    </row>
    <row r="1200" ht="15.0" customHeight="1">
      <c r="A1200" s="9">
        <v>46265.0</v>
      </c>
      <c r="B1200" s="8" t="s">
        <v>819</v>
      </c>
      <c r="C1200" s="8" t="s">
        <v>167</v>
      </c>
      <c r="D1200" s="8" t="s">
        <v>486</v>
      </c>
      <c r="E1200" s="8" t="b">
        <f t="shared" si="129"/>
        <v>0</v>
      </c>
      <c r="F1200" s="8">
        <v>3.0</v>
      </c>
    </row>
    <row r="1201" ht="15.0" customHeight="1">
      <c r="A1201" s="9">
        <v>46265.0</v>
      </c>
      <c r="B1201" s="8" t="s">
        <v>1108</v>
      </c>
      <c r="C1201" s="8" t="s">
        <v>167</v>
      </c>
      <c r="D1201" s="8" t="s">
        <v>472</v>
      </c>
      <c r="E1201" s="8" t="b">
        <f t="shared" si="129"/>
        <v>0</v>
      </c>
      <c r="F1201" s="8">
        <v>3.0</v>
      </c>
    </row>
    <row r="1202" ht="15.0" customHeight="1">
      <c r="A1202" s="9">
        <v>46265.0</v>
      </c>
      <c r="B1202" s="8" t="s">
        <v>826</v>
      </c>
      <c r="C1202" s="8" t="s">
        <v>167</v>
      </c>
      <c r="D1202" s="8" t="s">
        <v>486</v>
      </c>
      <c r="E1202" s="8" t="b">
        <f t="shared" si="129"/>
        <v>0</v>
      </c>
      <c r="F1202" s="8">
        <v>3.0</v>
      </c>
    </row>
    <row r="1203" ht="15.0" customHeight="1">
      <c r="A1203" s="9">
        <v>46265.0</v>
      </c>
      <c r="B1203" s="8" t="s">
        <v>587</v>
      </c>
      <c r="C1203" s="8" t="s">
        <v>313</v>
      </c>
      <c r="D1203" s="8" t="s">
        <v>313</v>
      </c>
      <c r="E1203" s="8" t="b">
        <f t="shared" si="129"/>
        <v>0</v>
      </c>
      <c r="F1203" s="8">
        <v>3.0</v>
      </c>
    </row>
    <row r="1204" ht="15.0" customHeight="1">
      <c r="A1204" s="9">
        <v>46265.0</v>
      </c>
      <c r="B1204" s="8" t="s">
        <v>1004</v>
      </c>
      <c r="C1204" s="8" t="s">
        <v>167</v>
      </c>
      <c r="D1204" s="8" t="s">
        <v>486</v>
      </c>
      <c r="E1204" s="8" t="b">
        <f t="shared" si="129"/>
        <v>0</v>
      </c>
      <c r="F1204" s="8">
        <v>3.0</v>
      </c>
    </row>
    <row r="1205" ht="15.0" customHeight="1">
      <c r="A1205" s="9">
        <v>46265.0</v>
      </c>
      <c r="B1205" s="8" t="s">
        <v>845</v>
      </c>
      <c r="C1205" s="8" t="s">
        <v>313</v>
      </c>
      <c r="D1205" s="8" t="s">
        <v>313</v>
      </c>
      <c r="E1205" s="8" t="b">
        <f t="shared" si="129"/>
        <v>0</v>
      </c>
      <c r="F1205" s="8">
        <v>3.0</v>
      </c>
    </row>
    <row r="1206" ht="15.0" customHeight="1">
      <c r="A1206" s="9">
        <v>46265.0</v>
      </c>
      <c r="B1206" s="8" t="s">
        <v>202</v>
      </c>
      <c r="C1206" s="8" t="s">
        <v>377</v>
      </c>
      <c r="D1206" s="8" t="s">
        <v>482</v>
      </c>
      <c r="E1206" s="8" t="b">
        <f t="shared" si="129"/>
        <v>0</v>
      </c>
      <c r="F1206" s="8">
        <v>3.0</v>
      </c>
    </row>
    <row r="1207" ht="15.0" customHeight="1">
      <c r="A1207" s="9">
        <v>46265.0</v>
      </c>
      <c r="B1207" s="8" t="s">
        <v>1001</v>
      </c>
      <c r="C1207" s="8" t="s">
        <v>167</v>
      </c>
      <c r="D1207" s="8" t="s">
        <v>469</v>
      </c>
      <c r="E1207" s="8" t="b">
        <f t="shared" si="129"/>
        <v>0</v>
      </c>
      <c r="F1207" s="8">
        <v>3.0</v>
      </c>
    </row>
    <row r="1208" ht="15.0" customHeight="1">
      <c r="A1208" s="9">
        <v>46265.0</v>
      </c>
      <c r="B1208" s="8" t="s">
        <v>1112</v>
      </c>
      <c r="C1208" s="8" t="s">
        <v>167</v>
      </c>
      <c r="D1208" s="8" t="s">
        <v>469</v>
      </c>
      <c r="E1208" s="8" t="b">
        <f t="shared" si="129"/>
        <v>0</v>
      </c>
      <c r="F1208" s="8">
        <v>3.0</v>
      </c>
    </row>
    <row r="1209" ht="15.0" customHeight="1">
      <c r="B1209" s="6"/>
      <c r="C1209" s="6"/>
      <c r="D1209" s="6"/>
    </row>
    <row r="1210" ht="15.0" customHeight="1">
      <c r="B1210" s="6"/>
      <c r="C1210" s="6"/>
      <c r="D1210" s="6"/>
    </row>
    <row r="1211" ht="15.0" customHeight="1">
      <c r="B1211" s="6"/>
      <c r="C1211" s="6"/>
      <c r="D1211" s="6"/>
    </row>
    <row r="1212" ht="15.0" customHeight="1">
      <c r="B1212" s="6"/>
      <c r="C1212" s="6"/>
      <c r="D1212" s="6"/>
    </row>
    <row r="1213" ht="15.0" customHeight="1">
      <c r="B1213" s="6"/>
      <c r="C1213" s="6"/>
      <c r="D1213" s="6"/>
    </row>
    <row r="1214" ht="15.0" customHeight="1">
      <c r="B1214" s="6"/>
      <c r="C1214" s="6"/>
      <c r="D1214" s="6"/>
    </row>
    <row r="1215" ht="15.0" customHeight="1">
      <c r="B1215" s="6"/>
      <c r="C1215" s="6"/>
      <c r="D1215" s="6"/>
    </row>
    <row r="1216" ht="15.0" customHeight="1">
      <c r="B1216" s="6"/>
      <c r="C1216" s="6"/>
      <c r="D1216" s="6"/>
    </row>
    <row r="1217" ht="15.0" customHeight="1">
      <c r="B1217" s="6"/>
      <c r="C1217" s="6"/>
      <c r="D1217" s="6"/>
    </row>
    <row r="1218" ht="15.0" customHeight="1">
      <c r="B1218" s="6"/>
      <c r="C1218" s="6"/>
      <c r="D1218" s="6"/>
    </row>
    <row r="1219" ht="15.0" customHeight="1">
      <c r="B1219" s="6"/>
      <c r="C1219" s="6"/>
      <c r="D1219" s="6"/>
    </row>
    <row r="1220" ht="15.0" customHeight="1">
      <c r="B1220" s="6"/>
      <c r="C1220" s="6"/>
      <c r="D1220" s="6"/>
    </row>
    <row r="1221" ht="15.0" customHeight="1">
      <c r="B1221" s="6"/>
      <c r="C1221" s="6"/>
      <c r="D1221" s="6"/>
    </row>
    <row r="1222" ht="15.0" customHeight="1">
      <c r="B1222" s="6"/>
      <c r="C1222" s="6"/>
      <c r="D1222" s="6"/>
    </row>
    <row r="1223" ht="15.0" customHeight="1">
      <c r="B1223" s="6"/>
      <c r="C1223" s="6"/>
      <c r="D1223" s="6"/>
    </row>
    <row r="1224" ht="15.0" customHeight="1">
      <c r="B1224" s="6"/>
      <c r="C1224" s="6"/>
      <c r="D1224" s="6"/>
    </row>
    <row r="1225" ht="15.0" customHeight="1">
      <c r="B1225" s="6"/>
      <c r="C1225" s="6"/>
      <c r="D1225" s="6"/>
    </row>
    <row r="1226" ht="15.0" customHeight="1">
      <c r="B1226" s="6"/>
      <c r="C1226" s="6"/>
      <c r="D1226" s="6"/>
    </row>
    <row r="1227" ht="15.0" customHeight="1">
      <c r="B1227" s="6"/>
      <c r="C1227" s="6"/>
      <c r="D1227" s="6"/>
    </row>
    <row r="1228" ht="15.0" customHeight="1">
      <c r="B1228" s="6"/>
      <c r="C1228" s="6"/>
      <c r="D1228" s="6"/>
    </row>
    <row r="1229" ht="15.0" customHeight="1">
      <c r="B1229" s="6"/>
      <c r="C1229" s="6"/>
      <c r="D1229" s="6"/>
    </row>
    <row r="1230" ht="15.0" customHeight="1">
      <c r="B1230" s="6"/>
      <c r="C1230" s="6"/>
      <c r="D1230" s="6"/>
    </row>
    <row r="1231" ht="15.0" customHeight="1">
      <c r="B1231" s="6"/>
      <c r="C1231" s="6"/>
      <c r="D1231" s="6"/>
    </row>
    <row r="1232" ht="15.0" customHeight="1">
      <c r="B1232" s="6"/>
      <c r="C1232" s="6"/>
      <c r="D1232" s="6"/>
    </row>
    <row r="1233" ht="15.0" customHeight="1">
      <c r="B1233" s="6"/>
      <c r="C1233" s="6"/>
      <c r="D1233" s="6"/>
    </row>
    <row r="1234" ht="15.0" customHeight="1">
      <c r="B1234" s="6"/>
      <c r="C1234" s="6"/>
      <c r="D1234" s="6"/>
    </row>
    <row r="1235" ht="15.0" customHeight="1">
      <c r="B1235" s="6"/>
      <c r="C1235" s="6"/>
      <c r="D1235" s="6"/>
    </row>
    <row r="1236" ht="15.0" customHeight="1">
      <c r="B1236" s="6"/>
      <c r="C1236" s="6"/>
      <c r="D1236" s="6"/>
    </row>
    <row r="1237" ht="15.0" customHeight="1">
      <c r="B1237" s="6"/>
      <c r="C1237" s="6"/>
      <c r="D1237" s="6"/>
    </row>
    <row r="1238" ht="15.0" customHeight="1">
      <c r="B1238" s="6"/>
      <c r="C1238" s="6"/>
      <c r="D1238" s="6"/>
    </row>
    <row r="1239" ht="15.0" customHeight="1">
      <c r="B1239" s="6"/>
      <c r="C1239" s="6"/>
      <c r="D1239" s="6"/>
    </row>
    <row r="1240" ht="15.0" customHeight="1">
      <c r="B1240" s="6"/>
      <c r="C1240" s="6"/>
      <c r="D1240" s="6"/>
    </row>
    <row r="1241" ht="15.0" customHeight="1">
      <c r="B1241" s="6"/>
      <c r="C1241" s="6"/>
      <c r="D1241" s="6"/>
    </row>
    <row r="1242" ht="15.0" customHeight="1">
      <c r="B1242" s="6"/>
      <c r="C1242" s="6"/>
      <c r="D1242" s="6"/>
    </row>
    <row r="1243" ht="15.0" customHeight="1">
      <c r="B1243" s="6"/>
      <c r="C1243" s="6"/>
      <c r="D1243" s="6"/>
    </row>
    <row r="1244" ht="15.0" customHeight="1">
      <c r="B1244" s="6"/>
      <c r="C1244" s="6"/>
      <c r="D1244" s="6"/>
    </row>
    <row r="1245" ht="15.0" customHeight="1">
      <c r="B1245" s="6"/>
      <c r="C1245" s="6"/>
      <c r="D1245" s="6"/>
    </row>
    <row r="1246" ht="15.0" customHeight="1">
      <c r="B1246" s="6"/>
      <c r="C1246" s="6"/>
      <c r="D1246" s="6"/>
    </row>
    <row r="1247" ht="15.0" customHeight="1">
      <c r="B1247" s="6"/>
      <c r="C1247" s="6"/>
      <c r="D1247" s="6"/>
    </row>
    <row r="1248" ht="15.0" customHeight="1">
      <c r="B1248" s="6"/>
      <c r="C1248" s="6"/>
      <c r="D1248" s="6"/>
    </row>
    <row r="1249" ht="15.0" customHeight="1">
      <c r="B1249" s="6"/>
      <c r="C1249" s="6"/>
      <c r="D1249" s="6"/>
    </row>
    <row r="1250" ht="15.0" customHeight="1">
      <c r="B1250" s="6"/>
      <c r="C1250" s="6"/>
      <c r="D1250" s="6"/>
    </row>
    <row r="1251" ht="15.0" customHeight="1">
      <c r="B1251" s="6"/>
      <c r="C1251" s="6"/>
      <c r="D1251" s="6"/>
    </row>
    <row r="1252" ht="15.0" customHeight="1">
      <c r="B1252" s="6"/>
      <c r="C1252" s="6"/>
      <c r="D1252" s="6"/>
    </row>
    <row r="1253" ht="15.0" customHeight="1">
      <c r="B1253" s="6"/>
      <c r="C1253" s="6"/>
      <c r="D1253" s="6"/>
    </row>
    <row r="1254" ht="15.0" customHeight="1">
      <c r="B1254" s="6"/>
      <c r="C1254" s="6"/>
      <c r="D1254" s="6"/>
    </row>
    <row r="1255" ht="15.0" customHeight="1">
      <c r="B1255" s="6"/>
      <c r="C1255" s="6"/>
      <c r="D1255" s="6"/>
    </row>
    <row r="1256" ht="15.0" customHeight="1">
      <c r="B1256" s="6"/>
      <c r="C1256" s="6"/>
      <c r="D1256" s="6"/>
    </row>
    <row r="1257" ht="15.0" customHeight="1">
      <c r="B1257" s="6"/>
      <c r="C1257" s="6"/>
      <c r="D1257" s="6"/>
    </row>
    <row r="1258" ht="15.0" customHeight="1">
      <c r="B1258" s="6"/>
      <c r="C1258" s="6"/>
      <c r="D1258" s="6"/>
    </row>
    <row r="1259" ht="15.0" customHeight="1">
      <c r="B1259" s="6"/>
      <c r="C1259" s="6"/>
      <c r="D1259" s="6"/>
    </row>
    <row r="1260" ht="15.0" customHeight="1">
      <c r="B1260" s="6"/>
      <c r="C1260" s="6"/>
      <c r="D1260" s="6"/>
    </row>
    <row r="1261" ht="15.0" customHeight="1">
      <c r="B1261" s="6"/>
      <c r="C1261" s="6"/>
      <c r="D1261" s="6"/>
    </row>
    <row r="1262" ht="15.0" customHeight="1">
      <c r="B1262" s="6"/>
      <c r="C1262" s="6"/>
      <c r="D1262" s="6"/>
    </row>
    <row r="1263" ht="15.0" customHeight="1">
      <c r="B1263" s="6"/>
      <c r="C1263" s="6"/>
      <c r="D1263" s="6"/>
    </row>
    <row r="1264" ht="15.0" customHeight="1">
      <c r="B1264" s="6"/>
      <c r="C1264" s="6"/>
      <c r="D1264" s="6"/>
    </row>
    <row r="1265" ht="15.0" customHeight="1">
      <c r="B1265" s="6"/>
      <c r="C1265" s="6"/>
      <c r="D1265" s="6"/>
    </row>
    <row r="1266" ht="15.0" customHeight="1">
      <c r="B1266" s="6"/>
      <c r="C1266" s="6"/>
      <c r="D1266" s="6"/>
    </row>
    <row r="1267" ht="15.0" customHeight="1">
      <c r="B1267" s="6"/>
      <c r="C1267" s="6"/>
      <c r="D1267" s="6"/>
    </row>
    <row r="1268" ht="15.0" customHeight="1">
      <c r="B1268" s="6"/>
      <c r="C1268" s="6"/>
      <c r="D1268" s="6"/>
    </row>
    <row r="1269" ht="15.0" customHeight="1">
      <c r="B1269" s="6"/>
      <c r="C1269" s="6"/>
      <c r="D1269" s="6"/>
    </row>
    <row r="1270" ht="15.0" customHeight="1">
      <c r="B1270" s="6"/>
      <c r="C1270" s="6"/>
      <c r="D1270" s="6"/>
    </row>
    <row r="1271" ht="15.0" customHeight="1">
      <c r="B1271" s="6"/>
      <c r="C1271" s="6"/>
      <c r="D1271" s="6"/>
    </row>
    <row r="1272" ht="15.0" customHeight="1">
      <c r="B1272" s="6"/>
      <c r="C1272" s="6"/>
      <c r="D1272" s="6"/>
    </row>
    <row r="1273" ht="15.0" customHeight="1">
      <c r="B1273" s="6"/>
      <c r="C1273" s="6"/>
      <c r="D1273" s="6"/>
    </row>
    <row r="1274" ht="15.0" customHeight="1">
      <c r="B1274" s="6"/>
      <c r="C1274" s="6"/>
      <c r="D1274" s="6"/>
    </row>
    <row r="1275" ht="15.0" customHeight="1">
      <c r="B1275" s="6"/>
      <c r="C1275" s="6"/>
      <c r="D1275" s="6"/>
    </row>
    <row r="1276" ht="15.0" customHeight="1">
      <c r="B1276" s="6"/>
      <c r="C1276" s="6"/>
      <c r="D1276" s="6"/>
    </row>
    <row r="1277" ht="15.0" customHeight="1">
      <c r="B1277" s="6"/>
      <c r="C1277" s="6"/>
      <c r="D1277" s="6"/>
    </row>
    <row r="1278" ht="15.0" customHeight="1">
      <c r="B1278" s="6"/>
      <c r="C1278" s="6"/>
      <c r="D1278" s="6"/>
    </row>
    <row r="1279" ht="15.0" customHeight="1">
      <c r="B1279" s="6"/>
      <c r="C1279" s="6"/>
      <c r="D1279" s="6"/>
    </row>
    <row r="1280" ht="15.0" customHeight="1">
      <c r="B1280" s="6"/>
      <c r="C1280" s="6"/>
      <c r="D1280" s="6"/>
    </row>
    <row r="1281" ht="15.0" customHeight="1">
      <c r="B1281" s="6"/>
      <c r="C1281" s="6"/>
      <c r="D1281" s="6"/>
    </row>
    <row r="1282" ht="15.0" customHeight="1">
      <c r="B1282" s="6"/>
      <c r="C1282" s="6"/>
      <c r="D1282" s="6"/>
    </row>
    <row r="1283" ht="15.0" customHeight="1">
      <c r="B1283" s="6"/>
      <c r="C1283" s="6"/>
      <c r="D1283" s="6"/>
    </row>
    <row r="1284" ht="15.0" customHeight="1">
      <c r="B1284" s="6"/>
      <c r="C1284" s="6"/>
      <c r="D1284" s="6"/>
    </row>
    <row r="1285" ht="15.0" customHeight="1">
      <c r="B1285" s="6"/>
      <c r="C1285" s="6"/>
      <c r="D1285" s="6"/>
    </row>
    <row r="1286" ht="15.0" customHeight="1">
      <c r="B1286" s="6"/>
      <c r="C1286" s="6"/>
      <c r="D1286" s="6"/>
    </row>
    <row r="1287" ht="15.0" customHeight="1">
      <c r="B1287" s="6"/>
      <c r="C1287" s="6"/>
      <c r="D1287" s="6"/>
    </row>
    <row r="1288" ht="15.0" customHeight="1">
      <c r="B1288" s="6"/>
      <c r="C1288" s="6"/>
      <c r="D1288" s="6"/>
    </row>
    <row r="1289" ht="15.0" customHeight="1">
      <c r="B1289" s="6"/>
      <c r="C1289" s="6"/>
      <c r="D1289" s="6"/>
    </row>
    <row r="1290" ht="15.0" customHeight="1">
      <c r="B1290" s="6"/>
      <c r="C1290" s="6"/>
      <c r="D1290" s="6"/>
    </row>
    <row r="1291" ht="15.0" customHeight="1">
      <c r="B1291" s="6"/>
      <c r="C1291" s="6"/>
      <c r="D1291" s="6"/>
    </row>
    <row r="1292" ht="15.0" customHeight="1">
      <c r="B1292" s="6"/>
      <c r="C1292" s="6"/>
      <c r="D1292" s="6"/>
    </row>
    <row r="1293" ht="15.0" customHeight="1">
      <c r="B1293" s="6"/>
      <c r="C1293" s="6"/>
      <c r="D1293" s="6"/>
    </row>
    <row r="1294" ht="15.0" customHeight="1">
      <c r="B1294" s="6"/>
      <c r="C1294" s="6"/>
      <c r="D1294" s="6"/>
    </row>
    <row r="1295" ht="15.0" customHeight="1">
      <c r="B1295" s="6"/>
      <c r="C1295" s="6"/>
      <c r="D1295" s="6"/>
    </row>
    <row r="1296" ht="15.0" customHeight="1">
      <c r="B1296" s="6"/>
      <c r="C1296" s="6"/>
      <c r="D1296" s="6"/>
    </row>
    <row r="1297" ht="15.0" customHeight="1">
      <c r="B1297" s="6"/>
      <c r="C1297" s="6"/>
      <c r="D1297" s="6"/>
    </row>
    <row r="1298" ht="15.0" customHeight="1">
      <c r="B1298" s="6"/>
      <c r="C1298" s="6"/>
      <c r="D1298" s="6"/>
    </row>
    <row r="1299" ht="15.0" customHeight="1">
      <c r="B1299" s="6"/>
      <c r="C1299" s="6"/>
      <c r="D1299" s="6"/>
    </row>
    <row r="1300" ht="15.0" customHeight="1">
      <c r="B1300" s="6"/>
      <c r="C1300" s="6"/>
      <c r="D1300" s="6"/>
    </row>
    <row r="1301" ht="15.0" customHeight="1">
      <c r="B1301" s="6"/>
      <c r="C1301" s="6"/>
      <c r="D1301" s="6"/>
    </row>
    <row r="1302" ht="15.0" customHeight="1">
      <c r="B1302" s="6"/>
      <c r="C1302" s="6"/>
      <c r="D1302" s="6"/>
    </row>
    <row r="1303" ht="15.0" customHeight="1">
      <c r="B1303" s="6"/>
      <c r="C1303" s="6"/>
      <c r="D1303" s="6"/>
    </row>
    <row r="1304" ht="15.0" customHeight="1">
      <c r="B1304" s="6"/>
      <c r="C1304" s="6"/>
      <c r="D1304" s="6"/>
    </row>
    <row r="1305" ht="15.0" customHeight="1">
      <c r="B1305" s="6"/>
      <c r="C1305" s="6"/>
      <c r="D1305" s="6"/>
    </row>
    <row r="1306" ht="15.0" customHeight="1">
      <c r="B1306" s="6"/>
      <c r="C1306" s="6"/>
      <c r="D1306" s="6"/>
    </row>
    <row r="1307" ht="15.0" customHeight="1">
      <c r="B1307" s="6"/>
      <c r="C1307" s="6"/>
      <c r="D1307" s="6"/>
    </row>
    <row r="1308" ht="15.0" customHeight="1">
      <c r="B1308" s="6"/>
      <c r="C1308" s="6"/>
      <c r="D1308" s="6"/>
    </row>
    <row r="1309" ht="15.0" customHeight="1">
      <c r="B1309" s="6"/>
      <c r="C1309" s="6"/>
      <c r="D1309" s="6"/>
    </row>
    <row r="1310" ht="15.0" customHeight="1">
      <c r="B1310" s="6"/>
      <c r="C1310" s="6"/>
      <c r="D1310" s="6"/>
    </row>
    <row r="1311" ht="15.0" customHeight="1">
      <c r="B1311" s="6"/>
      <c r="C1311" s="6"/>
      <c r="D1311" s="6"/>
    </row>
    <row r="1312" ht="15.0" customHeight="1">
      <c r="B1312" s="6"/>
      <c r="C1312" s="6"/>
      <c r="D1312" s="6"/>
    </row>
    <row r="1313" ht="15.0" customHeight="1">
      <c r="B1313" s="6"/>
      <c r="C1313" s="6"/>
      <c r="D1313" s="6"/>
    </row>
    <row r="1314" ht="15.0" customHeight="1">
      <c r="B1314" s="6"/>
      <c r="C1314" s="6"/>
      <c r="D1314" s="6"/>
    </row>
    <row r="1315" ht="15.0" customHeight="1">
      <c r="B1315" s="6"/>
      <c r="C1315" s="6"/>
      <c r="D1315" s="6"/>
    </row>
    <row r="1316" ht="15.0" customHeight="1">
      <c r="B1316" s="6"/>
      <c r="C1316" s="6"/>
      <c r="D1316" s="6"/>
    </row>
    <row r="1317" ht="15.0" customHeight="1">
      <c r="B1317" s="6"/>
      <c r="C1317" s="6"/>
      <c r="D1317" s="6"/>
    </row>
    <row r="1318" ht="15.0" customHeight="1">
      <c r="B1318" s="6"/>
      <c r="C1318" s="6"/>
      <c r="D1318" s="6"/>
    </row>
    <row r="1319" ht="15.0" customHeight="1">
      <c r="B1319" s="6"/>
      <c r="C1319" s="6"/>
      <c r="D1319" s="6"/>
    </row>
    <row r="1320" ht="15.0" customHeight="1">
      <c r="B1320" s="6"/>
      <c r="C1320" s="6"/>
      <c r="D1320" s="6"/>
    </row>
    <row r="1321" ht="15.0" customHeight="1">
      <c r="B1321" s="6"/>
      <c r="C1321" s="6"/>
      <c r="D1321" s="6"/>
    </row>
    <row r="1322" ht="15.0" customHeight="1">
      <c r="B1322" s="6"/>
      <c r="C1322" s="6"/>
      <c r="D1322" s="6"/>
    </row>
    <row r="1323" ht="15.0" customHeight="1">
      <c r="B1323" s="6"/>
      <c r="C1323" s="6"/>
      <c r="D1323" s="6"/>
    </row>
    <row r="1324" ht="15.0" customHeight="1">
      <c r="B1324" s="6"/>
      <c r="C1324" s="6"/>
      <c r="D1324" s="6"/>
    </row>
    <row r="1325" ht="15.0" customHeight="1">
      <c r="B1325" s="6"/>
      <c r="C1325" s="6"/>
      <c r="D1325" s="6"/>
    </row>
    <row r="1326" ht="15.0" customHeight="1">
      <c r="B1326" s="6"/>
      <c r="C1326" s="6"/>
      <c r="D1326" s="6"/>
    </row>
    <row r="1327" ht="15.0" customHeight="1">
      <c r="B1327" s="6"/>
      <c r="C1327" s="6"/>
      <c r="D1327" s="6"/>
    </row>
    <row r="1328" ht="15.0" customHeight="1">
      <c r="B1328" s="6"/>
      <c r="C1328" s="6"/>
      <c r="D1328" s="6"/>
    </row>
    <row r="1329" ht="15.0" customHeight="1">
      <c r="B1329" s="6"/>
      <c r="C1329" s="6"/>
      <c r="D1329" s="6"/>
    </row>
    <row r="1330" ht="15.0" customHeight="1">
      <c r="B1330" s="6"/>
      <c r="C1330" s="6"/>
      <c r="D1330" s="6"/>
    </row>
    <row r="1331" ht="15.0" customHeight="1">
      <c r="B1331" s="6"/>
      <c r="C1331" s="6"/>
      <c r="D1331" s="6"/>
    </row>
    <row r="1332" ht="15.0" customHeight="1">
      <c r="B1332" s="6"/>
      <c r="C1332" s="6"/>
      <c r="D1332" s="6"/>
    </row>
    <row r="1333" ht="15.0" customHeight="1">
      <c r="B1333" s="6"/>
      <c r="C1333" s="6"/>
      <c r="D1333" s="6"/>
    </row>
    <row r="1334" ht="15.0" customHeight="1">
      <c r="B1334" s="6"/>
      <c r="C1334" s="6"/>
      <c r="D1334" s="6"/>
    </row>
    <row r="1335" ht="15.0" customHeight="1">
      <c r="B1335" s="6"/>
      <c r="C1335" s="6"/>
      <c r="D1335" s="6"/>
    </row>
    <row r="1336" ht="15.0" customHeight="1">
      <c r="B1336" s="6"/>
      <c r="C1336" s="6"/>
      <c r="D1336" s="6"/>
    </row>
    <row r="1337" ht="15.0" customHeight="1">
      <c r="B1337" s="6"/>
      <c r="C1337" s="6"/>
      <c r="D1337" s="6"/>
    </row>
    <row r="1338" ht="15.0" customHeight="1">
      <c r="B1338" s="6"/>
      <c r="C1338" s="6"/>
      <c r="D1338" s="6"/>
    </row>
    <row r="1339" ht="15.0" customHeight="1">
      <c r="B1339" s="6"/>
      <c r="C1339" s="6"/>
      <c r="D1339" s="6"/>
    </row>
    <row r="1340" ht="15.0" customHeight="1">
      <c r="B1340" s="6"/>
      <c r="C1340" s="6"/>
      <c r="D1340" s="6"/>
    </row>
    <row r="1341" ht="15.0" customHeight="1">
      <c r="B1341" s="6"/>
      <c r="C1341" s="6"/>
      <c r="D1341" s="6"/>
    </row>
    <row r="1342" ht="15.0" customHeight="1">
      <c r="B1342" s="6"/>
      <c r="C1342" s="6"/>
      <c r="D1342" s="6"/>
    </row>
    <row r="1343" ht="15.0" customHeight="1">
      <c r="B1343" s="6"/>
      <c r="C1343" s="6"/>
      <c r="D1343" s="6"/>
    </row>
    <row r="1344" ht="15.0" customHeight="1">
      <c r="B1344" s="6"/>
      <c r="C1344" s="6"/>
      <c r="D1344" s="6"/>
    </row>
    <row r="1345" ht="15.0" customHeight="1">
      <c r="B1345" s="6"/>
      <c r="C1345" s="6"/>
      <c r="D1345" s="6"/>
    </row>
    <row r="1346" ht="15.0" customHeight="1">
      <c r="B1346" s="6"/>
      <c r="C1346" s="6"/>
      <c r="D1346" s="6"/>
    </row>
    <row r="1347" ht="15.0" customHeight="1">
      <c r="B1347" s="6"/>
      <c r="C1347" s="6"/>
      <c r="D1347" s="6"/>
    </row>
    <row r="1348" ht="15.0" customHeight="1">
      <c r="B1348" s="6"/>
      <c r="C1348" s="6"/>
      <c r="D1348" s="6"/>
    </row>
    <row r="1349" ht="15.0" customHeight="1">
      <c r="B1349" s="6"/>
      <c r="C1349" s="6"/>
      <c r="D1349" s="6"/>
    </row>
    <row r="1350" ht="15.0" customHeight="1">
      <c r="B1350" s="6"/>
      <c r="C1350" s="6"/>
      <c r="D1350" s="6"/>
    </row>
    <row r="1351" ht="15.0" customHeight="1">
      <c r="B1351" s="6"/>
      <c r="C1351" s="6"/>
      <c r="D1351" s="6"/>
    </row>
    <row r="1352" ht="15.0" customHeight="1">
      <c r="B1352" s="6"/>
      <c r="C1352" s="6"/>
      <c r="D1352" s="6"/>
    </row>
    <row r="1353" ht="15.0" customHeight="1">
      <c r="B1353" s="6"/>
      <c r="C1353" s="6"/>
      <c r="D1353" s="6"/>
    </row>
    <row r="1354" ht="15.0" customHeight="1">
      <c r="B1354" s="6"/>
      <c r="C1354" s="6"/>
      <c r="D1354" s="6"/>
    </row>
    <row r="1355" ht="15.0" customHeight="1">
      <c r="B1355" s="6"/>
      <c r="C1355" s="6"/>
      <c r="D1355" s="6"/>
    </row>
    <row r="1356" ht="15.0" customHeight="1">
      <c r="B1356" s="6"/>
      <c r="C1356" s="6"/>
      <c r="D1356" s="6"/>
    </row>
    <row r="1357" ht="15.0" customHeight="1">
      <c r="B1357" s="6"/>
      <c r="C1357" s="6"/>
      <c r="D1357" s="6"/>
    </row>
    <row r="1358" ht="15.0" customHeight="1">
      <c r="B1358" s="6"/>
      <c r="C1358" s="6"/>
      <c r="D1358" s="6"/>
    </row>
    <row r="1359" ht="15.0" customHeight="1">
      <c r="B1359" s="6"/>
      <c r="C1359" s="6"/>
      <c r="D1359" s="6"/>
    </row>
    <row r="1360" ht="15.0" customHeight="1">
      <c r="B1360" s="6"/>
      <c r="C1360" s="6"/>
      <c r="D1360" s="6"/>
    </row>
    <row r="1361" ht="15.0" customHeight="1">
      <c r="B1361" s="6"/>
      <c r="C1361" s="6"/>
      <c r="D1361" s="6"/>
    </row>
    <row r="1362" ht="15.0" customHeight="1">
      <c r="B1362" s="6"/>
      <c r="C1362" s="6"/>
      <c r="D1362" s="6"/>
    </row>
    <row r="1363" ht="15.0" customHeight="1">
      <c r="B1363" s="6"/>
      <c r="C1363" s="6"/>
      <c r="D1363" s="6"/>
    </row>
    <row r="1364" ht="15.0" customHeight="1">
      <c r="B1364" s="6"/>
      <c r="C1364" s="6"/>
      <c r="D1364" s="6"/>
    </row>
    <row r="1365" ht="15.0" customHeight="1">
      <c r="B1365" s="6"/>
      <c r="C1365" s="6"/>
      <c r="D1365" s="6"/>
    </row>
    <row r="1366" ht="15.0" customHeight="1">
      <c r="B1366" s="6"/>
      <c r="C1366" s="6"/>
      <c r="D1366" s="6"/>
    </row>
    <row r="1367" ht="15.0" customHeight="1">
      <c r="B1367" s="6"/>
      <c r="C1367" s="6"/>
      <c r="D1367" s="6"/>
    </row>
    <row r="1368" ht="15.0" customHeight="1">
      <c r="B1368" s="6"/>
      <c r="C1368" s="6"/>
      <c r="D1368" s="6"/>
    </row>
    <row r="1369" ht="15.0" customHeight="1">
      <c r="B1369" s="6"/>
      <c r="C1369" s="6"/>
      <c r="D1369" s="6"/>
    </row>
    <row r="1370" ht="15.0" customHeight="1">
      <c r="B1370" s="6"/>
      <c r="C1370" s="6"/>
      <c r="D1370" s="6"/>
    </row>
    <row r="1371" ht="15.0" customHeight="1">
      <c r="B1371" s="6"/>
      <c r="C1371" s="6"/>
      <c r="D1371" s="6"/>
    </row>
    <row r="1372" ht="15.0" customHeight="1">
      <c r="B1372" s="6"/>
      <c r="C1372" s="6"/>
      <c r="D1372" s="6"/>
    </row>
    <row r="1373" ht="15.0" customHeight="1">
      <c r="B1373" s="6"/>
      <c r="C1373" s="6"/>
      <c r="D1373" s="6"/>
    </row>
    <row r="1374" ht="15.0" customHeight="1">
      <c r="B1374" s="6"/>
      <c r="C1374" s="6"/>
      <c r="D1374" s="6"/>
    </row>
    <row r="1375" ht="15.0" customHeight="1">
      <c r="B1375" s="6"/>
      <c r="C1375" s="6"/>
      <c r="D1375" s="6"/>
    </row>
    <row r="1376" ht="15.0" customHeight="1">
      <c r="B1376" s="6"/>
      <c r="C1376" s="6"/>
      <c r="D1376" s="6"/>
    </row>
    <row r="1377" ht="15.0" customHeight="1">
      <c r="B1377" s="6"/>
      <c r="C1377" s="6"/>
      <c r="D1377" s="6"/>
    </row>
    <row r="1378" ht="15.0" customHeight="1">
      <c r="B1378" s="6"/>
      <c r="C1378" s="6"/>
      <c r="D1378" s="6"/>
    </row>
    <row r="1379" ht="15.0" customHeight="1">
      <c r="B1379" s="6"/>
      <c r="C1379" s="6"/>
      <c r="D1379" s="6"/>
    </row>
    <row r="1380" ht="15.0" customHeight="1">
      <c r="B1380" s="6"/>
      <c r="C1380" s="6"/>
      <c r="D1380" s="6"/>
    </row>
    <row r="1381" ht="15.0" customHeight="1">
      <c r="B1381" s="6"/>
      <c r="C1381" s="6"/>
      <c r="D1381" s="6"/>
    </row>
    <row r="1382" ht="15.0" customHeight="1">
      <c r="B1382" s="6"/>
      <c r="C1382" s="6"/>
      <c r="D1382" s="6"/>
    </row>
    <row r="1383" ht="15.0" customHeight="1">
      <c r="B1383" s="6"/>
      <c r="C1383" s="6"/>
      <c r="D1383" s="6"/>
    </row>
    <row r="1384" ht="15.0" customHeight="1">
      <c r="B1384" s="6"/>
      <c r="C1384" s="6"/>
      <c r="D1384" s="6"/>
    </row>
    <row r="1385" ht="15.0" customHeight="1">
      <c r="B1385" s="6"/>
      <c r="C1385" s="6"/>
      <c r="D1385" s="6"/>
    </row>
    <row r="1386" ht="15.0" customHeight="1">
      <c r="B1386" s="6"/>
      <c r="C1386" s="6"/>
      <c r="D1386" s="6"/>
    </row>
    <row r="1387" ht="15.0" customHeight="1">
      <c r="B1387" s="6"/>
      <c r="C1387" s="6"/>
      <c r="D1387" s="6"/>
    </row>
    <row r="1388" ht="15.0" customHeight="1">
      <c r="B1388" s="6"/>
      <c r="C1388" s="6"/>
      <c r="D1388" s="6"/>
    </row>
    <row r="1389" ht="15.0" customHeight="1">
      <c r="B1389" s="6"/>
      <c r="C1389" s="6"/>
      <c r="D1389" s="6"/>
    </row>
    <row r="1390" ht="15.0" customHeight="1">
      <c r="B1390" s="6"/>
      <c r="C1390" s="6"/>
      <c r="D1390" s="6"/>
    </row>
    <row r="1391" ht="15.0" customHeight="1">
      <c r="B1391" s="6"/>
      <c r="C1391" s="6"/>
      <c r="D1391" s="6"/>
    </row>
    <row r="1392" ht="15.0" customHeight="1">
      <c r="B1392" s="6"/>
      <c r="C1392" s="6"/>
      <c r="D1392" s="6"/>
    </row>
    <row r="1393" ht="15.0" customHeight="1">
      <c r="B1393" s="6"/>
      <c r="C1393" s="6"/>
      <c r="D1393" s="6"/>
    </row>
    <row r="1394" ht="15.0" customHeight="1">
      <c r="B1394" s="6"/>
      <c r="C1394" s="6"/>
      <c r="D1394" s="6"/>
    </row>
    <row r="1395" ht="15.0" customHeight="1">
      <c r="B1395" s="6"/>
      <c r="C1395" s="6"/>
      <c r="D1395" s="6"/>
    </row>
    <row r="1396" ht="15.0" customHeight="1">
      <c r="B1396" s="6"/>
      <c r="C1396" s="6"/>
      <c r="D1396" s="6"/>
    </row>
    <row r="1397" ht="15.0" customHeight="1">
      <c r="B1397" s="6"/>
      <c r="C1397" s="6"/>
      <c r="D1397" s="6"/>
    </row>
    <row r="1398" ht="15.0" customHeight="1">
      <c r="B1398" s="6"/>
      <c r="C1398" s="6"/>
      <c r="D1398" s="6"/>
    </row>
    <row r="1399" ht="15.0" customHeight="1">
      <c r="B1399" s="6"/>
      <c r="C1399" s="6"/>
      <c r="D1399" s="6"/>
    </row>
    <row r="1400" ht="15.0" customHeight="1">
      <c r="B1400" s="6"/>
      <c r="C1400" s="6"/>
      <c r="D1400" s="6"/>
    </row>
    <row r="1401" ht="15.0" customHeight="1">
      <c r="B1401" s="6"/>
      <c r="C1401" s="6"/>
      <c r="D1401" s="6"/>
    </row>
    <row r="1402" ht="15.0" customHeight="1">
      <c r="B1402" s="6"/>
      <c r="C1402" s="6"/>
      <c r="D1402" s="6"/>
    </row>
    <row r="1403" ht="15.0" customHeight="1">
      <c r="B1403" s="6"/>
      <c r="C1403" s="6"/>
      <c r="D1403" s="6"/>
    </row>
    <row r="1404" ht="15.0" customHeight="1">
      <c r="B1404" s="6"/>
      <c r="C1404" s="6"/>
      <c r="D1404" s="6"/>
    </row>
    <row r="1405" ht="15.0" customHeight="1">
      <c r="B1405" s="6"/>
      <c r="C1405" s="6"/>
      <c r="D1405" s="6"/>
    </row>
    <row r="1406" ht="15.0" customHeight="1">
      <c r="B1406" s="6"/>
      <c r="C1406" s="6"/>
      <c r="D1406" s="6"/>
    </row>
    <row r="1407" ht="15.0" customHeight="1">
      <c r="B1407" s="6"/>
      <c r="C1407" s="6"/>
      <c r="D1407" s="6"/>
    </row>
    <row r="1408" ht="15.0" customHeight="1">
      <c r="B1408" s="6"/>
      <c r="C1408" s="6"/>
      <c r="D1408" s="6"/>
    </row>
    <row r="1409" ht="15.75" customHeight="1">
      <c r="B1409" s="6"/>
      <c r="C1409" s="6"/>
      <c r="D1409" s="6"/>
    </row>
    <row r="1410" ht="15.75" customHeight="1">
      <c r="B1410" s="6"/>
      <c r="C1410" s="6"/>
      <c r="D1410" s="6"/>
    </row>
    <row r="1411" ht="15.75" customHeight="1">
      <c r="B1411" s="6"/>
      <c r="C1411" s="6"/>
      <c r="D1411" s="6"/>
    </row>
    <row r="1412" ht="15.75" customHeight="1">
      <c r="B1412" s="6"/>
      <c r="C1412" s="6"/>
      <c r="D1412" s="6"/>
    </row>
    <row r="1413" ht="15.75" customHeight="1">
      <c r="B1413" s="6"/>
      <c r="C1413" s="6"/>
      <c r="D1413" s="6"/>
    </row>
    <row r="1414" ht="15.75" customHeight="1">
      <c r="B1414" s="6"/>
      <c r="C1414" s="6"/>
      <c r="D1414" s="6"/>
    </row>
    <row r="1415" ht="15.75" customHeight="1">
      <c r="B1415" s="6"/>
      <c r="C1415" s="6"/>
      <c r="D1415" s="6"/>
    </row>
    <row r="1416" ht="15.75" customHeight="1">
      <c r="B1416" s="6"/>
      <c r="C1416" s="6"/>
      <c r="D1416" s="6"/>
    </row>
    <row r="1417" ht="15.75" customHeight="1">
      <c r="B1417" s="6"/>
      <c r="C1417" s="6"/>
      <c r="D1417" s="6"/>
    </row>
    <row r="1418" ht="15.75" customHeight="1">
      <c r="B1418" s="6"/>
      <c r="C1418" s="6"/>
      <c r="D1418" s="6"/>
    </row>
    <row r="1419" ht="15.75" customHeight="1">
      <c r="B1419" s="6"/>
      <c r="C1419" s="6"/>
      <c r="D1419" s="6"/>
    </row>
    <row r="1420" ht="15.75" customHeight="1">
      <c r="B1420" s="6"/>
      <c r="C1420" s="6"/>
      <c r="D1420" s="6"/>
    </row>
    <row r="1421" ht="15.75" customHeight="1">
      <c r="B1421" s="6"/>
      <c r="C1421" s="6"/>
      <c r="D1421" s="6"/>
    </row>
    <row r="1422" ht="15.75" customHeight="1">
      <c r="B1422" s="6"/>
      <c r="C1422" s="6"/>
      <c r="D1422" s="6"/>
    </row>
    <row r="1423" ht="15.75" customHeight="1">
      <c r="B1423" s="6"/>
      <c r="C1423" s="6"/>
      <c r="D1423" s="6"/>
    </row>
    <row r="1424" ht="15.75" customHeight="1">
      <c r="B1424" s="6"/>
      <c r="C1424" s="6"/>
      <c r="D1424" s="6"/>
    </row>
    <row r="1425" ht="15.75" customHeight="1">
      <c r="B1425" s="6"/>
      <c r="C1425" s="6"/>
      <c r="D1425" s="6"/>
    </row>
    <row r="1426" ht="15.75" customHeight="1">
      <c r="B1426" s="6"/>
      <c r="C1426" s="6"/>
      <c r="D1426" s="6"/>
    </row>
    <row r="1427" ht="15.75" customHeight="1">
      <c r="B1427" s="6"/>
      <c r="C1427" s="6"/>
      <c r="D1427" s="6"/>
    </row>
    <row r="1428" ht="15.75" customHeight="1">
      <c r="B1428" s="6"/>
      <c r="C1428" s="6"/>
      <c r="D1428" s="6"/>
    </row>
    <row r="1429" ht="15.75" customHeight="1">
      <c r="B1429" s="6"/>
      <c r="C1429" s="6"/>
      <c r="D1429" s="6"/>
    </row>
    <row r="1430" ht="15.75" customHeight="1">
      <c r="B1430" s="6"/>
      <c r="C1430" s="6"/>
      <c r="D1430" s="6"/>
    </row>
    <row r="1431" ht="15.75" customHeight="1">
      <c r="B1431" s="6"/>
      <c r="C1431" s="6"/>
      <c r="D1431" s="6"/>
    </row>
    <row r="1432" ht="15.75" customHeight="1">
      <c r="B1432" s="6"/>
      <c r="C1432" s="6"/>
      <c r="D1432" s="6"/>
    </row>
    <row r="1433" ht="15.75" customHeight="1">
      <c r="B1433" s="6"/>
      <c r="C1433" s="6"/>
      <c r="D1433" s="6"/>
    </row>
    <row r="1434" ht="15.75" customHeight="1">
      <c r="B1434" s="6"/>
      <c r="C1434" s="6"/>
      <c r="D1434" s="6"/>
    </row>
    <row r="1435" ht="15.75" customHeight="1">
      <c r="B1435" s="6"/>
      <c r="C1435" s="6"/>
      <c r="D1435" s="6"/>
    </row>
    <row r="1436" ht="15.75" customHeight="1">
      <c r="B1436" s="6"/>
      <c r="C1436" s="6"/>
      <c r="D1436" s="6"/>
    </row>
    <row r="1437" ht="15.75" customHeight="1">
      <c r="B1437" s="6"/>
      <c r="C1437" s="6"/>
      <c r="D1437" s="6"/>
    </row>
    <row r="1438" ht="15.75" customHeight="1">
      <c r="B1438" s="6"/>
      <c r="C1438" s="6"/>
      <c r="D1438" s="6"/>
    </row>
    <row r="1439" ht="15.75" customHeight="1">
      <c r="B1439" s="6"/>
      <c r="C1439" s="6"/>
      <c r="D1439" s="6"/>
    </row>
    <row r="1440" ht="15.75" customHeight="1">
      <c r="B1440" s="6"/>
      <c r="C1440" s="6"/>
      <c r="D1440" s="6"/>
    </row>
    <row r="1441" ht="15.75" customHeight="1">
      <c r="B1441" s="6"/>
      <c r="C1441" s="6"/>
      <c r="D1441" s="6"/>
    </row>
    <row r="1442" ht="15.75" customHeight="1">
      <c r="B1442" s="6"/>
      <c r="C1442" s="6"/>
      <c r="D1442" s="6"/>
    </row>
    <row r="1443" ht="15.75" customHeight="1">
      <c r="B1443" s="6"/>
      <c r="C1443" s="6"/>
      <c r="D1443" s="6"/>
    </row>
    <row r="1444" ht="15.75" customHeight="1">
      <c r="B1444" s="6"/>
      <c r="C1444" s="6"/>
      <c r="D1444" s="6"/>
    </row>
    <row r="1445" ht="15.75" customHeight="1">
      <c r="B1445" s="6"/>
      <c r="C1445" s="6"/>
      <c r="D1445" s="6"/>
    </row>
    <row r="1446" ht="15.75" customHeight="1">
      <c r="B1446" s="6"/>
      <c r="C1446" s="6"/>
      <c r="D1446" s="6"/>
    </row>
    <row r="1447" ht="15.75" customHeight="1">
      <c r="B1447" s="6"/>
      <c r="C1447" s="6"/>
      <c r="D1447" s="6"/>
    </row>
    <row r="1448" ht="15.75" customHeight="1">
      <c r="B1448" s="6"/>
      <c r="C1448" s="6"/>
      <c r="D1448" s="6"/>
    </row>
    <row r="1449" ht="15.75" customHeight="1">
      <c r="B1449" s="6"/>
      <c r="C1449" s="6"/>
      <c r="D1449" s="6"/>
    </row>
    <row r="1450" ht="15.75" customHeight="1">
      <c r="B1450" s="6"/>
      <c r="C1450" s="6"/>
      <c r="D1450" s="6"/>
    </row>
    <row r="1451" ht="15.75" customHeight="1">
      <c r="B1451" s="6"/>
      <c r="C1451" s="6"/>
      <c r="D1451" s="6"/>
    </row>
    <row r="1452" ht="15.75" customHeight="1">
      <c r="B1452" s="6"/>
      <c r="C1452" s="6"/>
      <c r="D1452" s="6"/>
    </row>
    <row r="1453" ht="15.75" customHeight="1">
      <c r="B1453" s="6"/>
      <c r="C1453" s="6"/>
      <c r="D1453" s="6"/>
    </row>
    <row r="1454" ht="15.75" customHeight="1">
      <c r="B1454" s="6"/>
      <c r="C1454" s="6"/>
      <c r="D1454" s="6"/>
    </row>
    <row r="1455" ht="15.75" customHeight="1">
      <c r="B1455" s="6"/>
      <c r="C1455" s="6"/>
      <c r="D1455" s="6"/>
    </row>
    <row r="1456" ht="15.75" customHeight="1">
      <c r="B1456" s="6"/>
      <c r="C1456" s="6"/>
      <c r="D1456" s="6"/>
    </row>
    <row r="1457" ht="15.75" customHeight="1">
      <c r="B1457" s="6"/>
      <c r="C1457" s="6"/>
      <c r="D1457" s="6"/>
    </row>
    <row r="1458" ht="15.75" customHeight="1">
      <c r="B1458" s="6"/>
      <c r="C1458" s="6"/>
      <c r="D1458" s="6"/>
    </row>
    <row r="1459" ht="15.75" customHeight="1">
      <c r="B1459" s="6"/>
      <c r="C1459" s="6"/>
      <c r="D1459" s="6"/>
    </row>
    <row r="1460" ht="15.75" customHeight="1">
      <c r="B1460" s="6"/>
      <c r="C1460" s="6"/>
      <c r="D1460" s="6"/>
    </row>
    <row r="1461" ht="15.75" customHeight="1">
      <c r="B1461" s="6"/>
      <c r="C1461" s="6"/>
      <c r="D1461" s="6"/>
    </row>
    <row r="1462" ht="15.75" customHeight="1">
      <c r="B1462" s="6"/>
      <c r="C1462" s="6"/>
      <c r="D1462" s="6"/>
    </row>
    <row r="1463" ht="15.75" customHeight="1">
      <c r="B1463" s="6"/>
      <c r="C1463" s="6"/>
      <c r="D1463" s="6"/>
    </row>
    <row r="1464" ht="15.75" customHeight="1">
      <c r="B1464" s="6"/>
      <c r="C1464" s="6"/>
      <c r="D1464" s="6"/>
    </row>
    <row r="1465" ht="15.75" customHeight="1">
      <c r="B1465" s="6"/>
      <c r="C1465" s="6"/>
      <c r="D1465" s="6"/>
    </row>
    <row r="1466" ht="15.75" customHeight="1">
      <c r="B1466" s="6"/>
      <c r="C1466" s="6"/>
      <c r="D1466" s="6"/>
    </row>
    <row r="1467" ht="15.75" customHeight="1">
      <c r="B1467" s="6"/>
      <c r="C1467" s="6"/>
      <c r="D1467" s="6"/>
    </row>
    <row r="1468" ht="15.75" customHeight="1">
      <c r="B1468" s="6"/>
      <c r="C1468" s="6"/>
      <c r="D1468" s="6"/>
    </row>
    <row r="1469" ht="15.75" customHeight="1">
      <c r="B1469" s="6"/>
      <c r="C1469" s="6"/>
      <c r="D1469" s="6"/>
    </row>
    <row r="1470" ht="15.75" customHeight="1">
      <c r="B1470" s="6"/>
      <c r="C1470" s="6"/>
      <c r="D1470" s="6"/>
    </row>
    <row r="1471" ht="15.75" customHeight="1">
      <c r="B1471" s="6"/>
      <c r="C1471" s="6"/>
      <c r="D1471" s="6"/>
    </row>
    <row r="1472" ht="15.75" customHeight="1">
      <c r="B1472" s="6"/>
      <c r="C1472" s="6"/>
      <c r="D1472" s="6"/>
    </row>
    <row r="1473" ht="15.75" customHeight="1">
      <c r="B1473" s="6"/>
      <c r="C1473" s="6"/>
      <c r="D1473" s="6"/>
    </row>
    <row r="1474" ht="15.75" customHeight="1">
      <c r="B1474" s="6"/>
      <c r="C1474" s="6"/>
      <c r="D1474" s="6"/>
    </row>
    <row r="1475" ht="15.75" customHeight="1">
      <c r="B1475" s="6"/>
      <c r="C1475" s="6"/>
      <c r="D1475" s="6"/>
    </row>
    <row r="1476" ht="15.75" customHeight="1">
      <c r="B1476" s="6"/>
      <c r="C1476" s="6"/>
      <c r="D1476" s="6"/>
    </row>
    <row r="1477" ht="15.75" customHeight="1">
      <c r="B1477" s="6"/>
      <c r="C1477" s="6"/>
      <c r="D1477" s="6"/>
    </row>
    <row r="1478" ht="15.75" customHeight="1">
      <c r="B1478" s="6"/>
      <c r="C1478" s="6"/>
      <c r="D1478" s="6"/>
    </row>
    <row r="1479" ht="15.75" customHeight="1">
      <c r="B1479" s="6"/>
      <c r="C1479" s="6"/>
      <c r="D1479" s="6"/>
    </row>
    <row r="1480" ht="15.75" customHeight="1">
      <c r="B1480" s="6"/>
      <c r="C1480" s="6"/>
      <c r="D1480" s="6"/>
    </row>
    <row r="1481" ht="15.75" customHeight="1">
      <c r="B1481" s="6"/>
      <c r="C1481" s="6"/>
      <c r="D1481" s="6"/>
    </row>
    <row r="1482" ht="15.75" customHeight="1">
      <c r="B1482" s="6"/>
      <c r="C1482" s="6"/>
      <c r="D1482" s="6"/>
    </row>
    <row r="1483" ht="15.75" customHeight="1">
      <c r="B1483" s="6"/>
      <c r="C1483" s="6"/>
      <c r="D1483" s="6"/>
    </row>
    <row r="1484" ht="15.75" customHeight="1">
      <c r="B1484" s="6"/>
      <c r="C1484" s="6"/>
      <c r="D1484" s="6"/>
    </row>
    <row r="1485" ht="15.75" customHeight="1">
      <c r="B1485" s="6"/>
      <c r="C1485" s="6"/>
      <c r="D1485" s="6"/>
    </row>
    <row r="1486" ht="15.75" customHeight="1">
      <c r="B1486" s="6"/>
      <c r="C1486" s="6"/>
      <c r="D1486" s="6"/>
    </row>
    <row r="1487" ht="15.75" customHeight="1">
      <c r="B1487" s="6"/>
      <c r="C1487" s="6"/>
      <c r="D1487" s="6"/>
    </row>
    <row r="1488" ht="15.75" customHeight="1">
      <c r="B1488" s="6"/>
      <c r="C1488" s="6"/>
      <c r="D1488" s="6"/>
    </row>
    <row r="1489" ht="15.75" customHeight="1">
      <c r="B1489" s="6"/>
      <c r="C1489" s="6"/>
      <c r="D1489" s="6"/>
    </row>
    <row r="1490" ht="15.75" customHeight="1">
      <c r="B1490" s="6"/>
      <c r="C1490" s="6"/>
      <c r="D1490" s="6"/>
    </row>
    <row r="1491" ht="15.75" customHeight="1">
      <c r="B1491" s="6"/>
      <c r="C1491" s="6"/>
      <c r="D1491" s="6"/>
    </row>
    <row r="1492" ht="15.75" customHeight="1">
      <c r="B1492" s="6"/>
      <c r="C1492" s="6"/>
      <c r="D1492" s="6"/>
    </row>
    <row r="1493" ht="15.75" customHeight="1">
      <c r="B1493" s="6"/>
      <c r="C1493" s="6"/>
      <c r="D1493" s="6"/>
    </row>
    <row r="1494" ht="15.75" customHeight="1">
      <c r="B1494" s="6"/>
      <c r="C1494" s="6"/>
      <c r="D1494" s="6"/>
    </row>
    <row r="1495" ht="15.75" customHeight="1">
      <c r="B1495" s="6"/>
      <c r="C1495" s="6"/>
      <c r="D1495" s="6"/>
    </row>
    <row r="1496" ht="15.75" customHeight="1">
      <c r="B1496" s="6"/>
      <c r="C1496" s="6"/>
      <c r="D1496" s="6"/>
    </row>
    <row r="1497" ht="15.75" customHeight="1">
      <c r="B1497" s="6"/>
      <c r="C1497" s="6"/>
      <c r="D1497" s="6"/>
    </row>
    <row r="1498" ht="15.75" customHeight="1">
      <c r="B1498" s="6"/>
      <c r="C1498" s="6"/>
      <c r="D1498" s="6"/>
    </row>
    <row r="1499" ht="15.75" customHeight="1">
      <c r="B1499" s="6"/>
      <c r="C1499" s="6"/>
      <c r="D1499" s="6"/>
    </row>
    <row r="1500" ht="15.75" customHeight="1">
      <c r="B1500" s="6"/>
      <c r="C1500" s="6"/>
      <c r="D1500" s="6"/>
    </row>
    <row r="1501" ht="15.75" customHeight="1">
      <c r="B1501" s="6"/>
      <c r="C1501" s="6"/>
      <c r="D1501" s="6"/>
    </row>
    <row r="1502" ht="15.75" customHeight="1">
      <c r="B1502" s="6"/>
      <c r="C1502" s="6"/>
      <c r="D1502" s="6"/>
    </row>
    <row r="1503" ht="15.75" customHeight="1">
      <c r="B1503" s="6"/>
      <c r="C1503" s="6"/>
      <c r="D1503" s="6"/>
    </row>
    <row r="1504" ht="15.75" customHeight="1">
      <c r="B1504" s="6"/>
      <c r="C1504" s="6"/>
      <c r="D1504" s="6"/>
    </row>
    <row r="1505" ht="15.75" customHeight="1">
      <c r="B1505" s="6"/>
      <c r="C1505" s="6"/>
      <c r="D1505" s="6"/>
    </row>
    <row r="1506" ht="15.75" customHeight="1">
      <c r="B1506" s="6"/>
      <c r="C1506" s="6"/>
      <c r="D1506" s="6"/>
    </row>
    <row r="1507" ht="15.75" customHeight="1">
      <c r="B1507" s="6"/>
      <c r="C1507" s="6"/>
      <c r="D1507" s="6"/>
    </row>
    <row r="1508" ht="15.75" customHeight="1">
      <c r="B1508" s="6"/>
      <c r="C1508" s="6"/>
      <c r="D1508" s="6"/>
    </row>
    <row r="1509" ht="15.75" customHeight="1">
      <c r="B1509" s="6"/>
      <c r="C1509" s="6"/>
      <c r="D1509" s="6"/>
    </row>
    <row r="1510" ht="15.75" customHeight="1">
      <c r="B1510" s="6"/>
      <c r="C1510" s="6"/>
      <c r="D1510" s="6"/>
    </row>
    <row r="1511" ht="15.75" customHeight="1">
      <c r="B1511" s="6"/>
      <c r="C1511" s="6"/>
      <c r="D1511" s="6"/>
    </row>
    <row r="1512" ht="15.75" customHeight="1">
      <c r="B1512" s="6"/>
      <c r="C1512" s="6"/>
      <c r="D1512" s="6"/>
    </row>
    <row r="1513" ht="15.75" customHeight="1">
      <c r="B1513" s="6"/>
      <c r="C1513" s="6"/>
      <c r="D1513" s="6"/>
    </row>
    <row r="1514" ht="15.75" customHeight="1">
      <c r="B1514" s="6"/>
      <c r="C1514" s="6"/>
      <c r="D1514" s="6"/>
    </row>
    <row r="1515" ht="15.75" customHeight="1">
      <c r="B1515" s="6"/>
      <c r="C1515" s="6"/>
      <c r="D1515" s="6"/>
    </row>
    <row r="1516" ht="15.75" customHeight="1">
      <c r="B1516" s="6"/>
      <c r="C1516" s="6"/>
      <c r="D1516" s="6"/>
    </row>
    <row r="1517" ht="15.75" customHeight="1">
      <c r="B1517" s="6"/>
      <c r="C1517" s="6"/>
      <c r="D1517" s="6"/>
    </row>
    <row r="1518" ht="15.75" customHeight="1">
      <c r="B1518" s="6"/>
      <c r="C1518" s="6"/>
      <c r="D1518" s="6"/>
    </row>
    <row r="1519" ht="15.75" customHeight="1">
      <c r="B1519" s="6"/>
      <c r="C1519" s="6"/>
      <c r="D1519" s="6"/>
    </row>
    <row r="1520" ht="15.75" customHeight="1">
      <c r="B1520" s="6"/>
      <c r="C1520" s="6"/>
      <c r="D1520" s="6"/>
    </row>
    <row r="1521" ht="15.75" customHeight="1">
      <c r="B1521" s="6"/>
      <c r="C1521" s="6"/>
      <c r="D1521" s="6"/>
    </row>
    <row r="1522" ht="15.75" customHeight="1">
      <c r="B1522" s="6"/>
      <c r="C1522" s="6"/>
      <c r="D1522" s="6"/>
    </row>
    <row r="1523" ht="15.75" customHeight="1">
      <c r="B1523" s="6"/>
      <c r="C1523" s="6"/>
      <c r="D1523" s="6"/>
    </row>
    <row r="1524" ht="15.75" customHeight="1">
      <c r="B1524" s="6"/>
      <c r="C1524" s="6"/>
      <c r="D1524" s="6"/>
    </row>
    <row r="1525" ht="15.75" customHeight="1">
      <c r="B1525" s="6"/>
      <c r="C1525" s="6"/>
      <c r="D1525" s="6"/>
    </row>
    <row r="1526" ht="15.75" customHeight="1">
      <c r="B1526" s="6"/>
      <c r="C1526" s="6"/>
      <c r="D1526" s="6"/>
    </row>
    <row r="1527" ht="15.75" customHeight="1">
      <c r="B1527" s="6"/>
      <c r="C1527" s="6"/>
      <c r="D1527" s="6"/>
    </row>
    <row r="1528" ht="15.75" customHeight="1">
      <c r="B1528" s="6"/>
      <c r="C1528" s="6"/>
      <c r="D1528" s="6"/>
    </row>
    <row r="1529" ht="15.75" customHeight="1">
      <c r="B1529" s="6"/>
      <c r="C1529" s="6"/>
      <c r="D1529" s="6"/>
    </row>
    <row r="1530" ht="15.75" customHeight="1">
      <c r="B1530" s="6"/>
      <c r="C1530" s="6"/>
      <c r="D1530" s="6"/>
    </row>
    <row r="1531" ht="15.75" customHeight="1">
      <c r="B1531" s="6"/>
      <c r="C1531" s="6"/>
      <c r="D1531" s="6"/>
    </row>
    <row r="1532" ht="15.75" customHeight="1">
      <c r="B1532" s="6"/>
      <c r="C1532" s="6"/>
      <c r="D1532" s="6"/>
    </row>
    <row r="1533" ht="15.75" customHeight="1">
      <c r="B1533" s="6"/>
      <c r="C1533" s="6"/>
      <c r="D1533" s="6"/>
    </row>
    <row r="1534" ht="15.75" customHeight="1">
      <c r="B1534" s="6"/>
      <c r="C1534" s="6"/>
      <c r="D1534" s="6"/>
    </row>
    <row r="1535" ht="15.75" customHeight="1">
      <c r="B1535" s="6"/>
      <c r="C1535" s="6"/>
      <c r="D1535" s="6"/>
    </row>
    <row r="1536" ht="15.75" customHeight="1">
      <c r="B1536" s="6"/>
      <c r="C1536" s="6"/>
      <c r="D1536" s="6"/>
    </row>
    <row r="1537" ht="15.75" customHeight="1">
      <c r="B1537" s="6"/>
      <c r="C1537" s="6"/>
      <c r="D1537" s="6"/>
    </row>
    <row r="1538" ht="15.75" customHeight="1">
      <c r="B1538" s="6"/>
      <c r="C1538" s="6"/>
      <c r="D1538" s="6"/>
    </row>
    <row r="1539" ht="15.75" customHeight="1">
      <c r="B1539" s="6"/>
      <c r="C1539" s="6"/>
      <c r="D1539" s="6"/>
    </row>
    <row r="1540" ht="15.75" customHeight="1">
      <c r="B1540" s="6"/>
      <c r="C1540" s="6"/>
      <c r="D1540" s="6"/>
    </row>
    <row r="1541" ht="15.75" customHeight="1">
      <c r="B1541" s="6"/>
      <c r="C1541" s="6"/>
      <c r="D1541" s="6"/>
    </row>
    <row r="1542" ht="15.75" customHeight="1">
      <c r="B1542" s="6"/>
      <c r="C1542" s="6"/>
      <c r="D1542" s="6"/>
    </row>
    <row r="1543" ht="15.75" customHeight="1">
      <c r="B1543" s="6"/>
      <c r="C1543" s="6"/>
      <c r="D1543" s="6"/>
    </row>
    <row r="1544" ht="15.75" customHeight="1">
      <c r="B1544" s="6"/>
      <c r="C1544" s="6"/>
      <c r="D1544" s="6"/>
    </row>
    <row r="1545" ht="15.75" customHeight="1">
      <c r="B1545" s="6"/>
      <c r="C1545" s="6"/>
      <c r="D1545" s="6"/>
    </row>
    <row r="1546" ht="15.75" customHeight="1">
      <c r="B1546" s="6"/>
      <c r="C1546" s="6"/>
      <c r="D1546" s="6"/>
    </row>
    <row r="1547" ht="15.75" customHeight="1">
      <c r="B1547" s="6"/>
      <c r="C1547" s="6"/>
      <c r="D1547" s="6"/>
    </row>
    <row r="1548" ht="15.75" customHeight="1">
      <c r="B1548" s="6"/>
      <c r="C1548" s="6"/>
      <c r="D1548" s="6"/>
    </row>
    <row r="1549" ht="15.75" customHeight="1">
      <c r="B1549" s="6"/>
      <c r="C1549" s="6"/>
      <c r="D1549" s="6"/>
    </row>
    <row r="1550" ht="15.75" customHeight="1">
      <c r="B1550" s="6"/>
      <c r="C1550" s="6"/>
      <c r="D1550" s="6"/>
    </row>
    <row r="1551" ht="15.75" customHeight="1">
      <c r="B1551" s="6"/>
      <c r="C1551" s="6"/>
      <c r="D1551" s="6"/>
    </row>
    <row r="1552" ht="15.75" customHeight="1">
      <c r="B1552" s="6"/>
      <c r="C1552" s="6"/>
      <c r="D1552" s="6"/>
    </row>
    <row r="1553" ht="15.75" customHeight="1">
      <c r="B1553" s="6"/>
      <c r="C1553" s="6"/>
      <c r="D1553" s="6"/>
    </row>
    <row r="1554" ht="15.75" customHeight="1">
      <c r="B1554" s="6"/>
      <c r="C1554" s="6"/>
      <c r="D1554" s="6"/>
    </row>
    <row r="1555" ht="15.75" customHeight="1">
      <c r="B1555" s="6"/>
      <c r="C1555" s="6"/>
      <c r="D1555" s="6"/>
    </row>
    <row r="1556" ht="15.75" customHeight="1">
      <c r="B1556" s="6"/>
      <c r="C1556" s="6"/>
      <c r="D1556" s="6"/>
    </row>
    <row r="1557" ht="15.75" customHeight="1">
      <c r="B1557" s="6"/>
      <c r="C1557" s="6"/>
      <c r="D1557" s="6"/>
    </row>
    <row r="1558" ht="15.75" customHeight="1">
      <c r="B1558" s="6"/>
      <c r="C1558" s="6"/>
      <c r="D1558" s="6"/>
    </row>
    <row r="1559" ht="15.75" customHeight="1">
      <c r="B1559" s="6"/>
      <c r="C1559" s="6"/>
      <c r="D1559" s="6"/>
    </row>
    <row r="1560" ht="15.75" customHeight="1">
      <c r="B1560" s="6"/>
      <c r="C1560" s="6"/>
      <c r="D1560" s="6"/>
    </row>
    <row r="1561" ht="15.75" customHeight="1">
      <c r="B1561" s="6"/>
      <c r="C1561" s="6"/>
      <c r="D1561" s="6"/>
    </row>
    <row r="1562" ht="15.75" customHeight="1">
      <c r="B1562" s="6"/>
      <c r="C1562" s="6"/>
      <c r="D1562" s="6"/>
    </row>
    <row r="1563" ht="15.75" customHeight="1">
      <c r="B1563" s="6"/>
      <c r="C1563" s="6"/>
      <c r="D1563" s="6"/>
    </row>
    <row r="1564" ht="15.75" customHeight="1">
      <c r="B1564" s="6"/>
      <c r="C1564" s="6"/>
      <c r="D1564" s="6"/>
    </row>
    <row r="1565" ht="15.75" customHeight="1">
      <c r="B1565" s="6"/>
      <c r="C1565" s="6"/>
      <c r="D1565" s="6"/>
    </row>
    <row r="1566" ht="15.75" customHeight="1">
      <c r="B1566" s="6"/>
      <c r="C1566" s="6"/>
      <c r="D1566" s="6"/>
    </row>
    <row r="1567" ht="15.75" customHeight="1">
      <c r="B1567" s="6"/>
      <c r="C1567" s="6"/>
      <c r="D1567" s="6"/>
    </row>
    <row r="1568" ht="15.75" customHeight="1">
      <c r="B1568" s="6"/>
      <c r="C1568" s="6"/>
      <c r="D1568" s="6"/>
    </row>
    <row r="1569" ht="15.75" customHeight="1">
      <c r="B1569" s="6"/>
      <c r="C1569" s="6"/>
      <c r="D1569" s="6"/>
    </row>
    <row r="1570" ht="15.75" customHeight="1">
      <c r="B1570" s="6"/>
      <c r="C1570" s="6"/>
      <c r="D1570" s="6"/>
    </row>
    <row r="1571" ht="15.75" customHeight="1">
      <c r="B1571" s="6"/>
      <c r="C1571" s="6"/>
      <c r="D1571" s="6"/>
    </row>
    <row r="1572" ht="15.75" customHeight="1">
      <c r="B1572" s="6"/>
      <c r="C1572" s="6"/>
      <c r="D1572" s="6"/>
    </row>
    <row r="1573" ht="15.75" customHeight="1">
      <c r="B1573" s="6"/>
      <c r="C1573" s="6"/>
      <c r="D1573" s="6"/>
    </row>
    <row r="1574" ht="15.75" customHeight="1">
      <c r="B1574" s="6"/>
      <c r="C1574" s="6"/>
      <c r="D1574" s="6"/>
    </row>
    <row r="1575" ht="15.75" customHeight="1">
      <c r="B1575" s="6"/>
      <c r="C1575" s="6"/>
      <c r="D1575" s="6"/>
    </row>
    <row r="1576" ht="15.75" customHeight="1">
      <c r="B1576" s="6"/>
      <c r="C1576" s="6"/>
      <c r="D1576" s="6"/>
    </row>
    <row r="1577" ht="15.75" customHeight="1">
      <c r="B1577" s="6"/>
      <c r="C1577" s="6"/>
      <c r="D1577" s="6"/>
    </row>
    <row r="1578" ht="15.75" customHeight="1">
      <c r="B1578" s="6"/>
      <c r="C1578" s="6"/>
      <c r="D1578" s="6"/>
    </row>
    <row r="1579" ht="15.75" customHeight="1">
      <c r="B1579" s="6"/>
      <c r="C1579" s="6"/>
      <c r="D1579" s="6"/>
    </row>
    <row r="1580" ht="15.75" customHeight="1">
      <c r="B1580" s="6"/>
      <c r="C1580" s="6"/>
      <c r="D1580" s="6"/>
    </row>
    <row r="1581" ht="15.75" customHeight="1">
      <c r="B1581" s="6"/>
      <c r="C1581" s="6"/>
      <c r="D1581" s="6"/>
    </row>
    <row r="1582" ht="15.75" customHeight="1">
      <c r="B1582" s="6"/>
      <c r="C1582" s="6"/>
      <c r="D1582" s="6"/>
    </row>
    <row r="1583" ht="15.75" customHeight="1">
      <c r="B1583" s="6"/>
      <c r="C1583" s="6"/>
      <c r="D1583" s="6"/>
    </row>
    <row r="1584" ht="15.75" customHeight="1">
      <c r="B1584" s="6"/>
      <c r="C1584" s="6"/>
      <c r="D1584" s="6"/>
    </row>
    <row r="1585" ht="15.75" customHeight="1">
      <c r="B1585" s="6"/>
      <c r="C1585" s="6"/>
      <c r="D1585" s="6"/>
    </row>
    <row r="1586" ht="15.75" customHeight="1">
      <c r="B1586" s="6"/>
      <c r="C1586" s="6"/>
      <c r="D1586" s="6"/>
    </row>
    <row r="1587" ht="15.75" customHeight="1">
      <c r="B1587" s="6"/>
      <c r="C1587" s="6"/>
      <c r="D1587" s="6"/>
    </row>
    <row r="1588" ht="15.75" customHeight="1">
      <c r="B1588" s="6"/>
      <c r="C1588" s="6"/>
      <c r="D1588" s="6"/>
    </row>
    <row r="1589" ht="15.75" customHeight="1">
      <c r="B1589" s="6"/>
      <c r="C1589" s="6"/>
      <c r="D1589" s="6"/>
    </row>
    <row r="1590" ht="15.75" customHeight="1">
      <c r="B1590" s="6"/>
      <c r="C1590" s="6"/>
      <c r="D1590" s="6"/>
    </row>
    <row r="1591" ht="15.75" customHeight="1">
      <c r="B1591" s="6"/>
      <c r="C1591" s="6"/>
      <c r="D1591" s="6"/>
    </row>
    <row r="1592" ht="15.75" customHeight="1">
      <c r="B1592" s="6"/>
      <c r="C1592" s="6"/>
      <c r="D1592" s="6"/>
    </row>
    <row r="1593" ht="15.75" customHeight="1">
      <c r="B1593" s="6"/>
      <c r="C1593" s="6"/>
      <c r="D1593" s="6"/>
    </row>
    <row r="1594" ht="15.75" customHeight="1">
      <c r="B1594" s="6"/>
      <c r="C1594" s="6"/>
      <c r="D1594" s="6"/>
    </row>
    <row r="1595" ht="15.75" customHeight="1">
      <c r="B1595" s="6"/>
      <c r="C1595" s="6"/>
      <c r="D1595" s="6"/>
    </row>
    <row r="1596" ht="15.75" customHeight="1">
      <c r="B1596" s="6"/>
      <c r="C1596" s="6"/>
      <c r="D1596" s="6"/>
    </row>
    <row r="1597" ht="15.75" customHeight="1">
      <c r="B1597" s="6"/>
      <c r="C1597" s="6"/>
      <c r="D1597" s="6"/>
    </row>
    <row r="1598" ht="15.75" customHeight="1">
      <c r="B1598" s="6"/>
      <c r="C1598" s="6"/>
      <c r="D1598" s="6"/>
    </row>
    <row r="1599" ht="15.75" customHeight="1">
      <c r="B1599" s="6"/>
      <c r="C1599" s="6"/>
      <c r="D1599" s="6"/>
    </row>
    <row r="1600" ht="15.75" customHeight="1">
      <c r="B1600" s="6"/>
      <c r="C1600" s="6"/>
      <c r="D1600" s="6"/>
    </row>
    <row r="1601" ht="15.75" customHeight="1">
      <c r="B1601" s="6"/>
      <c r="C1601" s="6"/>
      <c r="D1601" s="6"/>
    </row>
    <row r="1602" ht="15.75" customHeight="1">
      <c r="B1602" s="6"/>
      <c r="C1602" s="6"/>
      <c r="D1602" s="6"/>
    </row>
    <row r="1603" ht="15.75" customHeight="1">
      <c r="B1603" s="6"/>
      <c r="C1603" s="6"/>
      <c r="D1603" s="6"/>
    </row>
    <row r="1604" ht="15.75" customHeight="1">
      <c r="B1604" s="6"/>
      <c r="C1604" s="6"/>
      <c r="D1604" s="6"/>
    </row>
    <row r="1605" ht="15.75" customHeight="1">
      <c r="B1605" s="6"/>
      <c r="C1605" s="6"/>
      <c r="D1605" s="6"/>
    </row>
    <row r="1606" ht="15.75" customHeight="1">
      <c r="B1606" s="6"/>
      <c r="C1606" s="6"/>
      <c r="D1606" s="6"/>
    </row>
    <row r="1607" ht="15.75" customHeight="1">
      <c r="B1607" s="6"/>
      <c r="C1607" s="6"/>
      <c r="D1607" s="6"/>
    </row>
    <row r="1608" ht="15.75" customHeight="1">
      <c r="B1608" s="6"/>
      <c r="C1608" s="6"/>
      <c r="D1608" s="6"/>
    </row>
    <row r="1609" ht="15.75" customHeight="1">
      <c r="B1609" s="6"/>
      <c r="C1609" s="6"/>
      <c r="D1609" s="6"/>
    </row>
    <row r="1610" ht="15.75" customHeight="1">
      <c r="B1610" s="6"/>
      <c r="C1610" s="6"/>
      <c r="D1610" s="6"/>
    </row>
    <row r="1611" ht="15.75" customHeight="1">
      <c r="B1611" s="6"/>
      <c r="C1611" s="6"/>
      <c r="D1611" s="6"/>
    </row>
    <row r="1612" ht="15.75" customHeight="1">
      <c r="B1612" s="6"/>
      <c r="C1612" s="6"/>
      <c r="D1612" s="6"/>
    </row>
    <row r="1613" ht="15.75" customHeight="1">
      <c r="B1613" s="6"/>
      <c r="C1613" s="6"/>
      <c r="D1613" s="6"/>
    </row>
    <row r="1614" ht="15.75" customHeight="1">
      <c r="B1614" s="6"/>
      <c r="C1614" s="6"/>
      <c r="D1614" s="6"/>
    </row>
    <row r="1615" ht="15.75" customHeight="1">
      <c r="B1615" s="6"/>
      <c r="C1615" s="6"/>
      <c r="D1615" s="6"/>
    </row>
    <row r="1616" ht="15.75" customHeight="1">
      <c r="B1616" s="6"/>
      <c r="C1616" s="6"/>
      <c r="D1616" s="6"/>
    </row>
    <row r="1617" ht="15.75" customHeight="1">
      <c r="B1617" s="6"/>
      <c r="C1617" s="6"/>
      <c r="D1617" s="6"/>
    </row>
    <row r="1618" ht="15.75" customHeight="1">
      <c r="B1618" s="6"/>
      <c r="C1618" s="6"/>
      <c r="D1618" s="6"/>
    </row>
    <row r="1619" ht="15.75" customHeight="1">
      <c r="B1619" s="6"/>
      <c r="C1619" s="6"/>
      <c r="D1619" s="6"/>
    </row>
    <row r="1620" ht="15.75" customHeight="1">
      <c r="B1620" s="6"/>
      <c r="C1620" s="6"/>
      <c r="D1620" s="6"/>
    </row>
    <row r="1621" ht="15.75" customHeight="1">
      <c r="B1621" s="6"/>
      <c r="C1621" s="6"/>
      <c r="D1621" s="6"/>
    </row>
    <row r="1622" ht="15.75" customHeight="1">
      <c r="B1622" s="6"/>
      <c r="C1622" s="6"/>
      <c r="D1622" s="6"/>
    </row>
    <row r="1623" ht="15.75" customHeight="1">
      <c r="B1623" s="6"/>
      <c r="C1623" s="6"/>
      <c r="D1623" s="6"/>
    </row>
    <row r="1624" ht="15.75" customHeight="1">
      <c r="B1624" s="6"/>
      <c r="C1624" s="6"/>
      <c r="D1624" s="6"/>
    </row>
    <row r="1625" ht="15.75" customHeight="1">
      <c r="B1625" s="6"/>
      <c r="C1625" s="6"/>
      <c r="D1625" s="6"/>
    </row>
    <row r="1626" ht="15.75" customHeight="1">
      <c r="B1626" s="6"/>
      <c r="C1626" s="6"/>
      <c r="D1626" s="6"/>
    </row>
    <row r="1627" ht="15.75" customHeight="1">
      <c r="B1627" s="6"/>
      <c r="C1627" s="6"/>
      <c r="D1627" s="6"/>
    </row>
    <row r="1628" ht="15.75" customHeight="1">
      <c r="B1628" s="6"/>
      <c r="C1628" s="6"/>
      <c r="D1628" s="6"/>
    </row>
    <row r="1629" ht="15.75" customHeight="1">
      <c r="B1629" s="6"/>
      <c r="C1629" s="6"/>
      <c r="D1629" s="6"/>
    </row>
    <row r="1630" ht="15.75" customHeight="1">
      <c r="B1630" s="6"/>
      <c r="C1630" s="6"/>
      <c r="D1630" s="6"/>
    </row>
    <row r="1631" ht="15.75" customHeight="1">
      <c r="B1631" s="6"/>
      <c r="C1631" s="6"/>
      <c r="D1631" s="6"/>
    </row>
    <row r="1632" ht="15.75" customHeight="1">
      <c r="B1632" s="6"/>
      <c r="C1632" s="6"/>
      <c r="D1632" s="6"/>
    </row>
    <row r="1633" ht="15.75" customHeight="1">
      <c r="B1633" s="6"/>
      <c r="C1633" s="6"/>
      <c r="D1633" s="6"/>
    </row>
    <row r="1634" ht="15.75" customHeight="1">
      <c r="B1634" s="6"/>
      <c r="C1634" s="6"/>
      <c r="D1634" s="6"/>
    </row>
    <row r="1635" ht="15.75" customHeight="1">
      <c r="B1635" s="6"/>
      <c r="C1635" s="6"/>
      <c r="D1635" s="6"/>
    </row>
    <row r="1636" ht="15.75" customHeight="1">
      <c r="B1636" s="6"/>
      <c r="C1636" s="6"/>
      <c r="D1636" s="6"/>
    </row>
    <row r="1637" ht="15.75" customHeight="1">
      <c r="B1637" s="6"/>
      <c r="C1637" s="6"/>
      <c r="D1637" s="6"/>
    </row>
    <row r="1638" ht="15.75" customHeight="1">
      <c r="B1638" s="6"/>
      <c r="C1638" s="6"/>
      <c r="D1638" s="6"/>
    </row>
    <row r="1639" ht="15.75" customHeight="1">
      <c r="B1639" s="6"/>
      <c r="C1639" s="6"/>
      <c r="D1639" s="6"/>
    </row>
    <row r="1640" ht="15.75" customHeight="1">
      <c r="B1640" s="6"/>
      <c r="C1640" s="6"/>
      <c r="D1640" s="6"/>
    </row>
    <row r="1641" ht="15.75" customHeight="1">
      <c r="B1641" s="6"/>
      <c r="C1641" s="6"/>
      <c r="D1641" s="6"/>
    </row>
    <row r="1642" ht="15.75" customHeight="1">
      <c r="B1642" s="6"/>
      <c r="C1642" s="6"/>
      <c r="D1642" s="6"/>
    </row>
    <row r="1643" ht="15.75" customHeight="1">
      <c r="B1643" s="6"/>
      <c r="C1643" s="6"/>
      <c r="D1643" s="6"/>
    </row>
    <row r="1644" ht="15.75" customHeight="1">
      <c r="B1644" s="6"/>
      <c r="C1644" s="6"/>
      <c r="D1644" s="6"/>
    </row>
    <row r="1645" ht="15.75" customHeight="1">
      <c r="B1645" s="6"/>
      <c r="C1645" s="6"/>
      <c r="D1645" s="6"/>
    </row>
    <row r="1646" ht="15.75" customHeight="1">
      <c r="B1646" s="6"/>
      <c r="C1646" s="6"/>
      <c r="D1646" s="6"/>
    </row>
    <row r="1647" ht="15.75" customHeight="1">
      <c r="B1647" s="6"/>
      <c r="C1647" s="6"/>
      <c r="D1647" s="6"/>
    </row>
    <row r="1648" ht="15.75" customHeight="1">
      <c r="B1648" s="6"/>
      <c r="C1648" s="6"/>
      <c r="D1648" s="6"/>
    </row>
    <row r="1649" ht="15.75" customHeight="1">
      <c r="B1649" s="6"/>
      <c r="C1649" s="6"/>
      <c r="D1649" s="6"/>
    </row>
    <row r="1650" ht="15.75" customHeight="1">
      <c r="B1650" s="6"/>
      <c r="C1650" s="6"/>
      <c r="D1650" s="6"/>
    </row>
    <row r="1651" ht="15.75" customHeight="1">
      <c r="B1651" s="6"/>
      <c r="C1651" s="6"/>
      <c r="D1651" s="6"/>
    </row>
    <row r="1652" ht="15.75" customHeight="1">
      <c r="B1652" s="6"/>
      <c r="C1652" s="6"/>
      <c r="D1652" s="6"/>
    </row>
    <row r="1653" ht="15.75" customHeight="1">
      <c r="B1653" s="6"/>
      <c r="C1653" s="6"/>
      <c r="D1653" s="6"/>
    </row>
    <row r="1654" ht="15.75" customHeight="1">
      <c r="B1654" s="6"/>
      <c r="C1654" s="6"/>
      <c r="D1654" s="6"/>
    </row>
    <row r="1655" ht="15.75" customHeight="1">
      <c r="B1655" s="6"/>
      <c r="C1655" s="6"/>
      <c r="D1655" s="6"/>
    </row>
    <row r="1656" ht="15.75" customHeight="1">
      <c r="B1656" s="6"/>
      <c r="C1656" s="6"/>
      <c r="D1656" s="6"/>
    </row>
    <row r="1657" ht="15.75" customHeight="1">
      <c r="B1657" s="6"/>
      <c r="C1657" s="6"/>
      <c r="D1657" s="6"/>
    </row>
    <row r="1658" ht="15.75" customHeight="1">
      <c r="B1658" s="6"/>
      <c r="C1658" s="6"/>
      <c r="D1658" s="6"/>
    </row>
    <row r="1659" ht="15.75" customHeight="1">
      <c r="B1659" s="6"/>
      <c r="C1659" s="6"/>
      <c r="D1659" s="6"/>
    </row>
    <row r="1660" ht="15.75" customHeight="1">
      <c r="B1660" s="6"/>
      <c r="C1660" s="6"/>
      <c r="D1660" s="6"/>
    </row>
    <row r="1661" ht="15.75" customHeight="1">
      <c r="B1661" s="6"/>
      <c r="C1661" s="6"/>
      <c r="D1661" s="6"/>
    </row>
    <row r="1662" ht="15.75" customHeight="1">
      <c r="B1662" s="6"/>
      <c r="C1662" s="6"/>
      <c r="D1662" s="6"/>
    </row>
    <row r="1663" ht="15.75" customHeight="1">
      <c r="B1663" s="6"/>
      <c r="C1663" s="6"/>
      <c r="D1663" s="6"/>
    </row>
    <row r="1664" ht="15.75" customHeight="1">
      <c r="B1664" s="6"/>
      <c r="C1664" s="6"/>
      <c r="D1664" s="6"/>
    </row>
    <row r="1665" ht="15.75" customHeight="1">
      <c r="B1665" s="6"/>
      <c r="C1665" s="6"/>
      <c r="D1665" s="6"/>
    </row>
    <row r="1666" ht="15.75" customHeight="1">
      <c r="B1666" s="6"/>
      <c r="C1666" s="6"/>
      <c r="D1666" s="6"/>
    </row>
    <row r="1667" ht="15.75" customHeight="1">
      <c r="B1667" s="6"/>
      <c r="C1667" s="6"/>
      <c r="D1667" s="6"/>
    </row>
    <row r="1668" ht="15.75" customHeight="1">
      <c r="B1668" s="6"/>
      <c r="C1668" s="6"/>
      <c r="D1668" s="6"/>
    </row>
    <row r="1669" ht="15.75" customHeight="1">
      <c r="B1669" s="6"/>
      <c r="C1669" s="6"/>
      <c r="D1669" s="6"/>
    </row>
    <row r="1670" ht="15.75" customHeight="1">
      <c r="B1670" s="6"/>
      <c r="C1670" s="6"/>
      <c r="D1670" s="6"/>
    </row>
    <row r="1671" ht="15.75" customHeight="1">
      <c r="B1671" s="6"/>
      <c r="C1671" s="6"/>
      <c r="D1671" s="6"/>
    </row>
    <row r="1672" ht="15.75" customHeight="1">
      <c r="B1672" s="6"/>
      <c r="C1672" s="6"/>
      <c r="D1672" s="6"/>
    </row>
    <row r="1673" ht="15.75" customHeight="1">
      <c r="B1673" s="6"/>
      <c r="C1673" s="6"/>
      <c r="D1673" s="6"/>
    </row>
    <row r="1674" ht="15.75" customHeight="1">
      <c r="B1674" s="6"/>
      <c r="C1674" s="6"/>
      <c r="D1674" s="6"/>
    </row>
    <row r="1675" ht="15.75" customHeight="1">
      <c r="B1675" s="6"/>
      <c r="C1675" s="6"/>
      <c r="D1675" s="6"/>
    </row>
    <row r="1676" ht="15.75" customHeight="1">
      <c r="B1676" s="6"/>
      <c r="C1676" s="6"/>
      <c r="D1676" s="6"/>
    </row>
    <row r="1677" ht="15.75" customHeight="1">
      <c r="B1677" s="6"/>
      <c r="C1677" s="6"/>
      <c r="D1677" s="6"/>
    </row>
    <row r="1678" ht="15.75" customHeight="1">
      <c r="B1678" s="6"/>
      <c r="C1678" s="6"/>
      <c r="D1678" s="6"/>
    </row>
    <row r="1679" ht="15.75" customHeight="1">
      <c r="B1679" s="6"/>
      <c r="C1679" s="6"/>
      <c r="D1679" s="6"/>
    </row>
    <row r="1680" ht="15.75" customHeight="1">
      <c r="B1680" s="6"/>
      <c r="C1680" s="6"/>
      <c r="D1680" s="6"/>
    </row>
    <row r="1681" ht="15.75" customHeight="1">
      <c r="B1681" s="6"/>
      <c r="C1681" s="6"/>
      <c r="D1681" s="6"/>
    </row>
    <row r="1682" ht="15.75" customHeight="1">
      <c r="B1682" s="6"/>
      <c r="C1682" s="6"/>
      <c r="D1682" s="6"/>
    </row>
    <row r="1683" ht="15.75" customHeight="1">
      <c r="B1683" s="6"/>
      <c r="C1683" s="6"/>
      <c r="D1683" s="6"/>
    </row>
    <row r="1684" ht="15.75" customHeight="1">
      <c r="B1684" s="6"/>
      <c r="C1684" s="6"/>
      <c r="D1684" s="6"/>
    </row>
    <row r="1685" ht="15.75" customHeight="1">
      <c r="B1685" s="6"/>
      <c r="C1685" s="6"/>
      <c r="D1685" s="6"/>
    </row>
    <row r="1686" ht="15.75" customHeight="1">
      <c r="B1686" s="6"/>
      <c r="C1686" s="6"/>
      <c r="D1686" s="6"/>
    </row>
    <row r="1687" ht="15.75" customHeight="1">
      <c r="B1687" s="6"/>
      <c r="C1687" s="6"/>
      <c r="D1687" s="6"/>
    </row>
    <row r="1688" ht="15.75" customHeight="1">
      <c r="B1688" s="6"/>
      <c r="C1688" s="6"/>
      <c r="D1688" s="6"/>
    </row>
    <row r="1689" ht="15.75" customHeight="1">
      <c r="B1689" s="6"/>
      <c r="C1689" s="6"/>
      <c r="D1689" s="6"/>
    </row>
    <row r="1690" ht="15.75" customHeight="1">
      <c r="B1690" s="6"/>
      <c r="C1690" s="6"/>
      <c r="D1690" s="6"/>
    </row>
    <row r="1691" ht="15.75" customHeight="1">
      <c r="B1691" s="6"/>
      <c r="C1691" s="6"/>
      <c r="D1691" s="6"/>
    </row>
    <row r="1692" ht="15.75" customHeight="1">
      <c r="B1692" s="6"/>
      <c r="C1692" s="6"/>
      <c r="D1692" s="6"/>
    </row>
    <row r="1693" ht="15.75" customHeight="1">
      <c r="B1693" s="6"/>
      <c r="C1693" s="6"/>
      <c r="D1693" s="6"/>
    </row>
    <row r="1694" ht="15.75" customHeight="1">
      <c r="B1694" s="6"/>
      <c r="C1694" s="6"/>
      <c r="D1694" s="6"/>
    </row>
    <row r="1695" ht="15.75" customHeight="1">
      <c r="B1695" s="6"/>
      <c r="C1695" s="6"/>
      <c r="D1695" s="6"/>
    </row>
    <row r="1696" ht="15.75" customHeight="1">
      <c r="B1696" s="6"/>
      <c r="C1696" s="6"/>
      <c r="D1696" s="6"/>
    </row>
    <row r="1697" ht="15.75" customHeight="1">
      <c r="B1697" s="6"/>
      <c r="C1697" s="6"/>
      <c r="D1697" s="6"/>
    </row>
    <row r="1698" ht="15.75" customHeight="1">
      <c r="B1698" s="6"/>
      <c r="C1698" s="6"/>
      <c r="D1698" s="6"/>
    </row>
    <row r="1699" ht="15.75" customHeight="1">
      <c r="B1699" s="6"/>
      <c r="C1699" s="6"/>
      <c r="D1699" s="6"/>
    </row>
    <row r="1700" ht="15.75" customHeight="1">
      <c r="B1700" s="6"/>
      <c r="C1700" s="6"/>
      <c r="D1700" s="6"/>
    </row>
    <row r="1701" ht="15.75" customHeight="1">
      <c r="B1701" s="6"/>
      <c r="C1701" s="6"/>
      <c r="D1701" s="6"/>
    </row>
    <row r="1702" ht="15.75" customHeight="1">
      <c r="B1702" s="6"/>
      <c r="C1702" s="6"/>
      <c r="D1702" s="6"/>
    </row>
    <row r="1703" ht="15.75" customHeight="1">
      <c r="B1703" s="6"/>
      <c r="C1703" s="6"/>
      <c r="D1703" s="6"/>
    </row>
    <row r="1704" ht="15.75" customHeight="1">
      <c r="B1704" s="6"/>
      <c r="C1704" s="6"/>
      <c r="D1704" s="6"/>
    </row>
    <row r="1705" ht="15.75" customHeight="1">
      <c r="B1705" s="6"/>
      <c r="C1705" s="6"/>
      <c r="D1705" s="6"/>
    </row>
    <row r="1706" ht="15.75" customHeight="1">
      <c r="B1706" s="6"/>
      <c r="C1706" s="6"/>
      <c r="D1706" s="6"/>
    </row>
    <row r="1707" ht="15.75" customHeight="1">
      <c r="B1707" s="6"/>
      <c r="C1707" s="6"/>
      <c r="D1707" s="6"/>
    </row>
    <row r="1708" ht="15.75" customHeight="1">
      <c r="B1708" s="6"/>
      <c r="C1708" s="6"/>
      <c r="D1708" s="6"/>
    </row>
    <row r="1709" ht="15.75" customHeight="1">
      <c r="B1709" s="6"/>
      <c r="C1709" s="6"/>
      <c r="D1709" s="6"/>
    </row>
    <row r="1710" ht="15.75" customHeight="1">
      <c r="B1710" s="6"/>
      <c r="C1710" s="6"/>
      <c r="D1710" s="6"/>
    </row>
    <row r="1711" ht="15.75" customHeight="1">
      <c r="B1711" s="6"/>
      <c r="C1711" s="6"/>
      <c r="D1711" s="6"/>
    </row>
    <row r="1712" ht="15.75" customHeight="1">
      <c r="B1712" s="6"/>
      <c r="C1712" s="6"/>
      <c r="D1712" s="6"/>
    </row>
    <row r="1713" ht="15.75" customHeight="1">
      <c r="B1713" s="6"/>
      <c r="C1713" s="6"/>
      <c r="D1713" s="6"/>
    </row>
    <row r="1714" ht="15.75" customHeight="1">
      <c r="B1714" s="6"/>
      <c r="C1714" s="6"/>
      <c r="D1714" s="6"/>
    </row>
    <row r="1715" ht="15.75" customHeight="1">
      <c r="B1715" s="6"/>
      <c r="C1715" s="6"/>
      <c r="D1715" s="6"/>
    </row>
    <row r="1716" ht="15.75" customHeight="1">
      <c r="B1716" s="6"/>
      <c r="C1716" s="6"/>
      <c r="D1716" s="6"/>
    </row>
    <row r="1717" ht="15.75" customHeight="1">
      <c r="B1717" s="6"/>
      <c r="C1717" s="6"/>
      <c r="D1717" s="6"/>
    </row>
    <row r="1718" ht="15.75" customHeight="1">
      <c r="B1718" s="6"/>
      <c r="C1718" s="6"/>
      <c r="D1718" s="6"/>
    </row>
    <row r="1719" ht="15.75" customHeight="1">
      <c r="B1719" s="6"/>
      <c r="C1719" s="6"/>
      <c r="D1719" s="6"/>
    </row>
    <row r="1720" ht="15.75" customHeight="1">
      <c r="B1720" s="6"/>
      <c r="C1720" s="6"/>
      <c r="D1720" s="6"/>
    </row>
    <row r="1721" ht="15.75" customHeight="1">
      <c r="B1721" s="6"/>
      <c r="C1721" s="6"/>
      <c r="D1721" s="6"/>
    </row>
    <row r="1722" ht="15.75" customHeight="1">
      <c r="B1722" s="6"/>
      <c r="C1722" s="6"/>
      <c r="D1722" s="6"/>
    </row>
    <row r="1723" ht="15.75" customHeight="1">
      <c r="B1723" s="6"/>
      <c r="C1723" s="6"/>
      <c r="D1723" s="6"/>
    </row>
    <row r="1724" ht="15.75" customHeight="1">
      <c r="B1724" s="6"/>
      <c r="C1724" s="6"/>
      <c r="D1724" s="6"/>
    </row>
    <row r="1725" ht="15.75" customHeight="1">
      <c r="B1725" s="6"/>
      <c r="C1725" s="6"/>
      <c r="D1725" s="6"/>
    </row>
    <row r="1726" ht="15.75" customHeight="1">
      <c r="B1726" s="6"/>
      <c r="C1726" s="6"/>
      <c r="D1726" s="6"/>
    </row>
    <row r="1727" ht="15.75" customHeight="1">
      <c r="B1727" s="6"/>
      <c r="C1727" s="6"/>
      <c r="D1727" s="6"/>
    </row>
    <row r="1728" ht="15.75" customHeight="1">
      <c r="B1728" s="6"/>
      <c r="C1728" s="6"/>
      <c r="D1728" s="6"/>
    </row>
    <row r="1729" ht="15.75" customHeight="1">
      <c r="B1729" s="6"/>
      <c r="C1729" s="6"/>
      <c r="D1729" s="6"/>
    </row>
    <row r="1730" ht="15.75" customHeight="1">
      <c r="B1730" s="6"/>
      <c r="C1730" s="6"/>
      <c r="D1730" s="6"/>
    </row>
    <row r="1731" ht="15.75" customHeight="1">
      <c r="B1731" s="6"/>
      <c r="C1731" s="6"/>
      <c r="D1731" s="6"/>
    </row>
    <row r="1732" ht="15.75" customHeight="1">
      <c r="B1732" s="6"/>
      <c r="C1732" s="6"/>
      <c r="D1732" s="6"/>
    </row>
    <row r="1733" ht="15.75" customHeight="1">
      <c r="B1733" s="6"/>
      <c r="C1733" s="6"/>
      <c r="D1733" s="6"/>
    </row>
    <row r="1734" ht="15.75" customHeight="1">
      <c r="B1734" s="6"/>
      <c r="C1734" s="6"/>
      <c r="D1734" s="6"/>
    </row>
    <row r="1735" ht="15.75" customHeight="1">
      <c r="B1735" s="6"/>
      <c r="C1735" s="6"/>
      <c r="D1735" s="6"/>
    </row>
    <row r="1736" ht="15.75" customHeight="1">
      <c r="B1736" s="6"/>
      <c r="C1736" s="6"/>
      <c r="D1736" s="6"/>
    </row>
    <row r="1737" ht="15.75" customHeight="1">
      <c r="B1737" s="6"/>
      <c r="C1737" s="6"/>
      <c r="D1737" s="6"/>
    </row>
    <row r="1738" ht="15.75" customHeight="1">
      <c r="B1738" s="6"/>
      <c r="C1738" s="6"/>
      <c r="D1738" s="6"/>
    </row>
    <row r="1739" ht="15.75" customHeight="1">
      <c r="B1739" s="6"/>
      <c r="C1739" s="6"/>
      <c r="D1739" s="6"/>
    </row>
    <row r="1740" ht="15.75" customHeight="1">
      <c r="B1740" s="6"/>
      <c r="C1740" s="6"/>
      <c r="D1740" s="6"/>
    </row>
    <row r="1741" ht="15.75" customHeight="1">
      <c r="B1741" s="6"/>
      <c r="C1741" s="6"/>
      <c r="D1741" s="6"/>
    </row>
    <row r="1742" ht="15.75" customHeight="1">
      <c r="B1742" s="6"/>
      <c r="C1742" s="6"/>
      <c r="D1742" s="6"/>
    </row>
    <row r="1743" ht="15.75" customHeight="1">
      <c r="B1743" s="6"/>
      <c r="C1743" s="6"/>
      <c r="D1743" s="6"/>
    </row>
    <row r="1744" ht="15.75" customHeight="1">
      <c r="B1744" s="6"/>
      <c r="C1744" s="6"/>
      <c r="D1744" s="6"/>
    </row>
    <row r="1745" ht="15.75" customHeight="1">
      <c r="B1745" s="6"/>
      <c r="C1745" s="6"/>
      <c r="D1745" s="6"/>
    </row>
    <row r="1746" ht="15.75" customHeight="1">
      <c r="B1746" s="6"/>
      <c r="C1746" s="6"/>
      <c r="D1746" s="6"/>
    </row>
    <row r="1747" ht="15.75" customHeight="1">
      <c r="B1747" s="6"/>
      <c r="C1747" s="6"/>
      <c r="D1747" s="6"/>
    </row>
    <row r="1748" ht="15.75" customHeight="1">
      <c r="B1748" s="6"/>
      <c r="C1748" s="6"/>
      <c r="D1748" s="6"/>
    </row>
    <row r="1749" ht="15.75" customHeight="1">
      <c r="B1749" s="6"/>
      <c r="C1749" s="6"/>
      <c r="D1749" s="6"/>
    </row>
    <row r="1750" ht="15.75" customHeight="1">
      <c r="B1750" s="6"/>
      <c r="C1750" s="6"/>
      <c r="D1750" s="6"/>
    </row>
    <row r="1751" ht="15.75" customHeight="1">
      <c r="B1751" s="6"/>
      <c r="C1751" s="6"/>
      <c r="D1751" s="6"/>
    </row>
    <row r="1752" ht="15.75" customHeight="1">
      <c r="B1752" s="6"/>
      <c r="C1752" s="6"/>
      <c r="D1752" s="6"/>
    </row>
    <row r="1753" ht="15.75" customHeight="1">
      <c r="B1753" s="6"/>
      <c r="C1753" s="6"/>
      <c r="D1753" s="6"/>
    </row>
    <row r="1754" ht="15.75" customHeight="1">
      <c r="B1754" s="6"/>
      <c r="C1754" s="6"/>
      <c r="D1754" s="6"/>
    </row>
    <row r="1755" ht="15.75" customHeight="1">
      <c r="B1755" s="6"/>
      <c r="C1755" s="6"/>
      <c r="D1755" s="6"/>
    </row>
    <row r="1756" ht="15.75" customHeight="1">
      <c r="B1756" s="6"/>
      <c r="C1756" s="6"/>
      <c r="D1756" s="6"/>
    </row>
    <row r="1757" ht="15.75" customHeight="1">
      <c r="B1757" s="6"/>
      <c r="C1757" s="6"/>
      <c r="D1757" s="6"/>
    </row>
    <row r="1758" ht="15.75" customHeight="1">
      <c r="B1758" s="6"/>
      <c r="C1758" s="6"/>
      <c r="D1758" s="6"/>
    </row>
    <row r="1759" ht="15.75" customHeight="1">
      <c r="B1759" s="6"/>
      <c r="C1759" s="6"/>
      <c r="D1759" s="6"/>
    </row>
    <row r="1760" ht="15.75" customHeight="1">
      <c r="B1760" s="6"/>
      <c r="C1760" s="6"/>
      <c r="D1760" s="6"/>
    </row>
    <row r="1761" ht="15.75" customHeight="1">
      <c r="B1761" s="6"/>
      <c r="C1761" s="6"/>
      <c r="D1761" s="6"/>
    </row>
    <row r="1762" ht="15.75" customHeight="1">
      <c r="B1762" s="6"/>
      <c r="C1762" s="6"/>
      <c r="D1762" s="6"/>
    </row>
    <row r="1763" ht="15.75" customHeight="1">
      <c r="B1763" s="6"/>
      <c r="C1763" s="6"/>
      <c r="D1763" s="6"/>
    </row>
    <row r="1764" ht="15.75" customHeight="1">
      <c r="B1764" s="6"/>
      <c r="C1764" s="6"/>
      <c r="D1764" s="6"/>
    </row>
    <row r="1765" ht="15.75" customHeight="1">
      <c r="B1765" s="6"/>
      <c r="C1765" s="6"/>
      <c r="D1765" s="6"/>
    </row>
    <row r="1766" ht="15.75" customHeight="1">
      <c r="B1766" s="6"/>
      <c r="C1766" s="6"/>
      <c r="D1766" s="6"/>
    </row>
    <row r="1767" ht="15.75" customHeight="1">
      <c r="B1767" s="6"/>
      <c r="C1767" s="6"/>
      <c r="D1767" s="6"/>
    </row>
    <row r="1768" ht="15.75" customHeight="1">
      <c r="B1768" s="6"/>
      <c r="C1768" s="6"/>
      <c r="D1768" s="6"/>
    </row>
    <row r="1769" ht="15.75" customHeight="1">
      <c r="B1769" s="6"/>
      <c r="C1769" s="6"/>
      <c r="D1769" s="6"/>
    </row>
    <row r="1770" ht="15.75" customHeight="1">
      <c r="B1770" s="6"/>
      <c r="C1770" s="6"/>
      <c r="D1770" s="6"/>
    </row>
    <row r="1771" ht="15.75" customHeight="1">
      <c r="B1771" s="6"/>
      <c r="C1771" s="6"/>
      <c r="D1771" s="6"/>
    </row>
    <row r="1772" ht="15.75" customHeight="1">
      <c r="B1772" s="6"/>
      <c r="C1772" s="6"/>
      <c r="D1772" s="6"/>
    </row>
    <row r="1773" ht="15.75" customHeight="1">
      <c r="B1773" s="6"/>
      <c r="C1773" s="6"/>
      <c r="D1773" s="6"/>
    </row>
    <row r="1774" ht="15.75" customHeight="1">
      <c r="B1774" s="6"/>
      <c r="C1774" s="6"/>
      <c r="D1774" s="6"/>
    </row>
    <row r="1775" ht="15.75" customHeight="1">
      <c r="B1775" s="6"/>
      <c r="C1775" s="6"/>
      <c r="D1775" s="6"/>
    </row>
    <row r="1776" ht="15.75" customHeight="1">
      <c r="B1776" s="6"/>
      <c r="C1776" s="6"/>
      <c r="D1776" s="6"/>
    </row>
    <row r="1777" ht="15.75" customHeight="1">
      <c r="B1777" s="6"/>
      <c r="C1777" s="6"/>
      <c r="D1777" s="6"/>
    </row>
    <row r="1778" ht="15.75" customHeight="1">
      <c r="B1778" s="6"/>
      <c r="C1778" s="6"/>
      <c r="D1778" s="6"/>
    </row>
    <row r="1779" ht="15.75" customHeight="1">
      <c r="B1779" s="6"/>
      <c r="C1779" s="6"/>
      <c r="D1779" s="6"/>
    </row>
    <row r="1780" ht="15.75" customHeight="1">
      <c r="B1780" s="6"/>
      <c r="C1780" s="6"/>
      <c r="D1780" s="6"/>
    </row>
    <row r="1781" ht="15.75" customHeight="1">
      <c r="B1781" s="6"/>
      <c r="C1781" s="6"/>
      <c r="D1781" s="6"/>
    </row>
    <row r="1782" ht="15.75" customHeight="1">
      <c r="B1782" s="6"/>
      <c r="C1782" s="6"/>
      <c r="D1782" s="6"/>
    </row>
    <row r="1783" ht="15.75" customHeight="1">
      <c r="B1783" s="6"/>
      <c r="C1783" s="6"/>
      <c r="D1783" s="6"/>
    </row>
    <row r="1784" ht="15.75" customHeight="1">
      <c r="B1784" s="6"/>
      <c r="C1784" s="6"/>
      <c r="D1784" s="6"/>
    </row>
    <row r="1785" ht="15.75" customHeight="1">
      <c r="B1785" s="6"/>
      <c r="C1785" s="6"/>
      <c r="D1785" s="6"/>
    </row>
    <row r="1786" ht="15.75" customHeight="1">
      <c r="B1786" s="6"/>
      <c r="C1786" s="6"/>
      <c r="D1786" s="6"/>
    </row>
    <row r="1787" ht="15.75" customHeight="1">
      <c r="B1787" s="6"/>
      <c r="C1787" s="6"/>
      <c r="D1787" s="6"/>
    </row>
    <row r="1788" ht="15.75" customHeight="1">
      <c r="B1788" s="6"/>
      <c r="C1788" s="6"/>
      <c r="D1788" s="6"/>
    </row>
    <row r="1789" ht="15.75" customHeight="1">
      <c r="B1789" s="6"/>
      <c r="C1789" s="6"/>
      <c r="D1789" s="6"/>
    </row>
    <row r="1790" ht="15.75" customHeight="1">
      <c r="B1790" s="6"/>
      <c r="C1790" s="6"/>
      <c r="D1790" s="6"/>
    </row>
    <row r="1791" ht="15.75" customHeight="1">
      <c r="B1791" s="6"/>
      <c r="C1791" s="6"/>
      <c r="D1791" s="6"/>
    </row>
    <row r="1792" ht="15.75" customHeight="1">
      <c r="B1792" s="6"/>
      <c r="C1792" s="6"/>
      <c r="D1792" s="6"/>
    </row>
    <row r="1793" ht="15.75" customHeight="1">
      <c r="B1793" s="6"/>
      <c r="C1793" s="6"/>
      <c r="D1793" s="6"/>
    </row>
    <row r="1794" ht="15.75" customHeight="1">
      <c r="B1794" s="6"/>
      <c r="C1794" s="6"/>
      <c r="D1794" s="6"/>
    </row>
    <row r="1795" ht="15.75" customHeight="1">
      <c r="B1795" s="6"/>
      <c r="C1795" s="6"/>
      <c r="D1795" s="6"/>
    </row>
    <row r="1796" ht="15.75" customHeight="1">
      <c r="B1796" s="6"/>
      <c r="C1796" s="6"/>
      <c r="D1796" s="6"/>
    </row>
    <row r="1797" ht="15.75" customHeight="1">
      <c r="B1797" s="6"/>
      <c r="C1797" s="6"/>
      <c r="D1797" s="6"/>
    </row>
    <row r="1798" ht="15.75" customHeight="1">
      <c r="B1798" s="6"/>
      <c r="C1798" s="6"/>
      <c r="D1798" s="6"/>
    </row>
    <row r="1799" ht="15.75" customHeight="1">
      <c r="B1799" s="6"/>
      <c r="C1799" s="6"/>
      <c r="D1799" s="6"/>
    </row>
    <row r="1800" ht="15.75" customHeight="1">
      <c r="B1800" s="6"/>
      <c r="C1800" s="6"/>
      <c r="D1800" s="6"/>
    </row>
    <row r="1801" ht="15.75" customHeight="1">
      <c r="B1801" s="6"/>
      <c r="C1801" s="6"/>
      <c r="D1801" s="6"/>
    </row>
    <row r="1802" ht="15.75" customHeight="1">
      <c r="B1802" s="6"/>
      <c r="C1802" s="6"/>
      <c r="D1802" s="6"/>
    </row>
    <row r="1803" ht="15.75" customHeight="1">
      <c r="B1803" s="6"/>
      <c r="C1803" s="6"/>
      <c r="D1803" s="6"/>
    </row>
    <row r="1804" ht="15.75" customHeight="1">
      <c r="B1804" s="6"/>
      <c r="C1804" s="6"/>
      <c r="D1804" s="6"/>
    </row>
    <row r="1805" ht="15.75" customHeight="1">
      <c r="B1805" s="6"/>
      <c r="C1805" s="6"/>
      <c r="D1805" s="6"/>
    </row>
    <row r="1806" ht="15.75" customHeight="1">
      <c r="B1806" s="6"/>
      <c r="C1806" s="6"/>
      <c r="D1806" s="6"/>
    </row>
    <row r="1807" ht="15.75" customHeight="1">
      <c r="B1807" s="6"/>
      <c r="C1807" s="6"/>
      <c r="D1807" s="6"/>
    </row>
    <row r="1808" ht="15.75" customHeight="1">
      <c r="B1808" s="6"/>
      <c r="C1808" s="6"/>
      <c r="D1808" s="6"/>
    </row>
    <row r="1809" ht="15.75" customHeight="1">
      <c r="B1809" s="6"/>
      <c r="C1809" s="6"/>
      <c r="D1809" s="6"/>
    </row>
    <row r="1810" ht="15.75" customHeight="1">
      <c r="B1810" s="6"/>
      <c r="C1810" s="6"/>
      <c r="D1810" s="6"/>
    </row>
    <row r="1811" ht="15.75" customHeight="1">
      <c r="B1811" s="6"/>
      <c r="C1811" s="6"/>
      <c r="D1811" s="6"/>
    </row>
    <row r="1812" ht="15.75" customHeight="1">
      <c r="B1812" s="6"/>
      <c r="C1812" s="6"/>
      <c r="D1812" s="6"/>
    </row>
    <row r="1813" ht="15.75" customHeight="1">
      <c r="B1813" s="6"/>
      <c r="C1813" s="6"/>
      <c r="D1813" s="6"/>
    </row>
    <row r="1814" ht="15.75" customHeight="1">
      <c r="B1814" s="6"/>
      <c r="C1814" s="6"/>
      <c r="D1814" s="6"/>
    </row>
    <row r="1815" ht="15.75" customHeight="1">
      <c r="B1815" s="6"/>
      <c r="C1815" s="6"/>
      <c r="D1815" s="6"/>
    </row>
    <row r="1816" ht="15.75" customHeight="1">
      <c r="B1816" s="6"/>
      <c r="C1816" s="6"/>
      <c r="D1816" s="6"/>
    </row>
    <row r="1817" ht="15.75" customHeight="1">
      <c r="B1817" s="6"/>
      <c r="C1817" s="6"/>
      <c r="D1817" s="6"/>
    </row>
    <row r="1818" ht="15.75" customHeight="1">
      <c r="B1818" s="6"/>
      <c r="C1818" s="6"/>
      <c r="D1818" s="6"/>
    </row>
    <row r="1819" ht="15.75" customHeight="1">
      <c r="B1819" s="6"/>
      <c r="C1819" s="6"/>
      <c r="D1819" s="6"/>
    </row>
    <row r="1820" ht="15.75" customHeight="1">
      <c r="B1820" s="6"/>
      <c r="C1820" s="6"/>
      <c r="D1820" s="6"/>
    </row>
    <row r="1821" ht="15.75" customHeight="1">
      <c r="B1821" s="6"/>
      <c r="C1821" s="6"/>
      <c r="D1821" s="6"/>
    </row>
    <row r="1822" ht="15.75" customHeight="1">
      <c r="B1822" s="6"/>
      <c r="C1822" s="6"/>
      <c r="D1822" s="6"/>
    </row>
    <row r="1823" ht="15.75" customHeight="1">
      <c r="B1823" s="6"/>
      <c r="C1823" s="6"/>
      <c r="D1823" s="6"/>
    </row>
    <row r="1824" ht="15.75" customHeight="1">
      <c r="B1824" s="6"/>
      <c r="C1824" s="6"/>
      <c r="D1824" s="6"/>
    </row>
    <row r="1825" ht="15.75" customHeight="1">
      <c r="B1825" s="6"/>
      <c r="C1825" s="6"/>
      <c r="D1825" s="6"/>
    </row>
    <row r="1826" ht="15.75" customHeight="1">
      <c r="B1826" s="6"/>
      <c r="C1826" s="6"/>
      <c r="D1826" s="6"/>
    </row>
    <row r="1827" ht="15.75" customHeight="1">
      <c r="B1827" s="6"/>
      <c r="C1827" s="6"/>
      <c r="D1827" s="6"/>
    </row>
    <row r="1828" ht="15.75" customHeight="1">
      <c r="B1828" s="6"/>
      <c r="C1828" s="6"/>
      <c r="D1828" s="6"/>
    </row>
    <row r="1829" ht="15.75" customHeight="1">
      <c r="B1829" s="6"/>
      <c r="C1829" s="6"/>
      <c r="D1829" s="6"/>
    </row>
    <row r="1830" ht="15.75" customHeight="1">
      <c r="B1830" s="6"/>
      <c r="C1830" s="6"/>
      <c r="D1830" s="6"/>
    </row>
    <row r="1831" ht="15.75" customHeight="1">
      <c r="B1831" s="6"/>
      <c r="C1831" s="6"/>
      <c r="D1831" s="6"/>
    </row>
    <row r="1832" ht="15.75" customHeight="1">
      <c r="B1832" s="6"/>
      <c r="C1832" s="6"/>
      <c r="D1832" s="6"/>
    </row>
    <row r="1833" ht="15.75" customHeight="1">
      <c r="B1833" s="6"/>
      <c r="C1833" s="6"/>
      <c r="D1833" s="6"/>
    </row>
    <row r="1834" ht="15.75" customHeight="1">
      <c r="B1834" s="6"/>
      <c r="C1834" s="6"/>
      <c r="D1834" s="6"/>
    </row>
    <row r="1835" ht="15.75" customHeight="1">
      <c r="B1835" s="6"/>
      <c r="C1835" s="6"/>
      <c r="D1835" s="6"/>
    </row>
    <row r="1836" ht="15.75" customHeight="1">
      <c r="B1836" s="6"/>
      <c r="C1836" s="6"/>
      <c r="D1836" s="6"/>
    </row>
    <row r="1837" ht="15.75" customHeight="1">
      <c r="B1837" s="6"/>
      <c r="C1837" s="6"/>
      <c r="D1837" s="6"/>
    </row>
    <row r="1838" ht="15.75" customHeight="1">
      <c r="B1838" s="6"/>
      <c r="C1838" s="6"/>
      <c r="D1838" s="6"/>
    </row>
    <row r="1839" ht="15.75" customHeight="1">
      <c r="B1839" s="6"/>
      <c r="C1839" s="6"/>
      <c r="D1839" s="6"/>
    </row>
    <row r="1840" ht="15.75" customHeight="1">
      <c r="B1840" s="6"/>
      <c r="C1840" s="6"/>
      <c r="D1840" s="6"/>
    </row>
    <row r="1841" ht="15.75" customHeight="1">
      <c r="B1841" s="6"/>
      <c r="C1841" s="6"/>
      <c r="D1841" s="6"/>
    </row>
    <row r="1842" ht="15.75" customHeight="1">
      <c r="B1842" s="6"/>
      <c r="C1842" s="6"/>
      <c r="D1842" s="6"/>
    </row>
    <row r="1843" ht="15.75" customHeight="1">
      <c r="B1843" s="6"/>
      <c r="C1843" s="6"/>
      <c r="D1843" s="6"/>
    </row>
    <row r="1844" ht="15.75" customHeight="1">
      <c r="B1844" s="6"/>
      <c r="C1844" s="6"/>
      <c r="D1844" s="6"/>
    </row>
    <row r="1845" ht="15.75" customHeight="1">
      <c r="B1845" s="6"/>
      <c r="C1845" s="6"/>
      <c r="D1845" s="6"/>
    </row>
    <row r="1846" ht="15.75" customHeight="1">
      <c r="B1846" s="6"/>
      <c r="C1846" s="6"/>
      <c r="D1846" s="6"/>
    </row>
    <row r="1847" ht="15.75" customHeight="1">
      <c r="B1847" s="6"/>
      <c r="C1847" s="6"/>
      <c r="D1847" s="6"/>
    </row>
    <row r="1848" ht="15.75" customHeight="1">
      <c r="B1848" s="6"/>
      <c r="C1848" s="6"/>
      <c r="D1848" s="6"/>
    </row>
    <row r="1849" ht="15.75" customHeight="1">
      <c r="B1849" s="6"/>
      <c r="C1849" s="6"/>
      <c r="D1849" s="6"/>
    </row>
    <row r="1850" ht="15.75" customHeight="1">
      <c r="B1850" s="6"/>
      <c r="C1850" s="6"/>
      <c r="D1850" s="6"/>
    </row>
    <row r="1851" ht="15.75" customHeight="1">
      <c r="B1851" s="6"/>
      <c r="C1851" s="6"/>
      <c r="D1851" s="6"/>
    </row>
    <row r="1852" ht="15.75" customHeight="1">
      <c r="B1852" s="6"/>
      <c r="C1852" s="6"/>
      <c r="D1852" s="6"/>
    </row>
    <row r="1853" ht="15.75" customHeight="1">
      <c r="B1853" s="6"/>
      <c r="C1853" s="6"/>
      <c r="D1853" s="6"/>
    </row>
    <row r="1854" ht="15.75" customHeight="1">
      <c r="B1854" s="6"/>
      <c r="C1854" s="6"/>
      <c r="D1854" s="6"/>
    </row>
    <row r="1855" ht="15.75" customHeight="1">
      <c r="B1855" s="6"/>
      <c r="C1855" s="6"/>
      <c r="D1855" s="6"/>
    </row>
    <row r="1856" ht="15.75" customHeight="1">
      <c r="B1856" s="6"/>
      <c r="C1856" s="6"/>
      <c r="D1856" s="6"/>
    </row>
    <row r="1857" ht="15.75" customHeight="1">
      <c r="B1857" s="6"/>
      <c r="C1857" s="6"/>
      <c r="D1857" s="6"/>
    </row>
    <row r="1858" ht="15.75" customHeight="1">
      <c r="B1858" s="6"/>
      <c r="C1858" s="6"/>
      <c r="D1858" s="6"/>
    </row>
    <row r="1859" ht="15.75" customHeight="1">
      <c r="B1859" s="6"/>
      <c r="C1859" s="6"/>
      <c r="D1859" s="6"/>
    </row>
    <row r="1860" ht="15.75" customHeight="1">
      <c r="B1860" s="6"/>
      <c r="C1860" s="6"/>
      <c r="D1860" s="6"/>
    </row>
    <row r="1861" ht="15.75" customHeight="1">
      <c r="B1861" s="6"/>
      <c r="C1861" s="6"/>
      <c r="D1861" s="6"/>
    </row>
    <row r="1862" ht="15.75" customHeight="1">
      <c r="B1862" s="6"/>
      <c r="C1862" s="6"/>
      <c r="D1862" s="6"/>
    </row>
    <row r="1863" ht="15.75" customHeight="1">
      <c r="B1863" s="6"/>
      <c r="C1863" s="6"/>
      <c r="D1863" s="6"/>
    </row>
    <row r="1864" ht="15.75" customHeight="1">
      <c r="B1864" s="6"/>
      <c r="C1864" s="6"/>
      <c r="D1864" s="6"/>
    </row>
    <row r="1865" ht="15.75" customHeight="1">
      <c r="B1865" s="6"/>
      <c r="C1865" s="6"/>
      <c r="D1865" s="6"/>
    </row>
    <row r="1866" ht="15.75" customHeight="1">
      <c r="B1866" s="6"/>
      <c r="C1866" s="6"/>
      <c r="D1866" s="6"/>
    </row>
    <row r="1867" ht="15.75" customHeight="1">
      <c r="B1867" s="6"/>
      <c r="C1867" s="6"/>
      <c r="D1867" s="6"/>
    </row>
    <row r="1868" ht="15.75" customHeight="1">
      <c r="B1868" s="6"/>
      <c r="C1868" s="6"/>
      <c r="D1868" s="6"/>
    </row>
    <row r="1869" ht="15.75" customHeight="1">
      <c r="B1869" s="6"/>
      <c r="C1869" s="6"/>
      <c r="D1869" s="6"/>
    </row>
    <row r="1870" ht="15.75" customHeight="1">
      <c r="B1870" s="6"/>
      <c r="C1870" s="6"/>
      <c r="D1870" s="6"/>
    </row>
    <row r="1871" ht="15.75" customHeight="1">
      <c r="B1871" s="6"/>
      <c r="C1871" s="6"/>
      <c r="D1871" s="6"/>
    </row>
    <row r="1872" ht="15.75" customHeight="1">
      <c r="B1872" s="6"/>
      <c r="C1872" s="6"/>
      <c r="D1872" s="6"/>
    </row>
    <row r="1873" ht="15.75" customHeight="1">
      <c r="B1873" s="6"/>
      <c r="C1873" s="6"/>
      <c r="D1873" s="6"/>
    </row>
    <row r="1874" ht="15.75" customHeight="1">
      <c r="B1874" s="6"/>
      <c r="C1874" s="6"/>
      <c r="D1874" s="6"/>
    </row>
    <row r="1875" ht="15.75" customHeight="1">
      <c r="B1875" s="6"/>
      <c r="C1875" s="6"/>
      <c r="D1875" s="6"/>
    </row>
    <row r="1876" ht="15.75" customHeight="1">
      <c r="B1876" s="6"/>
      <c r="C1876" s="6"/>
      <c r="D1876" s="6"/>
    </row>
    <row r="1877" ht="15.75" customHeight="1">
      <c r="B1877" s="6"/>
      <c r="C1877" s="6"/>
      <c r="D1877" s="6"/>
    </row>
    <row r="1878" ht="15.75" customHeight="1">
      <c r="B1878" s="6"/>
      <c r="C1878" s="6"/>
      <c r="D1878" s="6"/>
    </row>
    <row r="1879" ht="15.75" customHeight="1">
      <c r="B1879" s="6"/>
      <c r="C1879" s="6"/>
      <c r="D1879" s="6"/>
    </row>
    <row r="1880" ht="15.75" customHeight="1">
      <c r="B1880" s="6"/>
      <c r="C1880" s="6"/>
      <c r="D1880" s="6"/>
    </row>
    <row r="1881" ht="15.75" customHeight="1">
      <c r="B1881" s="6"/>
      <c r="C1881" s="6"/>
      <c r="D1881" s="6"/>
    </row>
    <row r="1882" ht="15.75" customHeight="1">
      <c r="B1882" s="6"/>
      <c r="C1882" s="6"/>
      <c r="D1882" s="6"/>
    </row>
    <row r="1883" ht="15.75" customHeight="1">
      <c r="B1883" s="6"/>
      <c r="C1883" s="6"/>
      <c r="D1883" s="6"/>
    </row>
    <row r="1884" ht="15.75" customHeight="1">
      <c r="B1884" s="6"/>
      <c r="C1884" s="6"/>
      <c r="D1884" s="6"/>
    </row>
    <row r="1885" ht="15.75" customHeight="1">
      <c r="B1885" s="6"/>
      <c r="C1885" s="6"/>
      <c r="D1885" s="6"/>
    </row>
    <row r="1886" ht="15.75" customHeight="1">
      <c r="B1886" s="6"/>
      <c r="C1886" s="6"/>
      <c r="D1886" s="6"/>
    </row>
    <row r="1887" ht="15.75" customHeight="1">
      <c r="B1887" s="6"/>
      <c r="C1887" s="6"/>
      <c r="D1887" s="6"/>
    </row>
    <row r="1888" ht="15.75" customHeight="1">
      <c r="B1888" s="6"/>
      <c r="C1888" s="6"/>
      <c r="D1888" s="6"/>
    </row>
    <row r="1889" ht="15.75" customHeight="1">
      <c r="B1889" s="6"/>
      <c r="C1889" s="6"/>
      <c r="D1889" s="6"/>
    </row>
    <row r="1890" ht="15.75" customHeight="1">
      <c r="B1890" s="6"/>
      <c r="C1890" s="6"/>
      <c r="D1890" s="6"/>
    </row>
    <row r="1891" ht="15.75" customHeight="1">
      <c r="B1891" s="6"/>
      <c r="C1891" s="6"/>
      <c r="D1891" s="6"/>
    </row>
    <row r="1892" ht="15.75" customHeight="1">
      <c r="B1892" s="6"/>
      <c r="C1892" s="6"/>
      <c r="D1892" s="6"/>
    </row>
    <row r="1893" ht="15.75" customHeight="1">
      <c r="B1893" s="6"/>
      <c r="C1893" s="6"/>
      <c r="D1893" s="6"/>
    </row>
    <row r="1894" ht="15.75" customHeight="1">
      <c r="B1894" s="6"/>
      <c r="C1894" s="6"/>
      <c r="D1894" s="6"/>
    </row>
    <row r="1895" ht="15.75" customHeight="1">
      <c r="B1895" s="6"/>
      <c r="C1895" s="6"/>
      <c r="D1895" s="6"/>
    </row>
    <row r="1896" ht="15.75" customHeight="1">
      <c r="B1896" s="6"/>
      <c r="C1896" s="6"/>
      <c r="D1896" s="6"/>
    </row>
    <row r="1897" ht="15.75" customHeight="1">
      <c r="B1897" s="6"/>
      <c r="C1897" s="6"/>
      <c r="D1897" s="6"/>
    </row>
    <row r="1898" ht="15.75" customHeight="1">
      <c r="B1898" s="6"/>
      <c r="C1898" s="6"/>
      <c r="D1898" s="6"/>
    </row>
    <row r="1899" ht="15.75" customHeight="1">
      <c r="B1899" s="6"/>
      <c r="C1899" s="6"/>
      <c r="D1899" s="6"/>
    </row>
    <row r="1900" ht="15.75" customHeight="1">
      <c r="B1900" s="6"/>
      <c r="C1900" s="6"/>
      <c r="D1900" s="6"/>
    </row>
    <row r="1901" ht="15.75" customHeight="1">
      <c r="B1901" s="6"/>
      <c r="C1901" s="6"/>
      <c r="D1901" s="6"/>
    </row>
    <row r="1902" ht="15.75" customHeight="1">
      <c r="B1902" s="6"/>
      <c r="C1902" s="6"/>
      <c r="D1902" s="6"/>
    </row>
    <row r="1903" ht="15.75" customHeight="1">
      <c r="B1903" s="6"/>
      <c r="C1903" s="6"/>
      <c r="D1903" s="6"/>
    </row>
    <row r="1904" ht="15.75" customHeight="1">
      <c r="B1904" s="6"/>
      <c r="C1904" s="6"/>
      <c r="D1904" s="6"/>
    </row>
    <row r="1905" ht="15.75" customHeight="1">
      <c r="B1905" s="6"/>
      <c r="C1905" s="6"/>
      <c r="D1905" s="6"/>
    </row>
    <row r="1906" ht="15.75" customHeight="1">
      <c r="B1906" s="6"/>
      <c r="C1906" s="6"/>
      <c r="D1906" s="6"/>
    </row>
    <row r="1907" ht="15.75" customHeight="1">
      <c r="B1907" s="6"/>
      <c r="C1907" s="6"/>
      <c r="D1907" s="6"/>
    </row>
    <row r="1908" ht="15.75" customHeight="1">
      <c r="B1908" s="6"/>
      <c r="C1908" s="6"/>
      <c r="D1908" s="6"/>
    </row>
    <row r="1909" ht="15.75" customHeight="1">
      <c r="B1909" s="6"/>
      <c r="C1909" s="6"/>
      <c r="D1909" s="6"/>
    </row>
    <row r="1910" ht="15.75" customHeight="1">
      <c r="B1910" s="6"/>
      <c r="C1910" s="6"/>
      <c r="D1910" s="6"/>
    </row>
    <row r="1911" ht="15.75" customHeight="1">
      <c r="B1911" s="6"/>
      <c r="C1911" s="6"/>
      <c r="D1911" s="6"/>
    </row>
    <row r="1912" ht="15.75" customHeight="1">
      <c r="B1912" s="6"/>
      <c r="C1912" s="6"/>
      <c r="D1912" s="6"/>
    </row>
    <row r="1913" ht="15.75" customHeight="1">
      <c r="B1913" s="6"/>
      <c r="C1913" s="6"/>
      <c r="D1913" s="6"/>
    </row>
    <row r="1914" ht="15.75" customHeight="1">
      <c r="B1914" s="6"/>
      <c r="C1914" s="6"/>
      <c r="D1914" s="6"/>
    </row>
    <row r="1915" ht="15.75" customHeight="1">
      <c r="B1915" s="6"/>
      <c r="C1915" s="6"/>
      <c r="D1915" s="6"/>
    </row>
    <row r="1916" ht="15.75" customHeight="1">
      <c r="B1916" s="6"/>
      <c r="C1916" s="6"/>
      <c r="D1916" s="6"/>
    </row>
    <row r="1917" ht="15.75" customHeight="1">
      <c r="B1917" s="6"/>
      <c r="C1917" s="6"/>
      <c r="D1917" s="6"/>
    </row>
    <row r="1918" ht="15.75" customHeight="1">
      <c r="B1918" s="6"/>
      <c r="C1918" s="6"/>
      <c r="D1918" s="6"/>
    </row>
    <row r="1919" ht="15.75" customHeight="1">
      <c r="B1919" s="6"/>
      <c r="C1919" s="6"/>
      <c r="D1919" s="6"/>
    </row>
    <row r="1920" ht="15.75" customHeight="1">
      <c r="B1920" s="6"/>
      <c r="C1920" s="6"/>
      <c r="D1920" s="6"/>
    </row>
    <row r="1921" ht="15.75" customHeight="1">
      <c r="B1921" s="6"/>
      <c r="C1921" s="6"/>
      <c r="D1921" s="6"/>
    </row>
    <row r="1922" ht="15.75" customHeight="1">
      <c r="B1922" s="6"/>
      <c r="C1922" s="6"/>
      <c r="D1922" s="6"/>
    </row>
    <row r="1923" ht="15.75" customHeight="1">
      <c r="B1923" s="6"/>
      <c r="C1923" s="6"/>
      <c r="D1923" s="6"/>
    </row>
    <row r="1924" ht="15.75" customHeight="1">
      <c r="B1924" s="6"/>
      <c r="C1924" s="6"/>
      <c r="D1924" s="6"/>
    </row>
    <row r="1925" ht="15.75" customHeight="1">
      <c r="B1925" s="6"/>
      <c r="C1925" s="6"/>
      <c r="D1925" s="6"/>
    </row>
    <row r="1926" ht="15.75" customHeight="1">
      <c r="B1926" s="6"/>
      <c r="C1926" s="6"/>
      <c r="D1926" s="6"/>
    </row>
    <row r="1927" ht="15.75" customHeight="1">
      <c r="B1927" s="6"/>
      <c r="C1927" s="6"/>
      <c r="D1927" s="6"/>
    </row>
    <row r="1928" ht="15.75" customHeight="1">
      <c r="B1928" s="6"/>
      <c r="C1928" s="6"/>
      <c r="D1928" s="6"/>
    </row>
    <row r="1929" ht="15.75" customHeight="1">
      <c r="B1929" s="6"/>
      <c r="C1929" s="6"/>
      <c r="D1929" s="6"/>
    </row>
    <row r="1930" ht="15.75" customHeight="1">
      <c r="B1930" s="6"/>
      <c r="C1930" s="6"/>
      <c r="D1930" s="6"/>
    </row>
    <row r="1931" ht="15.75" customHeight="1">
      <c r="B1931" s="6"/>
      <c r="C1931" s="6"/>
      <c r="D1931" s="6"/>
    </row>
    <row r="1932" ht="15.75" customHeight="1">
      <c r="B1932" s="6"/>
      <c r="C1932" s="6"/>
      <c r="D1932" s="6"/>
    </row>
    <row r="1933" ht="15.75" customHeight="1">
      <c r="B1933" s="6"/>
      <c r="C1933" s="6"/>
      <c r="D1933" s="6"/>
    </row>
    <row r="1934" ht="15.75" customHeight="1">
      <c r="B1934" s="6"/>
      <c r="C1934" s="6"/>
      <c r="D1934" s="6"/>
    </row>
    <row r="1935" ht="15.75" customHeight="1">
      <c r="B1935" s="6"/>
      <c r="C1935" s="6"/>
      <c r="D1935" s="6"/>
    </row>
    <row r="1936" ht="15.75" customHeight="1">
      <c r="B1936" s="6"/>
      <c r="C1936" s="6"/>
      <c r="D1936" s="6"/>
    </row>
    <row r="1937" ht="15.75" customHeight="1">
      <c r="B1937" s="6"/>
      <c r="C1937" s="6"/>
      <c r="D1937" s="6"/>
    </row>
    <row r="1938" ht="15.75" customHeight="1">
      <c r="B1938" s="6"/>
      <c r="C1938" s="6"/>
      <c r="D1938" s="6"/>
    </row>
    <row r="1939" ht="15.75" customHeight="1">
      <c r="B1939" s="6"/>
      <c r="C1939" s="6"/>
      <c r="D1939" s="6"/>
    </row>
    <row r="1940" ht="15.75" customHeight="1">
      <c r="B1940" s="6"/>
      <c r="C1940" s="6"/>
      <c r="D1940" s="6"/>
    </row>
    <row r="1941" ht="15.75" customHeight="1">
      <c r="B1941" s="6"/>
      <c r="C1941" s="6"/>
      <c r="D1941" s="6"/>
    </row>
    <row r="1942" ht="15.75" customHeight="1">
      <c r="B1942" s="6"/>
      <c r="C1942" s="6"/>
      <c r="D1942" s="6"/>
    </row>
    <row r="1943" ht="15.75" customHeight="1">
      <c r="B1943" s="6"/>
      <c r="C1943" s="6"/>
      <c r="D1943" s="6"/>
    </row>
    <row r="1944" ht="15.75" customHeight="1">
      <c r="B1944" s="6"/>
      <c r="C1944" s="6"/>
      <c r="D1944" s="6"/>
    </row>
    <row r="1945" ht="15.75" customHeight="1">
      <c r="B1945" s="6"/>
      <c r="C1945" s="6"/>
      <c r="D1945" s="6"/>
    </row>
    <row r="1946" ht="15.75" customHeight="1">
      <c r="B1946" s="6"/>
      <c r="C1946" s="6"/>
      <c r="D1946" s="6"/>
    </row>
    <row r="1947" ht="15.75" customHeight="1">
      <c r="B1947" s="6"/>
      <c r="C1947" s="6"/>
      <c r="D1947" s="6"/>
    </row>
    <row r="1948" ht="15.75" customHeight="1">
      <c r="B1948" s="6"/>
      <c r="C1948" s="6"/>
      <c r="D1948" s="6"/>
    </row>
    <row r="1949" ht="15.75" customHeight="1">
      <c r="B1949" s="6"/>
      <c r="C1949" s="6"/>
      <c r="D1949" s="6"/>
    </row>
    <row r="1950" ht="15.75" customHeight="1">
      <c r="B1950" s="6"/>
      <c r="C1950" s="6"/>
      <c r="D1950" s="6"/>
    </row>
    <row r="1951" ht="15.75" customHeight="1">
      <c r="B1951" s="6"/>
      <c r="C1951" s="6"/>
      <c r="D1951" s="6"/>
    </row>
    <row r="1952" ht="15.75" customHeight="1">
      <c r="B1952" s="6"/>
      <c r="C1952" s="6"/>
      <c r="D1952" s="6"/>
    </row>
    <row r="1953" ht="15.75" customHeight="1">
      <c r="B1953" s="6"/>
      <c r="C1953" s="6"/>
      <c r="D1953" s="6"/>
    </row>
    <row r="1954" ht="15.75" customHeight="1">
      <c r="B1954" s="6"/>
      <c r="C1954" s="6"/>
      <c r="D1954" s="6"/>
    </row>
    <row r="1955" ht="15.75" customHeight="1">
      <c r="B1955" s="6"/>
      <c r="C1955" s="6"/>
      <c r="D1955" s="6"/>
    </row>
    <row r="1956" ht="15.75" customHeight="1">
      <c r="B1956" s="6"/>
      <c r="C1956" s="6"/>
      <c r="D1956" s="6"/>
    </row>
    <row r="1957" ht="15.75" customHeight="1">
      <c r="B1957" s="6"/>
      <c r="C1957" s="6"/>
      <c r="D1957" s="6"/>
    </row>
    <row r="1958" ht="15.75" customHeight="1">
      <c r="B1958" s="6"/>
      <c r="C1958" s="6"/>
      <c r="D1958" s="6"/>
    </row>
    <row r="1959" ht="15.75" customHeight="1">
      <c r="B1959" s="6"/>
      <c r="C1959" s="6"/>
      <c r="D1959" s="6"/>
    </row>
    <row r="1960" ht="15.75" customHeight="1">
      <c r="B1960" s="6"/>
      <c r="C1960" s="6"/>
      <c r="D1960" s="6"/>
    </row>
    <row r="1961" ht="15.75" customHeight="1">
      <c r="B1961" s="6"/>
      <c r="C1961" s="6"/>
      <c r="D1961" s="6"/>
    </row>
    <row r="1962" ht="15.75" customHeight="1">
      <c r="B1962" s="6"/>
      <c r="C1962" s="6"/>
      <c r="D1962" s="6"/>
    </row>
    <row r="1963" ht="15.75" customHeight="1">
      <c r="B1963" s="6"/>
      <c r="C1963" s="6"/>
      <c r="D1963" s="6"/>
    </row>
    <row r="1964" ht="15.75" customHeight="1">
      <c r="B1964" s="6"/>
      <c r="C1964" s="6"/>
      <c r="D1964" s="6"/>
    </row>
    <row r="1965" ht="15.75" customHeight="1">
      <c r="B1965" s="6"/>
      <c r="C1965" s="6"/>
      <c r="D1965" s="6"/>
    </row>
    <row r="1966" ht="15.75" customHeight="1">
      <c r="B1966" s="6"/>
      <c r="C1966" s="6"/>
      <c r="D1966" s="6"/>
    </row>
    <row r="1967" ht="15.75" customHeight="1">
      <c r="B1967" s="6"/>
      <c r="C1967" s="6"/>
      <c r="D1967" s="6"/>
    </row>
    <row r="1968" ht="15.75" customHeight="1">
      <c r="B1968" s="6"/>
      <c r="C1968" s="6"/>
      <c r="D1968" s="6"/>
    </row>
    <row r="1969" ht="15.75" customHeight="1">
      <c r="B1969" s="6"/>
      <c r="C1969" s="6"/>
      <c r="D1969" s="6"/>
    </row>
    <row r="1970" ht="15.75" customHeight="1">
      <c r="B1970" s="6"/>
      <c r="C1970" s="6"/>
      <c r="D1970" s="6"/>
    </row>
    <row r="1971" ht="15.75" customHeight="1">
      <c r="B1971" s="6"/>
      <c r="C1971" s="6"/>
      <c r="D1971" s="6"/>
    </row>
    <row r="1972" ht="15.75" customHeight="1">
      <c r="B1972" s="6"/>
      <c r="C1972" s="6"/>
      <c r="D1972" s="6"/>
    </row>
    <row r="1973" ht="15.75" customHeight="1">
      <c r="B1973" s="6"/>
      <c r="C1973" s="6"/>
      <c r="D1973" s="6"/>
    </row>
    <row r="1974" ht="15.75" customHeight="1">
      <c r="B1974" s="6"/>
      <c r="C1974" s="6"/>
      <c r="D1974" s="6"/>
    </row>
    <row r="1975" ht="15.75" customHeight="1">
      <c r="B1975" s="6"/>
      <c r="C1975" s="6"/>
      <c r="D1975" s="6"/>
    </row>
    <row r="1976" ht="15.75" customHeight="1">
      <c r="B1976" s="6"/>
      <c r="C1976" s="6"/>
      <c r="D1976" s="6"/>
    </row>
    <row r="1977" ht="15.75" customHeight="1">
      <c r="B1977" s="6"/>
      <c r="C1977" s="6"/>
      <c r="D1977" s="6"/>
    </row>
    <row r="1978" ht="15.75" customHeight="1">
      <c r="B1978" s="6"/>
      <c r="C1978" s="6"/>
      <c r="D1978" s="6"/>
    </row>
    <row r="1979" ht="15.75" customHeight="1">
      <c r="B1979" s="6"/>
      <c r="C1979" s="6"/>
      <c r="D1979" s="6"/>
    </row>
    <row r="1980" ht="15.75" customHeight="1">
      <c r="B1980" s="6"/>
      <c r="C1980" s="6"/>
      <c r="D1980" s="6"/>
    </row>
    <row r="1981" ht="15.75" customHeight="1">
      <c r="B1981" s="6"/>
      <c r="C1981" s="6"/>
      <c r="D1981" s="6"/>
    </row>
    <row r="1982" ht="15.75" customHeight="1">
      <c r="B1982" s="6"/>
      <c r="C1982" s="6"/>
      <c r="D1982" s="6"/>
    </row>
    <row r="1983" ht="15.75" customHeight="1">
      <c r="B1983" s="6"/>
      <c r="C1983" s="6"/>
      <c r="D1983" s="6"/>
    </row>
    <row r="1984" ht="15.75" customHeight="1">
      <c r="B1984" s="6"/>
      <c r="C1984" s="6"/>
      <c r="D1984" s="6"/>
    </row>
    <row r="1985" ht="15.75" customHeight="1">
      <c r="B1985" s="6"/>
      <c r="C1985" s="6"/>
      <c r="D1985" s="6"/>
    </row>
    <row r="1986" ht="15.75" customHeight="1">
      <c r="B1986" s="6"/>
      <c r="C1986" s="6"/>
      <c r="D1986" s="6"/>
    </row>
    <row r="1987" ht="15.75" customHeight="1">
      <c r="B1987" s="6"/>
      <c r="C1987" s="6"/>
      <c r="D1987" s="6"/>
    </row>
    <row r="1988" ht="15.75" customHeight="1">
      <c r="B1988" s="6"/>
      <c r="C1988" s="6"/>
      <c r="D1988" s="6"/>
    </row>
    <row r="1989" ht="15.75" customHeight="1">
      <c r="B1989" s="6"/>
      <c r="C1989" s="6"/>
      <c r="D1989" s="6"/>
    </row>
    <row r="1990" ht="15.75" customHeight="1">
      <c r="B1990" s="6"/>
      <c r="C1990" s="6"/>
      <c r="D1990" s="6"/>
    </row>
    <row r="1991" ht="15.75" customHeight="1">
      <c r="B1991" s="6"/>
      <c r="C1991" s="6"/>
      <c r="D1991" s="6"/>
    </row>
    <row r="1992" ht="15.75" customHeight="1">
      <c r="B1992" s="6"/>
      <c r="C1992" s="6"/>
      <c r="D1992" s="6"/>
    </row>
    <row r="1993" ht="15.75" customHeight="1">
      <c r="B1993" s="6"/>
      <c r="C1993" s="6"/>
      <c r="D1993" s="6"/>
    </row>
    <row r="1994" ht="15.75" customHeight="1">
      <c r="B1994" s="6"/>
      <c r="C1994" s="6"/>
      <c r="D1994" s="6"/>
    </row>
    <row r="1995" ht="15.75" customHeight="1">
      <c r="B1995" s="6"/>
      <c r="C1995" s="6"/>
      <c r="D1995" s="6"/>
    </row>
    <row r="1996" ht="15.75" customHeight="1">
      <c r="B1996" s="6"/>
      <c r="C1996" s="6"/>
      <c r="D1996" s="6"/>
    </row>
    <row r="1997" ht="15.75" customHeight="1">
      <c r="B1997" s="6"/>
      <c r="C1997" s="6"/>
      <c r="D1997" s="6"/>
    </row>
    <row r="1998" ht="15.75" customHeight="1">
      <c r="B1998" s="6"/>
      <c r="C1998" s="6"/>
      <c r="D1998" s="6"/>
    </row>
    <row r="1999" ht="15.75" customHeight="1">
      <c r="B1999" s="6"/>
      <c r="C1999" s="6"/>
      <c r="D1999" s="6"/>
    </row>
    <row r="2000" ht="15.75" customHeight="1">
      <c r="B2000" s="6"/>
      <c r="C2000" s="6"/>
      <c r="D2000" s="6"/>
    </row>
    <row r="2001" ht="15.75" customHeight="1">
      <c r="B2001" s="6"/>
      <c r="C2001" s="6"/>
      <c r="D2001" s="6"/>
    </row>
    <row r="2002" ht="15.75" customHeight="1">
      <c r="B2002" s="6"/>
      <c r="C2002" s="6"/>
      <c r="D2002" s="6"/>
    </row>
    <row r="2003" ht="15.75" customHeight="1">
      <c r="B2003" s="6"/>
      <c r="C2003" s="6"/>
      <c r="D2003" s="6"/>
    </row>
    <row r="2004" ht="15.75" customHeight="1">
      <c r="B2004" s="6"/>
      <c r="C2004" s="6"/>
      <c r="D2004" s="6"/>
    </row>
    <row r="2005" ht="15.75" customHeight="1">
      <c r="B2005" s="6"/>
      <c r="C2005" s="6"/>
      <c r="D2005" s="6"/>
    </row>
    <row r="2006" ht="15.75" customHeight="1">
      <c r="B2006" s="6"/>
      <c r="C2006" s="6"/>
      <c r="D2006" s="6"/>
    </row>
    <row r="2007" ht="15.75" customHeight="1">
      <c r="B2007" s="6"/>
      <c r="C2007" s="6"/>
      <c r="D2007" s="6"/>
    </row>
    <row r="2008" ht="15.75" customHeight="1">
      <c r="B2008" s="6"/>
      <c r="C2008" s="6"/>
      <c r="D2008" s="6"/>
    </row>
    <row r="2009" ht="15.75" customHeight="1">
      <c r="B2009" s="6"/>
      <c r="C2009" s="6"/>
      <c r="D2009" s="6"/>
    </row>
    <row r="2010" ht="15.75" customHeight="1">
      <c r="B2010" s="6"/>
      <c r="C2010" s="6"/>
      <c r="D2010" s="6"/>
    </row>
    <row r="2011" ht="15.75" customHeight="1">
      <c r="B2011" s="6"/>
      <c r="C2011" s="6"/>
      <c r="D2011" s="6"/>
    </row>
    <row r="2012" ht="15.75" customHeight="1">
      <c r="B2012" s="6"/>
      <c r="C2012" s="6"/>
      <c r="D2012" s="6"/>
    </row>
    <row r="2013" ht="15.75" customHeight="1">
      <c r="B2013" s="6"/>
      <c r="C2013" s="6"/>
      <c r="D2013" s="6"/>
    </row>
    <row r="2014" ht="15.75" customHeight="1">
      <c r="B2014" s="6"/>
      <c r="C2014" s="6"/>
      <c r="D2014" s="6"/>
    </row>
    <row r="2015" ht="15.75" customHeight="1">
      <c r="B2015" s="6"/>
      <c r="C2015" s="6"/>
      <c r="D2015" s="6"/>
    </row>
    <row r="2016" ht="15.75" customHeight="1">
      <c r="B2016" s="6"/>
      <c r="C2016" s="6"/>
      <c r="D2016" s="6"/>
    </row>
    <row r="2017" ht="15.75" customHeight="1">
      <c r="B2017" s="6"/>
      <c r="C2017" s="6"/>
      <c r="D2017" s="6"/>
    </row>
    <row r="2018" ht="15.75" customHeight="1">
      <c r="B2018" s="6"/>
      <c r="C2018" s="6"/>
      <c r="D2018" s="6"/>
    </row>
    <row r="2019" ht="15.75" customHeight="1">
      <c r="B2019" s="6"/>
      <c r="C2019" s="6"/>
      <c r="D2019" s="6"/>
    </row>
    <row r="2020" ht="15.75" customHeight="1">
      <c r="B2020" s="6"/>
      <c r="C2020" s="6"/>
      <c r="D2020" s="6"/>
    </row>
    <row r="2021" ht="15.75" customHeight="1">
      <c r="B2021" s="6"/>
      <c r="C2021" s="6"/>
      <c r="D2021" s="6"/>
    </row>
    <row r="2022" ht="15.75" customHeight="1">
      <c r="B2022" s="6"/>
      <c r="C2022" s="6"/>
      <c r="D2022" s="6"/>
    </row>
    <row r="2023" ht="15.75" customHeight="1">
      <c r="B2023" s="6"/>
      <c r="C2023" s="6"/>
      <c r="D2023" s="6"/>
    </row>
    <row r="2024" ht="15.75" customHeight="1">
      <c r="B2024" s="6"/>
      <c r="C2024" s="6"/>
      <c r="D2024" s="6"/>
    </row>
    <row r="2025" ht="15.75" customHeight="1">
      <c r="B2025" s="6"/>
      <c r="C2025" s="6"/>
      <c r="D2025" s="6"/>
    </row>
    <row r="2026" ht="15.75" customHeight="1">
      <c r="B2026" s="6"/>
      <c r="C2026" s="6"/>
      <c r="D2026" s="6"/>
    </row>
    <row r="2027" ht="15.75" customHeight="1">
      <c r="B2027" s="6"/>
      <c r="C2027" s="6"/>
      <c r="D2027" s="6"/>
    </row>
    <row r="2028" ht="15.75" customHeight="1">
      <c r="B2028" s="6"/>
      <c r="C2028" s="6"/>
      <c r="D2028" s="6"/>
    </row>
    <row r="2029" ht="15.75" customHeight="1">
      <c r="B2029" s="6"/>
      <c r="C2029" s="6"/>
      <c r="D2029" s="6"/>
    </row>
    <row r="2030" ht="15.75" customHeight="1">
      <c r="B2030" s="6"/>
      <c r="C2030" s="6"/>
      <c r="D2030" s="6"/>
    </row>
    <row r="2031" ht="15.75" customHeight="1">
      <c r="B2031" s="6"/>
      <c r="C2031" s="6"/>
      <c r="D2031" s="6"/>
    </row>
    <row r="2032" ht="15.75" customHeight="1">
      <c r="B2032" s="6"/>
      <c r="C2032" s="6"/>
      <c r="D2032" s="6"/>
    </row>
    <row r="2033" ht="15.75" customHeight="1">
      <c r="B2033" s="6"/>
      <c r="C2033" s="6"/>
      <c r="D2033" s="6"/>
    </row>
    <row r="2034" ht="15.75" customHeight="1">
      <c r="B2034" s="6"/>
      <c r="C2034" s="6"/>
      <c r="D2034" s="6"/>
    </row>
    <row r="2035" ht="15.75" customHeight="1">
      <c r="B2035" s="6"/>
      <c r="C2035" s="6"/>
      <c r="D2035" s="6"/>
    </row>
    <row r="2036" ht="15.75" customHeight="1">
      <c r="B2036" s="6"/>
      <c r="C2036" s="6"/>
      <c r="D2036" s="6"/>
    </row>
    <row r="2037" ht="15.75" customHeight="1">
      <c r="B2037" s="6"/>
      <c r="C2037" s="6"/>
      <c r="D2037" s="6"/>
    </row>
    <row r="2038" ht="15.75" customHeight="1">
      <c r="B2038" s="6"/>
      <c r="C2038" s="6"/>
      <c r="D2038" s="6"/>
    </row>
    <row r="2039" ht="15.75" customHeight="1">
      <c r="B2039" s="6"/>
      <c r="C2039" s="6"/>
      <c r="D2039" s="6"/>
    </row>
    <row r="2040" ht="15.75" customHeight="1">
      <c r="B2040" s="6"/>
      <c r="C2040" s="6"/>
      <c r="D2040" s="6"/>
    </row>
    <row r="2041" ht="15.75" customHeight="1">
      <c r="B2041" s="6"/>
      <c r="C2041" s="6"/>
      <c r="D2041" s="6"/>
    </row>
    <row r="2042" ht="15.75" customHeight="1">
      <c r="B2042" s="6"/>
      <c r="C2042" s="6"/>
      <c r="D2042" s="6"/>
    </row>
    <row r="2043" ht="15.75" customHeight="1">
      <c r="B2043" s="6"/>
      <c r="C2043" s="6"/>
      <c r="D2043" s="6"/>
    </row>
    <row r="2044" ht="15.75" customHeight="1">
      <c r="B2044" s="6"/>
      <c r="C2044" s="6"/>
      <c r="D2044" s="6"/>
    </row>
    <row r="2045" ht="15.75" customHeight="1">
      <c r="B2045" s="6"/>
      <c r="C2045" s="6"/>
      <c r="D2045" s="6"/>
    </row>
    <row r="2046" ht="15.75" customHeight="1">
      <c r="B2046" s="6"/>
      <c r="C2046" s="6"/>
      <c r="D2046" s="6"/>
    </row>
    <row r="2047" ht="15.75" customHeight="1">
      <c r="B2047" s="6"/>
      <c r="C2047" s="6"/>
      <c r="D2047" s="6"/>
    </row>
    <row r="2048" ht="15.75" customHeight="1">
      <c r="B2048" s="6"/>
      <c r="C2048" s="6"/>
      <c r="D2048" s="6"/>
    </row>
    <row r="2049" ht="15.75" customHeight="1">
      <c r="B2049" s="6"/>
      <c r="C2049" s="6"/>
      <c r="D2049" s="6"/>
    </row>
    <row r="2050" ht="15.75" customHeight="1">
      <c r="B2050" s="6"/>
      <c r="C2050" s="6"/>
      <c r="D2050" s="6"/>
    </row>
    <row r="2051" ht="15.75" customHeight="1">
      <c r="B2051" s="6"/>
      <c r="C2051" s="6"/>
      <c r="D2051" s="6"/>
    </row>
    <row r="2052" ht="15.75" customHeight="1">
      <c r="B2052" s="6"/>
      <c r="C2052" s="6"/>
      <c r="D2052" s="6"/>
    </row>
    <row r="2053" ht="15.75" customHeight="1">
      <c r="B2053" s="6"/>
      <c r="C2053" s="6"/>
      <c r="D2053" s="6"/>
    </row>
    <row r="2054" ht="15.75" customHeight="1">
      <c r="B2054" s="6"/>
      <c r="C2054" s="6"/>
      <c r="D2054" s="6"/>
    </row>
    <row r="2055" ht="15.75" customHeight="1">
      <c r="B2055" s="6"/>
      <c r="C2055" s="6"/>
      <c r="D2055" s="6"/>
    </row>
    <row r="2056" ht="15.75" customHeight="1">
      <c r="B2056" s="6"/>
      <c r="C2056" s="6"/>
      <c r="D2056" s="6"/>
    </row>
    <row r="2057" ht="15.75" customHeight="1">
      <c r="B2057" s="6"/>
      <c r="C2057" s="6"/>
      <c r="D2057" s="6"/>
    </row>
    <row r="2058" ht="15.75" customHeight="1">
      <c r="B2058" s="6"/>
      <c r="C2058" s="6"/>
      <c r="D2058" s="6"/>
    </row>
    <row r="2059" ht="15.75" customHeight="1">
      <c r="B2059" s="6"/>
      <c r="C2059" s="6"/>
      <c r="D2059" s="6"/>
    </row>
    <row r="2060" ht="15.75" customHeight="1">
      <c r="B2060" s="6"/>
      <c r="C2060" s="6"/>
      <c r="D2060" s="6"/>
    </row>
    <row r="2061" ht="15.75" customHeight="1">
      <c r="B2061" s="6"/>
      <c r="C2061" s="6"/>
      <c r="D2061" s="6"/>
    </row>
    <row r="2062" ht="15.75" customHeight="1">
      <c r="B2062" s="6"/>
      <c r="C2062" s="6"/>
      <c r="D2062" s="6"/>
    </row>
    <row r="2063" ht="15.75" customHeight="1">
      <c r="B2063" s="6"/>
      <c r="C2063" s="6"/>
      <c r="D2063" s="6"/>
    </row>
    <row r="2064" ht="15.75" customHeight="1">
      <c r="B2064" s="6"/>
      <c r="C2064" s="6"/>
      <c r="D2064" s="6"/>
    </row>
    <row r="2065" ht="15.75" customHeight="1">
      <c r="B2065" s="6"/>
      <c r="C2065" s="6"/>
      <c r="D2065" s="6"/>
    </row>
    <row r="2066" ht="15.75" customHeight="1">
      <c r="B2066" s="6"/>
      <c r="C2066" s="6"/>
      <c r="D2066" s="6"/>
    </row>
    <row r="2067" ht="15.75" customHeight="1">
      <c r="B2067" s="6"/>
      <c r="C2067" s="6"/>
      <c r="D2067" s="6"/>
    </row>
    <row r="2068" ht="15.75" customHeight="1">
      <c r="B2068" s="6"/>
      <c r="C2068" s="6"/>
      <c r="D2068" s="6"/>
    </row>
    <row r="2069" ht="15.75" customHeight="1">
      <c r="B2069" s="6"/>
      <c r="C2069" s="6"/>
      <c r="D2069" s="6"/>
    </row>
    <row r="2070" ht="15.75" customHeight="1">
      <c r="B2070" s="6"/>
      <c r="C2070" s="6"/>
      <c r="D2070" s="6"/>
    </row>
    <row r="2071" ht="15.75" customHeight="1">
      <c r="B2071" s="6"/>
      <c r="C2071" s="6"/>
      <c r="D2071" s="6"/>
    </row>
    <row r="2072" ht="15.75" customHeight="1">
      <c r="B2072" s="6"/>
      <c r="C2072" s="6"/>
      <c r="D2072" s="6"/>
    </row>
    <row r="2073" ht="15.75" customHeight="1">
      <c r="B2073" s="6"/>
      <c r="C2073" s="6"/>
      <c r="D2073" s="6"/>
    </row>
    <row r="2074" ht="15.75" customHeight="1">
      <c r="B2074" s="6"/>
      <c r="C2074" s="6"/>
      <c r="D2074" s="6"/>
    </row>
    <row r="2075" ht="15.75" customHeight="1">
      <c r="B2075" s="6"/>
      <c r="C2075" s="6"/>
      <c r="D2075" s="6"/>
    </row>
    <row r="2076" ht="15.75" customHeight="1">
      <c r="B2076" s="6"/>
      <c r="C2076" s="6"/>
      <c r="D2076" s="6"/>
    </row>
    <row r="2077" ht="15.75" customHeight="1">
      <c r="B2077" s="6"/>
      <c r="C2077" s="6"/>
      <c r="D2077" s="6"/>
    </row>
    <row r="2078" ht="15.75" customHeight="1">
      <c r="B2078" s="6"/>
      <c r="C2078" s="6"/>
      <c r="D2078" s="6"/>
    </row>
    <row r="2079" ht="15.75" customHeight="1">
      <c r="B2079" s="6"/>
      <c r="C2079" s="6"/>
      <c r="D2079" s="6"/>
    </row>
    <row r="2080" ht="15.75" customHeight="1">
      <c r="B2080" s="6"/>
      <c r="C2080" s="6"/>
      <c r="D2080" s="6"/>
    </row>
    <row r="2081" ht="15.75" customHeight="1">
      <c r="B2081" s="6"/>
      <c r="C2081" s="6"/>
      <c r="D2081" s="6"/>
    </row>
    <row r="2082" ht="15.75" customHeight="1">
      <c r="B2082" s="6"/>
      <c r="C2082" s="6"/>
      <c r="D2082" s="6"/>
    </row>
    <row r="2083" ht="15.75" customHeight="1">
      <c r="B2083" s="6"/>
      <c r="C2083" s="6"/>
      <c r="D2083" s="6"/>
    </row>
    <row r="2084" ht="15.75" customHeight="1">
      <c r="B2084" s="6"/>
      <c r="C2084" s="6"/>
      <c r="D2084" s="6"/>
    </row>
    <row r="2085" ht="15.75" customHeight="1">
      <c r="B2085" s="6"/>
      <c r="C2085" s="6"/>
      <c r="D2085" s="6"/>
    </row>
    <row r="2086" ht="15.75" customHeight="1">
      <c r="B2086" s="6"/>
      <c r="C2086" s="6"/>
      <c r="D2086" s="6"/>
    </row>
    <row r="2087" ht="15.75" customHeight="1">
      <c r="B2087" s="6"/>
      <c r="C2087" s="6"/>
      <c r="D2087" s="6"/>
    </row>
    <row r="2088" ht="15.75" customHeight="1">
      <c r="B2088" s="6"/>
      <c r="C2088" s="6"/>
      <c r="D2088" s="6"/>
    </row>
    <row r="2089" ht="15.75" customHeight="1">
      <c r="B2089" s="6"/>
      <c r="C2089" s="6"/>
      <c r="D2089" s="6"/>
    </row>
    <row r="2090" ht="15.75" customHeight="1">
      <c r="B2090" s="6"/>
      <c r="C2090" s="6"/>
      <c r="D2090" s="6"/>
    </row>
    <row r="2091" ht="15.75" customHeight="1">
      <c r="B2091" s="6"/>
      <c r="C2091" s="6"/>
      <c r="D2091" s="6"/>
    </row>
    <row r="2092" ht="15.75" customHeight="1">
      <c r="B2092" s="6"/>
      <c r="C2092" s="6"/>
      <c r="D2092" s="6"/>
    </row>
    <row r="2093" ht="15.75" customHeight="1">
      <c r="B2093" s="6"/>
      <c r="C2093" s="6"/>
      <c r="D2093" s="6"/>
    </row>
    <row r="2094" ht="15.75" customHeight="1">
      <c r="B2094" s="6"/>
      <c r="C2094" s="6"/>
      <c r="D2094" s="6"/>
    </row>
    <row r="2095" ht="15.75" customHeight="1">
      <c r="B2095" s="6"/>
      <c r="C2095" s="6"/>
      <c r="D2095" s="6"/>
    </row>
    <row r="2096" ht="15.75" customHeight="1">
      <c r="B2096" s="6"/>
      <c r="C2096" s="6"/>
      <c r="D2096" s="6"/>
    </row>
    <row r="2097" ht="15.75" customHeight="1">
      <c r="B2097" s="6"/>
      <c r="C2097" s="6"/>
      <c r="D2097" s="6"/>
    </row>
    <row r="2098" ht="15.75" customHeight="1">
      <c r="B2098" s="6"/>
      <c r="C2098" s="6"/>
      <c r="D2098" s="6"/>
    </row>
    <row r="2099" ht="15.75" customHeight="1">
      <c r="B2099" s="6"/>
      <c r="C2099" s="6"/>
      <c r="D2099" s="6"/>
    </row>
    <row r="2100" ht="15.75" customHeight="1">
      <c r="B2100" s="6"/>
      <c r="C2100" s="6"/>
      <c r="D2100" s="6"/>
    </row>
    <row r="2101" ht="15.75" customHeight="1">
      <c r="B2101" s="6"/>
      <c r="C2101" s="6"/>
      <c r="D2101" s="6"/>
    </row>
    <row r="2102" ht="15.75" customHeight="1">
      <c r="B2102" s="6"/>
      <c r="C2102" s="6"/>
      <c r="D2102" s="6"/>
    </row>
    <row r="2103" ht="15.75" customHeight="1">
      <c r="B2103" s="6"/>
      <c r="C2103" s="6"/>
      <c r="D2103" s="6"/>
    </row>
    <row r="2104" ht="15.75" customHeight="1">
      <c r="B2104" s="6"/>
      <c r="C2104" s="6"/>
      <c r="D2104" s="6"/>
    </row>
    <row r="2105" ht="15.75" customHeight="1">
      <c r="B2105" s="6"/>
      <c r="C2105" s="6"/>
      <c r="D2105" s="6"/>
    </row>
    <row r="2106" ht="15.75" customHeight="1">
      <c r="B2106" s="6"/>
      <c r="C2106" s="6"/>
      <c r="D2106" s="6"/>
    </row>
    <row r="2107" ht="15.75" customHeight="1">
      <c r="B2107" s="6"/>
      <c r="C2107" s="6"/>
      <c r="D2107" s="6"/>
    </row>
    <row r="2108" ht="15.75" customHeight="1">
      <c r="B2108" s="6"/>
      <c r="C2108" s="6"/>
      <c r="D2108" s="6"/>
    </row>
    <row r="2109" ht="15.75" customHeight="1">
      <c r="B2109" s="6"/>
      <c r="C2109" s="6"/>
      <c r="D2109" s="6"/>
    </row>
    <row r="2110" ht="15.75" customHeight="1">
      <c r="B2110" s="6"/>
      <c r="C2110" s="6"/>
      <c r="D2110" s="6"/>
    </row>
    <row r="2111" ht="15.75" customHeight="1">
      <c r="B2111" s="6"/>
      <c r="C2111" s="6"/>
      <c r="D2111" s="6"/>
    </row>
    <row r="2112" ht="15.75" customHeight="1">
      <c r="B2112" s="6"/>
      <c r="C2112" s="6"/>
      <c r="D2112" s="6"/>
    </row>
    <row r="2113" ht="15.75" customHeight="1">
      <c r="B2113" s="6"/>
      <c r="C2113" s="6"/>
      <c r="D2113" s="6"/>
    </row>
    <row r="2114" ht="15.75" customHeight="1">
      <c r="B2114" s="6"/>
      <c r="C2114" s="6"/>
      <c r="D2114" s="6"/>
    </row>
    <row r="2115" ht="15.75" customHeight="1">
      <c r="B2115" s="6"/>
      <c r="C2115" s="6"/>
      <c r="D2115" s="6"/>
    </row>
    <row r="2116" ht="15.75" customHeight="1">
      <c r="B2116" s="6"/>
      <c r="C2116" s="6"/>
      <c r="D2116" s="6"/>
    </row>
    <row r="2117" ht="15.75" customHeight="1">
      <c r="B2117" s="6"/>
      <c r="C2117" s="6"/>
      <c r="D2117" s="6"/>
    </row>
    <row r="2118" ht="15.75" customHeight="1">
      <c r="B2118" s="6"/>
      <c r="C2118" s="6"/>
      <c r="D2118" s="6"/>
    </row>
    <row r="2119" ht="15.75" customHeight="1">
      <c r="B2119" s="6"/>
      <c r="C2119" s="6"/>
      <c r="D2119" s="6"/>
    </row>
    <row r="2120" ht="15.75" customHeight="1">
      <c r="B2120" s="6"/>
      <c r="C2120" s="6"/>
      <c r="D2120" s="6"/>
    </row>
    <row r="2121" ht="15.75" customHeight="1">
      <c r="B2121" s="6"/>
      <c r="C2121" s="6"/>
      <c r="D2121" s="6"/>
    </row>
    <row r="2122" ht="15.75" customHeight="1">
      <c r="B2122" s="6"/>
      <c r="C2122" s="6"/>
      <c r="D2122" s="6"/>
    </row>
    <row r="2123" ht="15.75" customHeight="1">
      <c r="B2123" s="6"/>
      <c r="C2123" s="6"/>
      <c r="D2123" s="6"/>
    </row>
    <row r="2124" ht="15.75" customHeight="1">
      <c r="B2124" s="6"/>
      <c r="C2124" s="6"/>
      <c r="D2124" s="6"/>
    </row>
    <row r="2125" ht="15.75" customHeight="1">
      <c r="B2125" s="6"/>
      <c r="C2125" s="6"/>
      <c r="D2125" s="6"/>
    </row>
    <row r="2126" ht="15.75" customHeight="1">
      <c r="B2126" s="6"/>
      <c r="C2126" s="6"/>
      <c r="D2126" s="6"/>
    </row>
    <row r="2127" ht="15.75" customHeight="1">
      <c r="B2127" s="6"/>
      <c r="C2127" s="6"/>
      <c r="D2127" s="6"/>
    </row>
    <row r="2128" ht="15.75" customHeight="1">
      <c r="B2128" s="6"/>
      <c r="C2128" s="6"/>
      <c r="D2128" s="6"/>
    </row>
    <row r="2129" ht="15.75" customHeight="1">
      <c r="B2129" s="6"/>
      <c r="C2129" s="6"/>
      <c r="D2129" s="6"/>
    </row>
    <row r="2130" ht="15.75" customHeight="1">
      <c r="B2130" s="6"/>
      <c r="C2130" s="6"/>
      <c r="D2130" s="6"/>
    </row>
    <row r="2131" ht="15.75" customHeight="1">
      <c r="B2131" s="6"/>
      <c r="C2131" s="6"/>
      <c r="D2131" s="6"/>
    </row>
    <row r="2132" ht="15.75" customHeight="1">
      <c r="B2132" s="6"/>
      <c r="C2132" s="6"/>
      <c r="D2132" s="6"/>
    </row>
    <row r="2133" ht="15.75" customHeight="1">
      <c r="B2133" s="6"/>
      <c r="C2133" s="6"/>
      <c r="D2133" s="6"/>
    </row>
    <row r="2134" ht="15.75" customHeight="1">
      <c r="B2134" s="6"/>
      <c r="C2134" s="6"/>
      <c r="D2134" s="6"/>
    </row>
    <row r="2135" ht="15.75" customHeight="1">
      <c r="B2135" s="6"/>
      <c r="C2135" s="6"/>
      <c r="D2135" s="6"/>
    </row>
    <row r="2136" ht="15.75" customHeight="1">
      <c r="B2136" s="6"/>
      <c r="C2136" s="6"/>
      <c r="D2136" s="6"/>
    </row>
    <row r="2137" ht="15.75" customHeight="1">
      <c r="B2137" s="6"/>
      <c r="C2137" s="6"/>
      <c r="D2137" s="6"/>
    </row>
    <row r="2138" ht="15.75" customHeight="1">
      <c r="B2138" s="6"/>
      <c r="C2138" s="6"/>
      <c r="D2138" s="6"/>
    </row>
    <row r="2139" ht="15.75" customHeight="1">
      <c r="B2139" s="6"/>
      <c r="C2139" s="6"/>
      <c r="D2139" s="6"/>
    </row>
    <row r="2140" ht="15.75" customHeight="1">
      <c r="B2140" s="6"/>
      <c r="C2140" s="6"/>
      <c r="D2140" s="6"/>
    </row>
    <row r="2141" ht="15.75" customHeight="1">
      <c r="B2141" s="6"/>
      <c r="C2141" s="6"/>
      <c r="D2141" s="6"/>
    </row>
    <row r="2142" ht="15.75" customHeight="1">
      <c r="B2142" s="6"/>
      <c r="C2142" s="6"/>
      <c r="D2142" s="6"/>
    </row>
    <row r="2143" ht="15.75" customHeight="1">
      <c r="B2143" s="6"/>
      <c r="C2143" s="6"/>
      <c r="D2143" s="6"/>
    </row>
    <row r="2144" ht="15.75" customHeight="1">
      <c r="B2144" s="6"/>
      <c r="C2144" s="6"/>
      <c r="D2144" s="6"/>
    </row>
    <row r="2145" ht="15.75" customHeight="1">
      <c r="B2145" s="6"/>
      <c r="C2145" s="6"/>
      <c r="D2145" s="6"/>
    </row>
    <row r="2146" ht="15.75" customHeight="1">
      <c r="B2146" s="6"/>
      <c r="C2146" s="6"/>
      <c r="D2146" s="6"/>
    </row>
    <row r="2147" ht="15.75" customHeight="1">
      <c r="B2147" s="6"/>
      <c r="C2147" s="6"/>
      <c r="D2147" s="6"/>
    </row>
    <row r="2148" ht="15.75" customHeight="1">
      <c r="B2148" s="6"/>
      <c r="C2148" s="6"/>
      <c r="D2148" s="6"/>
    </row>
    <row r="2149" ht="15.75" customHeight="1">
      <c r="B2149" s="6"/>
      <c r="C2149" s="6"/>
      <c r="D2149" s="6"/>
    </row>
    <row r="2150" ht="15.75" customHeight="1">
      <c r="B2150" s="6"/>
      <c r="C2150" s="6"/>
      <c r="D2150" s="6"/>
    </row>
    <row r="2151" ht="15.75" customHeight="1">
      <c r="B2151" s="6"/>
      <c r="C2151" s="6"/>
      <c r="D2151" s="6"/>
    </row>
    <row r="2152" ht="15.75" customHeight="1">
      <c r="B2152" s="6"/>
      <c r="C2152" s="6"/>
      <c r="D2152" s="6"/>
    </row>
    <row r="2153" ht="15.75" customHeight="1">
      <c r="B2153" s="6"/>
      <c r="C2153" s="6"/>
      <c r="D2153" s="6"/>
    </row>
    <row r="2154" ht="15.75" customHeight="1">
      <c r="B2154" s="6"/>
      <c r="C2154" s="6"/>
      <c r="D2154" s="6"/>
    </row>
    <row r="2155" ht="15.75" customHeight="1">
      <c r="B2155" s="6"/>
      <c r="C2155" s="6"/>
      <c r="D2155" s="6"/>
    </row>
    <row r="2156" ht="15.75" customHeight="1">
      <c r="B2156" s="6"/>
      <c r="C2156" s="6"/>
      <c r="D2156" s="6"/>
    </row>
    <row r="2157" ht="15.75" customHeight="1">
      <c r="B2157" s="6"/>
      <c r="C2157" s="6"/>
      <c r="D2157" s="6"/>
    </row>
    <row r="2158" ht="15.75" customHeight="1">
      <c r="B2158" s="6"/>
      <c r="C2158" s="6"/>
      <c r="D2158" s="6"/>
    </row>
    <row r="2159" ht="15.75" customHeight="1">
      <c r="B2159" s="6"/>
      <c r="C2159" s="6"/>
      <c r="D2159" s="6"/>
    </row>
    <row r="2160" ht="15.75" customHeight="1">
      <c r="B2160" s="6"/>
      <c r="C2160" s="6"/>
      <c r="D2160" s="6"/>
    </row>
    <row r="2161" ht="15.75" customHeight="1">
      <c r="B2161" s="6"/>
      <c r="C2161" s="6"/>
      <c r="D2161" s="6"/>
    </row>
    <row r="2162" ht="15.75" customHeight="1">
      <c r="B2162" s="6"/>
      <c r="C2162" s="6"/>
      <c r="D2162" s="6"/>
    </row>
    <row r="2163" ht="15.75" customHeight="1">
      <c r="B2163" s="6"/>
      <c r="C2163" s="6"/>
      <c r="D2163" s="6"/>
    </row>
    <row r="2164" ht="15.75" customHeight="1">
      <c r="B2164" s="6"/>
      <c r="C2164" s="6"/>
      <c r="D2164" s="6"/>
    </row>
    <row r="2165" ht="15.75" customHeight="1">
      <c r="B2165" s="6"/>
      <c r="C2165" s="6"/>
      <c r="D2165" s="6"/>
    </row>
    <row r="2166" ht="15.75" customHeight="1">
      <c r="B2166" s="6"/>
      <c r="C2166" s="6"/>
      <c r="D2166" s="6"/>
    </row>
    <row r="2167" ht="15.75" customHeight="1">
      <c r="B2167" s="6"/>
      <c r="C2167" s="6"/>
      <c r="D2167" s="6"/>
    </row>
    <row r="2168" ht="15.75" customHeight="1">
      <c r="B2168" s="6"/>
      <c r="C2168" s="6"/>
      <c r="D2168" s="6"/>
    </row>
    <row r="2169" ht="15.75" customHeight="1">
      <c r="B2169" s="6"/>
      <c r="C2169" s="6"/>
      <c r="D2169" s="6"/>
    </row>
    <row r="2170" ht="15.75" customHeight="1">
      <c r="B2170" s="6"/>
      <c r="C2170" s="6"/>
      <c r="D2170" s="6"/>
    </row>
  </sheetData>
  <autoFilter ref="$A$1:$F$2170"/>
  <conditionalFormatting sqref="E2:E2170">
    <cfRule type="cellIs" dxfId="0" priority="1" operator="equal">
      <formula>1</formula>
    </cfRule>
  </conditionalFormatting>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26.0"/>
    <col customWidth="1" min="3" max="3" width="28.0"/>
    <col customWidth="1" min="4" max="4" width="8.71"/>
    <col customWidth="1" min="5" max="5" width="24.0"/>
    <col customWidth="1" min="6" max="12" width="8.71"/>
    <col customWidth="1" min="13" max="13" width="22.0"/>
    <col customWidth="1" min="14" max="15" width="8.71"/>
    <col customWidth="1" min="16" max="16" width="18.0"/>
    <col customWidth="1" min="17" max="26" width="8.71"/>
  </cols>
  <sheetData>
    <row r="1" ht="33.75" customHeight="1">
      <c r="A1" s="2" t="s">
        <v>1</v>
      </c>
      <c r="B1" s="2" t="s">
        <v>3</v>
      </c>
      <c r="C1" s="2" t="s">
        <v>126</v>
      </c>
      <c r="D1" s="2" t="s">
        <v>128</v>
      </c>
      <c r="E1" s="2" t="s">
        <v>10</v>
      </c>
      <c r="F1" s="2" t="s">
        <v>33</v>
      </c>
      <c r="G1" s="2" t="s">
        <v>100</v>
      </c>
      <c r="H1" s="2" t="s">
        <v>132</v>
      </c>
      <c r="I1" s="2" t="s">
        <v>134</v>
      </c>
      <c r="J1" s="2" t="s">
        <v>137</v>
      </c>
      <c r="K1" s="2" t="s">
        <v>139</v>
      </c>
      <c r="L1" s="2" t="s">
        <v>144</v>
      </c>
      <c r="M1" s="2" t="s">
        <v>30</v>
      </c>
      <c r="N1" s="2" t="s">
        <v>21</v>
      </c>
      <c r="O1" s="2" t="s">
        <v>14</v>
      </c>
      <c r="P1" s="2" t="s">
        <v>24</v>
      </c>
    </row>
    <row r="2" ht="15.0" customHeight="1">
      <c r="A2" s="8" t="s">
        <v>77</v>
      </c>
      <c r="B2" s="8" t="s">
        <v>78</v>
      </c>
      <c r="C2" s="8" t="s">
        <v>286</v>
      </c>
      <c r="D2" s="8">
        <v>2.0</v>
      </c>
      <c r="E2" s="8" t="s">
        <v>54</v>
      </c>
      <c r="F2" s="8" t="b">
        <f t="shared" ref="F2:F13" si="3">TRUE()</f>
        <v>1</v>
      </c>
      <c r="G2" s="8" t="b">
        <f t="shared" ref="G2:J2" si="1">FALSE()</f>
        <v>0</v>
      </c>
      <c r="H2" s="8" t="b">
        <f t="shared" si="1"/>
        <v>0</v>
      </c>
      <c r="I2" s="8" t="b">
        <f t="shared" si="1"/>
        <v>0</v>
      </c>
      <c r="J2" s="8" t="b">
        <f t="shared" si="1"/>
        <v>0</v>
      </c>
      <c r="K2" s="8" t="b">
        <f t="shared" ref="K2:L2" si="2">TRUE()</f>
        <v>1</v>
      </c>
      <c r="L2" s="8" t="b">
        <f t="shared" si="2"/>
        <v>1</v>
      </c>
      <c r="M2" s="8" t="s">
        <v>248</v>
      </c>
      <c r="N2" s="8" t="s">
        <v>87</v>
      </c>
      <c r="O2" s="8" t="s">
        <v>56</v>
      </c>
      <c r="P2" s="8"/>
    </row>
    <row r="3" ht="15.0" customHeight="1">
      <c r="A3" s="8" t="s">
        <v>201</v>
      </c>
      <c r="B3" s="8" t="s">
        <v>202</v>
      </c>
      <c r="C3" s="8" t="s">
        <v>286</v>
      </c>
      <c r="D3" s="8">
        <v>1.0</v>
      </c>
      <c r="E3" s="8" t="s">
        <v>116</v>
      </c>
      <c r="F3" s="8" t="b">
        <f t="shared" si="3"/>
        <v>1</v>
      </c>
      <c r="G3" s="8" t="b">
        <f t="shared" ref="G3:K3" si="4">FALSE()</f>
        <v>0</v>
      </c>
      <c r="H3" s="8" t="b">
        <f t="shared" si="4"/>
        <v>0</v>
      </c>
      <c r="I3" s="8" t="b">
        <f t="shared" si="4"/>
        <v>0</v>
      </c>
      <c r="J3" s="8" t="b">
        <f t="shared" si="4"/>
        <v>0</v>
      </c>
      <c r="K3" s="8" t="b">
        <f t="shared" si="4"/>
        <v>0</v>
      </c>
      <c r="L3" s="8" t="b">
        <f>TRUE()</f>
        <v>1</v>
      </c>
      <c r="M3" s="8" t="s">
        <v>376</v>
      </c>
      <c r="N3" s="8" t="s">
        <v>87</v>
      </c>
      <c r="O3" s="8" t="s">
        <v>281</v>
      </c>
      <c r="P3" s="8"/>
    </row>
    <row r="4" ht="15.0" customHeight="1">
      <c r="A4" s="8" t="s">
        <v>217</v>
      </c>
      <c r="B4" s="8" t="s">
        <v>219</v>
      </c>
      <c r="C4" s="8" t="s">
        <v>286</v>
      </c>
      <c r="D4" s="8">
        <v>2.0</v>
      </c>
      <c r="E4" s="8" t="s">
        <v>116</v>
      </c>
      <c r="F4" s="8" t="b">
        <f t="shared" si="3"/>
        <v>1</v>
      </c>
      <c r="G4" s="8" t="b">
        <f t="shared" ref="G4:I4" si="5">TRUE()</f>
        <v>1</v>
      </c>
      <c r="H4" s="8" t="b">
        <f t="shared" si="5"/>
        <v>1</v>
      </c>
      <c r="I4" s="8" t="b">
        <f t="shared" si="5"/>
        <v>1</v>
      </c>
      <c r="J4" s="8" t="b">
        <f t="shared" ref="J4:L4" si="6">FALSE()</f>
        <v>0</v>
      </c>
      <c r="K4" s="8" t="b">
        <f t="shared" si="6"/>
        <v>0</v>
      </c>
      <c r="L4" s="8" t="b">
        <f t="shared" si="6"/>
        <v>0</v>
      </c>
      <c r="M4" s="8"/>
      <c r="N4" s="8"/>
      <c r="O4" s="8" t="s">
        <v>119</v>
      </c>
      <c r="P4" s="8" t="s">
        <v>215</v>
      </c>
    </row>
    <row r="5" ht="15.0" customHeight="1">
      <c r="A5" s="8" t="s">
        <v>283</v>
      </c>
      <c r="B5" s="8" t="s">
        <v>284</v>
      </c>
      <c r="C5" s="8" t="s">
        <v>286</v>
      </c>
      <c r="D5" s="8">
        <v>1.0</v>
      </c>
      <c r="E5" s="8" t="s">
        <v>116</v>
      </c>
      <c r="F5" s="8" t="b">
        <f t="shared" si="3"/>
        <v>1</v>
      </c>
      <c r="G5" s="8" t="b">
        <f t="shared" ref="G5:K5" si="7">FALSE()</f>
        <v>0</v>
      </c>
      <c r="H5" s="8" t="b">
        <f t="shared" si="7"/>
        <v>0</v>
      </c>
      <c r="I5" s="8" t="b">
        <f t="shared" si="7"/>
        <v>0</v>
      </c>
      <c r="J5" s="8" t="b">
        <f t="shared" si="7"/>
        <v>0</v>
      </c>
      <c r="K5" s="8" t="b">
        <f t="shared" si="7"/>
        <v>0</v>
      </c>
      <c r="L5" s="8" t="b">
        <f>TRUE()</f>
        <v>1</v>
      </c>
      <c r="M5" s="8" t="s">
        <v>505</v>
      </c>
      <c r="N5" s="8" t="s">
        <v>87</v>
      </c>
      <c r="O5" s="8" t="s">
        <v>265</v>
      </c>
      <c r="P5" s="8"/>
    </row>
    <row r="6" ht="15.0" customHeight="1">
      <c r="A6" s="8" t="s">
        <v>255</v>
      </c>
      <c r="B6" s="8" t="s">
        <v>256</v>
      </c>
      <c r="C6" s="8" t="s">
        <v>436</v>
      </c>
      <c r="D6" s="8">
        <v>5.0</v>
      </c>
      <c r="E6" s="8" t="s">
        <v>167</v>
      </c>
      <c r="F6" s="8" t="b">
        <f t="shared" si="3"/>
        <v>1</v>
      </c>
      <c r="G6" s="8" t="b">
        <f>FALSE()</f>
        <v>0</v>
      </c>
      <c r="H6" s="8" t="b">
        <f t="shared" ref="H6:L6" si="8">TRUE()</f>
        <v>1</v>
      </c>
      <c r="I6" s="8" t="b">
        <f t="shared" si="8"/>
        <v>1</v>
      </c>
      <c r="J6" s="8" t="b">
        <f t="shared" si="8"/>
        <v>1</v>
      </c>
      <c r="K6" s="8" t="b">
        <f t="shared" si="8"/>
        <v>1</v>
      </c>
      <c r="L6" s="8" t="b">
        <f t="shared" si="8"/>
        <v>1</v>
      </c>
      <c r="M6" s="8"/>
      <c r="N6" s="8"/>
      <c r="O6" s="8"/>
      <c r="P6" s="8"/>
    </row>
    <row r="7" ht="15.0" customHeight="1">
      <c r="A7" s="8" t="s">
        <v>258</v>
      </c>
      <c r="B7" s="8" t="s">
        <v>259</v>
      </c>
      <c r="C7" s="8" t="s">
        <v>436</v>
      </c>
      <c r="D7" s="8">
        <v>1.0</v>
      </c>
      <c r="E7" s="8" t="s">
        <v>167</v>
      </c>
      <c r="F7" s="8" t="b">
        <f t="shared" si="3"/>
        <v>1</v>
      </c>
      <c r="G7" s="8" t="b">
        <f t="shared" ref="G7:G13" si="10">TRUE()</f>
        <v>1</v>
      </c>
      <c r="H7" s="8" t="b">
        <f>FALSE()</f>
        <v>0</v>
      </c>
      <c r="I7" s="8" t="b">
        <f>TRUE()</f>
        <v>1</v>
      </c>
      <c r="J7" s="8" t="b">
        <f t="shared" ref="J7:L7" si="9">FALSE()</f>
        <v>0</v>
      </c>
      <c r="K7" s="8" t="b">
        <f t="shared" si="9"/>
        <v>0</v>
      </c>
      <c r="L7" s="8" t="b">
        <f t="shared" si="9"/>
        <v>0</v>
      </c>
      <c r="M7" s="8" t="s">
        <v>437</v>
      </c>
      <c r="N7" s="8"/>
      <c r="O7" s="8" t="s">
        <v>119</v>
      </c>
      <c r="P7" s="8" t="s">
        <v>74</v>
      </c>
    </row>
    <row r="8" ht="15.0" customHeight="1">
      <c r="A8" s="8" t="s">
        <v>268</v>
      </c>
      <c r="B8" s="8" t="s">
        <v>269</v>
      </c>
      <c r="C8" s="8" t="s">
        <v>436</v>
      </c>
      <c r="D8" s="8">
        <v>2.0</v>
      </c>
      <c r="E8" s="8" t="s">
        <v>167</v>
      </c>
      <c r="F8" s="8" t="b">
        <f t="shared" si="3"/>
        <v>1</v>
      </c>
      <c r="G8" s="8" t="b">
        <f t="shared" si="10"/>
        <v>1</v>
      </c>
      <c r="H8" s="8" t="b">
        <f t="shared" ref="H8:I8" si="11">TRUE()</f>
        <v>1</v>
      </c>
      <c r="I8" s="8" t="b">
        <f t="shared" si="11"/>
        <v>1</v>
      </c>
      <c r="J8" s="8" t="b">
        <f t="shared" ref="J8:L8" si="12">FALSE()</f>
        <v>0</v>
      </c>
      <c r="K8" s="8" t="b">
        <f t="shared" si="12"/>
        <v>0</v>
      </c>
      <c r="L8" s="8" t="b">
        <f t="shared" si="12"/>
        <v>0</v>
      </c>
      <c r="M8" s="8"/>
      <c r="N8" s="8"/>
      <c r="O8" s="8" t="s">
        <v>119</v>
      </c>
      <c r="P8" s="8" t="s">
        <v>154</v>
      </c>
    </row>
    <row r="9" ht="15.0" customHeight="1">
      <c r="A9" s="8" t="s">
        <v>278</v>
      </c>
      <c r="B9" s="8" t="s">
        <v>279</v>
      </c>
      <c r="C9" s="8" t="s">
        <v>436</v>
      </c>
      <c r="D9" s="8">
        <v>1.0</v>
      </c>
      <c r="E9" s="8" t="s">
        <v>167</v>
      </c>
      <c r="F9" s="8" t="b">
        <f t="shared" si="3"/>
        <v>1</v>
      </c>
      <c r="G9" s="8" t="b">
        <f t="shared" si="10"/>
        <v>1</v>
      </c>
      <c r="H9" s="8" t="b">
        <f t="shared" ref="H9:H10" si="14">FALSE()</f>
        <v>0</v>
      </c>
      <c r="I9" s="8" t="b">
        <f>TRUE()</f>
        <v>1</v>
      </c>
      <c r="J9" s="8" t="b">
        <f t="shared" ref="J9:L9" si="13">FALSE()</f>
        <v>0</v>
      </c>
      <c r="K9" s="8" t="b">
        <f t="shared" si="13"/>
        <v>0</v>
      </c>
      <c r="L9" s="8" t="b">
        <f t="shared" si="13"/>
        <v>0</v>
      </c>
      <c r="M9" s="8" t="s">
        <v>491</v>
      </c>
      <c r="N9" s="8"/>
      <c r="O9" s="8" t="s">
        <v>281</v>
      </c>
      <c r="P9" s="8" t="s">
        <v>267</v>
      </c>
    </row>
    <row r="10" ht="15.0" customHeight="1">
      <c r="A10" s="8" t="s">
        <v>288</v>
      </c>
      <c r="B10" s="8" t="s">
        <v>289</v>
      </c>
      <c r="C10" s="8" t="s">
        <v>436</v>
      </c>
      <c r="D10" s="8">
        <v>2.0</v>
      </c>
      <c r="E10" s="8" t="s">
        <v>167</v>
      </c>
      <c r="F10" s="8" t="b">
        <f t="shared" si="3"/>
        <v>1</v>
      </c>
      <c r="G10" s="8" t="b">
        <f t="shared" si="10"/>
        <v>1</v>
      </c>
      <c r="H10" s="8" t="b">
        <f t="shared" si="14"/>
        <v>0</v>
      </c>
      <c r="I10" s="8" t="b">
        <f t="shared" ref="I10:J10" si="15">FALSE()</f>
        <v>0</v>
      </c>
      <c r="J10" s="8" t="b">
        <f t="shared" si="15"/>
        <v>0</v>
      </c>
      <c r="K10" s="8" t="b">
        <f t="shared" ref="K10:L10" si="16">TRUE()</f>
        <v>1</v>
      </c>
      <c r="L10" s="8" t="b">
        <f t="shared" si="16"/>
        <v>1</v>
      </c>
      <c r="M10" s="8" t="s">
        <v>509</v>
      </c>
      <c r="N10" s="8" t="s">
        <v>71</v>
      </c>
      <c r="O10" s="8" t="s">
        <v>119</v>
      </c>
      <c r="P10" s="8"/>
    </row>
    <row r="11" ht="15.0" customHeight="1">
      <c r="A11" s="8" t="s">
        <v>294</v>
      </c>
      <c r="B11" s="8" t="s">
        <v>295</v>
      </c>
      <c r="C11" s="8" t="s">
        <v>436</v>
      </c>
      <c r="D11" s="8">
        <v>2.0</v>
      </c>
      <c r="E11" s="8" t="s">
        <v>167</v>
      </c>
      <c r="F11" s="8" t="b">
        <f t="shared" si="3"/>
        <v>1</v>
      </c>
      <c r="G11" s="8" t="b">
        <f t="shared" si="10"/>
        <v>1</v>
      </c>
      <c r="H11" s="8" t="b">
        <f t="shared" ref="H11:I11" si="17">TRUE()</f>
        <v>1</v>
      </c>
      <c r="I11" s="8" t="b">
        <f t="shared" si="17"/>
        <v>1</v>
      </c>
      <c r="J11" s="8" t="b">
        <f t="shared" ref="J11:L11" si="18">FALSE()</f>
        <v>0</v>
      </c>
      <c r="K11" s="8" t="b">
        <f t="shared" si="18"/>
        <v>0</v>
      </c>
      <c r="L11" s="8" t="b">
        <f t="shared" si="18"/>
        <v>0</v>
      </c>
      <c r="M11" s="8"/>
      <c r="N11" s="8"/>
      <c r="O11" s="8" t="s">
        <v>119</v>
      </c>
      <c r="P11" s="8" t="s">
        <v>297</v>
      </c>
    </row>
    <row r="12" ht="15.0" customHeight="1">
      <c r="A12" s="8" t="s">
        <v>306</v>
      </c>
      <c r="B12" s="8" t="s">
        <v>307</v>
      </c>
      <c r="C12" s="8" t="s">
        <v>436</v>
      </c>
      <c r="D12" s="8">
        <v>1.0</v>
      </c>
      <c r="E12" s="8" t="s">
        <v>167</v>
      </c>
      <c r="F12" s="8" t="b">
        <f t="shared" si="3"/>
        <v>1</v>
      </c>
      <c r="G12" s="8" t="b">
        <f t="shared" si="10"/>
        <v>1</v>
      </c>
      <c r="H12" s="8" t="b">
        <f>FALSE()</f>
        <v>0</v>
      </c>
      <c r="I12" s="8" t="b">
        <f>TRUE()</f>
        <v>1</v>
      </c>
      <c r="J12" s="8" t="b">
        <f t="shared" ref="J12:L12" si="19">FALSE()</f>
        <v>0</v>
      </c>
      <c r="K12" s="8" t="b">
        <f t="shared" si="19"/>
        <v>0</v>
      </c>
      <c r="L12" s="8" t="b">
        <f t="shared" si="19"/>
        <v>0</v>
      </c>
      <c r="M12" s="8" t="s">
        <v>532</v>
      </c>
      <c r="N12" s="8"/>
      <c r="O12" s="8" t="s">
        <v>119</v>
      </c>
      <c r="P12" s="8" t="s">
        <v>127</v>
      </c>
    </row>
    <row r="13" ht="15.0" customHeight="1">
      <c r="A13" s="8" t="s">
        <v>310</v>
      </c>
      <c r="B13" s="8" t="s">
        <v>311</v>
      </c>
      <c r="C13" s="8" t="s">
        <v>436</v>
      </c>
      <c r="D13" s="8">
        <v>2.0</v>
      </c>
      <c r="E13" s="8" t="s">
        <v>167</v>
      </c>
      <c r="F13" s="8" t="b">
        <f t="shared" si="3"/>
        <v>1</v>
      </c>
      <c r="G13" s="8" t="b">
        <f t="shared" si="10"/>
        <v>1</v>
      </c>
      <c r="H13" s="8" t="b">
        <f t="shared" ref="H13:I13" si="20">TRUE()</f>
        <v>1</v>
      </c>
      <c r="I13" s="8" t="b">
        <f t="shared" si="20"/>
        <v>1</v>
      </c>
      <c r="J13" s="8" t="b">
        <f t="shared" ref="J13:L13" si="21">FALSE()</f>
        <v>0</v>
      </c>
      <c r="K13" s="8" t="b">
        <f t="shared" si="21"/>
        <v>0</v>
      </c>
      <c r="L13" s="8" t="b">
        <f t="shared" si="21"/>
        <v>0</v>
      </c>
      <c r="M13" s="8"/>
      <c r="N13" s="8"/>
      <c r="O13" s="8" t="s">
        <v>119</v>
      </c>
      <c r="P13" s="8" t="s">
        <v>154</v>
      </c>
    </row>
    <row r="14" ht="15.0" customHeight="1">
      <c r="A14" s="8" t="s">
        <v>551</v>
      </c>
      <c r="B14" s="8" t="s">
        <v>468</v>
      </c>
      <c r="C14" s="8" t="s">
        <v>554</v>
      </c>
      <c r="D14" s="8">
        <v>5.0</v>
      </c>
      <c r="E14" s="8" t="s">
        <v>167</v>
      </c>
      <c r="F14" s="8" t="b">
        <f t="shared" ref="F14:G14" si="22">FALSE()</f>
        <v>0</v>
      </c>
      <c r="G14" s="8" t="b">
        <f t="shared" si="22"/>
        <v>0</v>
      </c>
      <c r="H14" s="8" t="b">
        <f t="shared" ref="H14:L14" si="23">TRUE()</f>
        <v>1</v>
      </c>
      <c r="I14" s="8" t="b">
        <f t="shared" si="23"/>
        <v>1</v>
      </c>
      <c r="J14" s="8" t="b">
        <f t="shared" si="23"/>
        <v>1</v>
      </c>
      <c r="K14" s="8" t="b">
        <f t="shared" si="23"/>
        <v>1</v>
      </c>
      <c r="L14" s="8" t="b">
        <f t="shared" si="23"/>
        <v>1</v>
      </c>
      <c r="M14" s="8"/>
      <c r="N14" s="8"/>
      <c r="O14" s="8"/>
      <c r="P14" s="8"/>
    </row>
    <row r="15" ht="15.0" customHeight="1">
      <c r="A15" s="8" t="s">
        <v>555</v>
      </c>
      <c r="B15" s="8" t="s">
        <v>470</v>
      </c>
      <c r="C15" s="8" t="s">
        <v>554</v>
      </c>
      <c r="D15" s="8">
        <v>5.0</v>
      </c>
      <c r="E15" s="8" t="s">
        <v>167</v>
      </c>
      <c r="F15" s="8" t="b">
        <f t="shared" ref="F15:G15" si="24">FALSE()</f>
        <v>0</v>
      </c>
      <c r="G15" s="8" t="b">
        <f t="shared" si="24"/>
        <v>0</v>
      </c>
      <c r="H15" s="8" t="b">
        <f t="shared" ref="H15:L15" si="25">TRUE()</f>
        <v>1</v>
      </c>
      <c r="I15" s="8" t="b">
        <f t="shared" si="25"/>
        <v>1</v>
      </c>
      <c r="J15" s="8" t="b">
        <f t="shared" si="25"/>
        <v>1</v>
      </c>
      <c r="K15" s="8" t="b">
        <f t="shared" si="25"/>
        <v>1</v>
      </c>
      <c r="L15" s="8" t="b">
        <f t="shared" si="25"/>
        <v>1</v>
      </c>
      <c r="M15" s="8"/>
      <c r="N15" s="8"/>
      <c r="O15" s="8"/>
      <c r="P15" s="8"/>
    </row>
    <row r="16" ht="15.0" customHeight="1">
      <c r="A16" s="8" t="s">
        <v>567</v>
      </c>
      <c r="B16" s="8" t="s">
        <v>475</v>
      </c>
      <c r="C16" s="8" t="s">
        <v>554</v>
      </c>
      <c r="D16" s="8">
        <v>5.0</v>
      </c>
      <c r="E16" s="8" t="s">
        <v>167</v>
      </c>
      <c r="F16" s="8" t="b">
        <f t="shared" ref="F16:G16" si="26">FALSE()</f>
        <v>0</v>
      </c>
      <c r="G16" s="8" t="b">
        <f t="shared" si="26"/>
        <v>0</v>
      </c>
      <c r="H16" s="8" t="b">
        <f t="shared" ref="H16:L16" si="27">TRUE()</f>
        <v>1</v>
      </c>
      <c r="I16" s="8" t="b">
        <f t="shared" si="27"/>
        <v>1</v>
      </c>
      <c r="J16" s="8" t="b">
        <f t="shared" si="27"/>
        <v>1</v>
      </c>
      <c r="K16" s="8" t="b">
        <f t="shared" si="27"/>
        <v>1</v>
      </c>
      <c r="L16" s="8" t="b">
        <f t="shared" si="27"/>
        <v>1</v>
      </c>
      <c r="M16" s="8"/>
      <c r="N16" s="8"/>
      <c r="O16" s="8"/>
      <c r="P16" s="8"/>
    </row>
    <row r="17" ht="15.0" customHeight="1">
      <c r="A17" s="8" t="s">
        <v>588</v>
      </c>
      <c r="B17" s="8" t="s">
        <v>589</v>
      </c>
      <c r="C17" s="8" t="s">
        <v>554</v>
      </c>
      <c r="D17" s="8">
        <v>5.0</v>
      </c>
      <c r="E17" s="8" t="s">
        <v>167</v>
      </c>
      <c r="F17" s="8" t="b">
        <f t="shared" ref="F17:G17" si="28">FALSE()</f>
        <v>0</v>
      </c>
      <c r="G17" s="8" t="b">
        <f t="shared" si="28"/>
        <v>0</v>
      </c>
      <c r="H17" s="8" t="b">
        <f t="shared" ref="H17:L17" si="29">TRUE()</f>
        <v>1</v>
      </c>
      <c r="I17" s="8" t="b">
        <f t="shared" si="29"/>
        <v>1</v>
      </c>
      <c r="J17" s="8" t="b">
        <f t="shared" si="29"/>
        <v>1</v>
      </c>
      <c r="K17" s="8" t="b">
        <f t="shared" si="29"/>
        <v>1</v>
      </c>
      <c r="L17" s="8" t="b">
        <f t="shared" si="29"/>
        <v>1</v>
      </c>
      <c r="M17" s="8"/>
      <c r="N17" s="8"/>
      <c r="O17" s="8"/>
      <c r="P17" s="8"/>
    </row>
    <row r="18" ht="15.0" customHeight="1">
      <c r="A18" s="8" t="s">
        <v>592</v>
      </c>
      <c r="B18" s="8" t="s">
        <v>593</v>
      </c>
      <c r="C18" s="8" t="s">
        <v>554</v>
      </c>
      <c r="D18" s="8">
        <v>5.0</v>
      </c>
      <c r="E18" s="8" t="s">
        <v>167</v>
      </c>
      <c r="F18" s="8" t="b">
        <f t="shared" ref="F18:G18" si="30">FALSE()</f>
        <v>0</v>
      </c>
      <c r="G18" s="8" t="b">
        <f t="shared" si="30"/>
        <v>0</v>
      </c>
      <c r="H18" s="8" t="b">
        <f t="shared" ref="H18:L18" si="31">TRUE()</f>
        <v>1</v>
      </c>
      <c r="I18" s="8" t="b">
        <f t="shared" si="31"/>
        <v>1</v>
      </c>
      <c r="J18" s="8" t="b">
        <f t="shared" si="31"/>
        <v>1</v>
      </c>
      <c r="K18" s="8" t="b">
        <f t="shared" si="31"/>
        <v>1</v>
      </c>
      <c r="L18" s="8" t="b">
        <f t="shared" si="31"/>
        <v>1</v>
      </c>
      <c r="M18" s="8"/>
      <c r="N18" s="8"/>
      <c r="O18" s="8"/>
      <c r="P18" s="8"/>
    </row>
    <row r="19" ht="15.0" customHeight="1">
      <c r="A19" s="8" t="s">
        <v>598</v>
      </c>
      <c r="B19" s="8" t="s">
        <v>590</v>
      </c>
      <c r="C19" s="8" t="s">
        <v>554</v>
      </c>
      <c r="D19" s="8">
        <v>5.0</v>
      </c>
      <c r="E19" s="8" t="s">
        <v>167</v>
      </c>
      <c r="F19" s="8" t="b">
        <f t="shared" ref="F19:F130" si="33">FALSE()</f>
        <v>0</v>
      </c>
      <c r="G19" s="8" t="b">
        <f t="shared" ref="G19:L19" si="32">TRUE()</f>
        <v>1</v>
      </c>
      <c r="H19" s="8" t="b">
        <f t="shared" si="32"/>
        <v>1</v>
      </c>
      <c r="I19" s="8" t="b">
        <f t="shared" si="32"/>
        <v>1</v>
      </c>
      <c r="J19" s="8" t="b">
        <f t="shared" si="32"/>
        <v>1</v>
      </c>
      <c r="K19" s="8" t="b">
        <f t="shared" si="32"/>
        <v>1</v>
      </c>
      <c r="L19" s="8" t="b">
        <f t="shared" si="32"/>
        <v>1</v>
      </c>
      <c r="M19" s="8"/>
      <c r="N19" s="8"/>
      <c r="O19" s="8"/>
      <c r="P19" s="8"/>
    </row>
    <row r="20" ht="15.0" customHeight="1">
      <c r="A20" s="8" t="s">
        <v>608</v>
      </c>
      <c r="B20" s="8" t="s">
        <v>570</v>
      </c>
      <c r="C20" s="8" t="s">
        <v>554</v>
      </c>
      <c r="D20" s="8">
        <v>5.0</v>
      </c>
      <c r="E20" s="8" t="s">
        <v>167</v>
      </c>
      <c r="F20" s="8" t="b">
        <f t="shared" si="33"/>
        <v>0</v>
      </c>
      <c r="G20" s="8" t="b">
        <f t="shared" ref="G20:G33" si="35">FALSE()</f>
        <v>0</v>
      </c>
      <c r="H20" s="8" t="b">
        <f t="shared" ref="H20:L20" si="34">TRUE()</f>
        <v>1</v>
      </c>
      <c r="I20" s="8" t="b">
        <f t="shared" si="34"/>
        <v>1</v>
      </c>
      <c r="J20" s="8" t="b">
        <f t="shared" si="34"/>
        <v>1</v>
      </c>
      <c r="K20" s="8" t="b">
        <f t="shared" si="34"/>
        <v>1</v>
      </c>
      <c r="L20" s="8" t="b">
        <f t="shared" si="34"/>
        <v>1</v>
      </c>
      <c r="M20" s="8"/>
      <c r="N20" s="8"/>
      <c r="O20" s="8"/>
      <c r="P20" s="8"/>
    </row>
    <row r="21" ht="15.0" customHeight="1">
      <c r="A21" s="8" t="s">
        <v>610</v>
      </c>
      <c r="B21" s="8" t="s">
        <v>611</v>
      </c>
      <c r="C21" s="8" t="s">
        <v>554</v>
      </c>
      <c r="D21" s="8">
        <v>5.0</v>
      </c>
      <c r="E21" s="8" t="s">
        <v>167</v>
      </c>
      <c r="F21" s="8" t="b">
        <f t="shared" si="33"/>
        <v>0</v>
      </c>
      <c r="G21" s="8" t="b">
        <f t="shared" si="35"/>
        <v>0</v>
      </c>
      <c r="H21" s="8" t="b">
        <f t="shared" ref="H21:L21" si="36">TRUE()</f>
        <v>1</v>
      </c>
      <c r="I21" s="8" t="b">
        <f t="shared" si="36"/>
        <v>1</v>
      </c>
      <c r="J21" s="8" t="b">
        <f t="shared" si="36"/>
        <v>1</v>
      </c>
      <c r="K21" s="8" t="b">
        <f t="shared" si="36"/>
        <v>1</v>
      </c>
      <c r="L21" s="8" t="b">
        <f t="shared" si="36"/>
        <v>1</v>
      </c>
      <c r="M21" s="8"/>
      <c r="N21" s="8"/>
      <c r="O21" s="8"/>
      <c r="P21" s="8"/>
    </row>
    <row r="22" ht="15.0" customHeight="1">
      <c r="A22" s="8" t="s">
        <v>612</v>
      </c>
      <c r="B22" s="8" t="s">
        <v>613</v>
      </c>
      <c r="C22" s="8" t="s">
        <v>554</v>
      </c>
      <c r="D22" s="8">
        <v>5.0</v>
      </c>
      <c r="E22" s="8" t="s">
        <v>167</v>
      </c>
      <c r="F22" s="8" t="b">
        <f t="shared" si="33"/>
        <v>0</v>
      </c>
      <c r="G22" s="8" t="b">
        <f t="shared" si="35"/>
        <v>0</v>
      </c>
      <c r="H22" s="8" t="b">
        <f t="shared" ref="H22:L22" si="37">TRUE()</f>
        <v>1</v>
      </c>
      <c r="I22" s="8" t="b">
        <f t="shared" si="37"/>
        <v>1</v>
      </c>
      <c r="J22" s="8" t="b">
        <f t="shared" si="37"/>
        <v>1</v>
      </c>
      <c r="K22" s="8" t="b">
        <f t="shared" si="37"/>
        <v>1</v>
      </c>
      <c r="L22" s="8" t="b">
        <f t="shared" si="37"/>
        <v>1</v>
      </c>
      <c r="M22" s="8"/>
      <c r="N22" s="8"/>
      <c r="O22" s="8"/>
      <c r="P22" s="8"/>
    </row>
    <row r="23" ht="15.0" customHeight="1">
      <c r="A23" s="8" t="s">
        <v>620</v>
      </c>
      <c r="B23" s="8" t="s">
        <v>621</v>
      </c>
      <c r="C23" s="8" t="s">
        <v>554</v>
      </c>
      <c r="D23" s="8">
        <v>5.0</v>
      </c>
      <c r="E23" s="8" t="s">
        <v>167</v>
      </c>
      <c r="F23" s="8" t="b">
        <f t="shared" si="33"/>
        <v>0</v>
      </c>
      <c r="G23" s="8" t="b">
        <f t="shared" si="35"/>
        <v>0</v>
      </c>
      <c r="H23" s="8" t="b">
        <f t="shared" ref="H23:L23" si="38">TRUE()</f>
        <v>1</v>
      </c>
      <c r="I23" s="8" t="b">
        <f t="shared" si="38"/>
        <v>1</v>
      </c>
      <c r="J23" s="8" t="b">
        <f t="shared" si="38"/>
        <v>1</v>
      </c>
      <c r="K23" s="8" t="b">
        <f t="shared" si="38"/>
        <v>1</v>
      </c>
      <c r="L23" s="8" t="b">
        <f t="shared" si="38"/>
        <v>1</v>
      </c>
      <c r="M23" s="8"/>
      <c r="N23" s="8"/>
      <c r="O23" s="8"/>
      <c r="P23" s="8"/>
    </row>
    <row r="24" ht="15.0" customHeight="1">
      <c r="A24" s="8" t="s">
        <v>630</v>
      </c>
      <c r="B24" s="8" t="s">
        <v>631</v>
      </c>
      <c r="C24" s="8" t="s">
        <v>554</v>
      </c>
      <c r="D24" s="8">
        <v>5.0</v>
      </c>
      <c r="E24" s="8" t="s">
        <v>167</v>
      </c>
      <c r="F24" s="8" t="b">
        <f t="shared" si="33"/>
        <v>0</v>
      </c>
      <c r="G24" s="8" t="b">
        <f t="shared" si="35"/>
        <v>0</v>
      </c>
      <c r="H24" s="8" t="b">
        <f t="shared" ref="H24:L24" si="39">TRUE()</f>
        <v>1</v>
      </c>
      <c r="I24" s="8" t="b">
        <f t="shared" si="39"/>
        <v>1</v>
      </c>
      <c r="J24" s="8" t="b">
        <f t="shared" si="39"/>
        <v>1</v>
      </c>
      <c r="K24" s="8" t="b">
        <f t="shared" si="39"/>
        <v>1</v>
      </c>
      <c r="L24" s="8" t="b">
        <f t="shared" si="39"/>
        <v>1</v>
      </c>
      <c r="M24" s="8"/>
      <c r="N24" s="8"/>
      <c r="O24" s="8"/>
      <c r="P24" s="8"/>
    </row>
    <row r="25" ht="15.0" customHeight="1">
      <c r="A25" s="8" t="s">
        <v>642</v>
      </c>
      <c r="B25" s="8" t="s">
        <v>643</v>
      </c>
      <c r="C25" s="8" t="s">
        <v>554</v>
      </c>
      <c r="D25" s="8">
        <v>5.0</v>
      </c>
      <c r="E25" s="8" t="s">
        <v>167</v>
      </c>
      <c r="F25" s="8" t="b">
        <f t="shared" si="33"/>
        <v>0</v>
      </c>
      <c r="G25" s="8" t="b">
        <f t="shared" si="35"/>
        <v>0</v>
      </c>
      <c r="H25" s="8" t="b">
        <f t="shared" ref="H25:L25" si="40">TRUE()</f>
        <v>1</v>
      </c>
      <c r="I25" s="8" t="b">
        <f t="shared" si="40"/>
        <v>1</v>
      </c>
      <c r="J25" s="8" t="b">
        <f t="shared" si="40"/>
        <v>1</v>
      </c>
      <c r="K25" s="8" t="b">
        <f t="shared" si="40"/>
        <v>1</v>
      </c>
      <c r="L25" s="8" t="b">
        <f t="shared" si="40"/>
        <v>1</v>
      </c>
      <c r="M25" s="8"/>
      <c r="N25" s="8"/>
      <c r="O25" s="8"/>
      <c r="P25" s="8"/>
    </row>
    <row r="26" ht="15.0" customHeight="1">
      <c r="A26" s="8" t="s">
        <v>712</v>
      </c>
      <c r="B26" s="8" t="s">
        <v>713</v>
      </c>
      <c r="C26" s="8" t="s">
        <v>554</v>
      </c>
      <c r="D26" s="8">
        <v>5.0</v>
      </c>
      <c r="E26" s="8" t="s">
        <v>167</v>
      </c>
      <c r="F26" s="8" t="b">
        <f t="shared" si="33"/>
        <v>0</v>
      </c>
      <c r="G26" s="8" t="b">
        <f t="shared" si="35"/>
        <v>0</v>
      </c>
      <c r="H26" s="8" t="b">
        <f t="shared" ref="H26:L26" si="41">TRUE()</f>
        <v>1</v>
      </c>
      <c r="I26" s="8" t="b">
        <f t="shared" si="41"/>
        <v>1</v>
      </c>
      <c r="J26" s="8" t="b">
        <f t="shared" si="41"/>
        <v>1</v>
      </c>
      <c r="K26" s="8" t="b">
        <f t="shared" si="41"/>
        <v>1</v>
      </c>
      <c r="L26" s="8" t="b">
        <f t="shared" si="41"/>
        <v>1</v>
      </c>
      <c r="M26" s="8"/>
      <c r="N26" s="8"/>
      <c r="O26" s="8"/>
      <c r="P26" s="8"/>
    </row>
    <row r="27" ht="15.0" customHeight="1">
      <c r="A27" s="8" t="s">
        <v>716</v>
      </c>
      <c r="B27" s="8" t="s">
        <v>574</v>
      </c>
      <c r="C27" s="8" t="s">
        <v>554</v>
      </c>
      <c r="D27" s="8">
        <v>5.0</v>
      </c>
      <c r="E27" s="8" t="s">
        <v>167</v>
      </c>
      <c r="F27" s="8" t="b">
        <f t="shared" si="33"/>
        <v>0</v>
      </c>
      <c r="G27" s="8" t="b">
        <f t="shared" si="35"/>
        <v>0</v>
      </c>
      <c r="H27" s="8" t="b">
        <f t="shared" ref="H27:L27" si="42">TRUE()</f>
        <v>1</v>
      </c>
      <c r="I27" s="8" t="b">
        <f t="shared" si="42"/>
        <v>1</v>
      </c>
      <c r="J27" s="8" t="b">
        <f t="shared" si="42"/>
        <v>1</v>
      </c>
      <c r="K27" s="8" t="b">
        <f t="shared" si="42"/>
        <v>1</v>
      </c>
      <c r="L27" s="8" t="b">
        <f t="shared" si="42"/>
        <v>1</v>
      </c>
      <c r="M27" s="8"/>
      <c r="N27" s="8"/>
      <c r="O27" s="8"/>
      <c r="P27" s="8"/>
    </row>
    <row r="28" ht="15.0" customHeight="1">
      <c r="A28" s="8" t="s">
        <v>717</v>
      </c>
      <c r="B28" s="8" t="s">
        <v>718</v>
      </c>
      <c r="C28" s="8" t="s">
        <v>554</v>
      </c>
      <c r="D28" s="8">
        <v>5.0</v>
      </c>
      <c r="E28" s="8" t="s">
        <v>167</v>
      </c>
      <c r="F28" s="8" t="b">
        <f t="shared" si="33"/>
        <v>0</v>
      </c>
      <c r="G28" s="8" t="b">
        <f t="shared" si="35"/>
        <v>0</v>
      </c>
      <c r="H28" s="8" t="b">
        <f t="shared" ref="H28:L28" si="43">TRUE()</f>
        <v>1</v>
      </c>
      <c r="I28" s="8" t="b">
        <f t="shared" si="43"/>
        <v>1</v>
      </c>
      <c r="J28" s="8" t="b">
        <f t="shared" si="43"/>
        <v>1</v>
      </c>
      <c r="K28" s="8" t="b">
        <f t="shared" si="43"/>
        <v>1</v>
      </c>
      <c r="L28" s="8" t="b">
        <f t="shared" si="43"/>
        <v>1</v>
      </c>
      <c r="M28" s="8"/>
      <c r="N28" s="8"/>
      <c r="O28" s="8"/>
      <c r="P28" s="8"/>
    </row>
    <row r="29" ht="15.0" customHeight="1">
      <c r="A29" s="8" t="s">
        <v>719</v>
      </c>
      <c r="B29" s="8" t="s">
        <v>720</v>
      </c>
      <c r="C29" s="8" t="s">
        <v>554</v>
      </c>
      <c r="D29" s="8">
        <v>5.0</v>
      </c>
      <c r="E29" s="8" t="s">
        <v>167</v>
      </c>
      <c r="F29" s="8" t="b">
        <f t="shared" si="33"/>
        <v>0</v>
      </c>
      <c r="G29" s="8" t="b">
        <f t="shared" si="35"/>
        <v>0</v>
      </c>
      <c r="H29" s="8" t="b">
        <f t="shared" ref="H29:L29" si="44">TRUE()</f>
        <v>1</v>
      </c>
      <c r="I29" s="8" t="b">
        <f t="shared" si="44"/>
        <v>1</v>
      </c>
      <c r="J29" s="8" t="b">
        <f t="shared" si="44"/>
        <v>1</v>
      </c>
      <c r="K29" s="8" t="b">
        <f t="shared" si="44"/>
        <v>1</v>
      </c>
      <c r="L29" s="8" t="b">
        <f t="shared" si="44"/>
        <v>1</v>
      </c>
      <c r="M29" s="8"/>
      <c r="N29" s="8"/>
      <c r="O29" s="8"/>
      <c r="P29" s="8"/>
    </row>
    <row r="30" ht="15.0" customHeight="1">
      <c r="A30" s="8" t="s">
        <v>722</v>
      </c>
      <c r="B30" s="8" t="s">
        <v>724</v>
      </c>
      <c r="C30" s="8" t="s">
        <v>554</v>
      </c>
      <c r="D30" s="8">
        <v>5.0</v>
      </c>
      <c r="E30" s="8" t="s">
        <v>167</v>
      </c>
      <c r="F30" s="8" t="b">
        <f t="shared" si="33"/>
        <v>0</v>
      </c>
      <c r="G30" s="8" t="b">
        <f t="shared" si="35"/>
        <v>0</v>
      </c>
      <c r="H30" s="8" t="b">
        <f t="shared" ref="H30:L30" si="45">TRUE()</f>
        <v>1</v>
      </c>
      <c r="I30" s="8" t="b">
        <f t="shared" si="45"/>
        <v>1</v>
      </c>
      <c r="J30" s="8" t="b">
        <f t="shared" si="45"/>
        <v>1</v>
      </c>
      <c r="K30" s="8" t="b">
        <f t="shared" si="45"/>
        <v>1</v>
      </c>
      <c r="L30" s="8" t="b">
        <f t="shared" si="45"/>
        <v>1</v>
      </c>
      <c r="M30" s="8"/>
      <c r="N30" s="8"/>
      <c r="O30" s="8"/>
      <c r="P30" s="8"/>
    </row>
    <row r="31" ht="15.0" customHeight="1">
      <c r="A31" s="8" t="s">
        <v>730</v>
      </c>
      <c r="B31" s="8" t="s">
        <v>731</v>
      </c>
      <c r="C31" s="8" t="s">
        <v>554</v>
      </c>
      <c r="D31" s="8">
        <v>5.0</v>
      </c>
      <c r="E31" s="8" t="s">
        <v>167</v>
      </c>
      <c r="F31" s="8" t="b">
        <f t="shared" si="33"/>
        <v>0</v>
      </c>
      <c r="G31" s="8" t="b">
        <f t="shared" si="35"/>
        <v>0</v>
      </c>
      <c r="H31" s="8" t="b">
        <f t="shared" ref="H31:L31" si="46">TRUE()</f>
        <v>1</v>
      </c>
      <c r="I31" s="8" t="b">
        <f t="shared" si="46"/>
        <v>1</v>
      </c>
      <c r="J31" s="8" t="b">
        <f t="shared" si="46"/>
        <v>1</v>
      </c>
      <c r="K31" s="8" t="b">
        <f t="shared" si="46"/>
        <v>1</v>
      </c>
      <c r="L31" s="8" t="b">
        <f t="shared" si="46"/>
        <v>1</v>
      </c>
      <c r="M31" s="8"/>
      <c r="N31" s="8"/>
      <c r="O31" s="8"/>
      <c r="P31" s="8"/>
    </row>
    <row r="32" ht="15.0" customHeight="1">
      <c r="A32" s="8" t="s">
        <v>735</v>
      </c>
      <c r="B32" s="8" t="s">
        <v>736</v>
      </c>
      <c r="C32" s="8" t="s">
        <v>554</v>
      </c>
      <c r="D32" s="8">
        <v>5.0</v>
      </c>
      <c r="E32" s="8" t="s">
        <v>167</v>
      </c>
      <c r="F32" s="8" t="b">
        <f t="shared" si="33"/>
        <v>0</v>
      </c>
      <c r="G32" s="8" t="b">
        <f t="shared" si="35"/>
        <v>0</v>
      </c>
      <c r="H32" s="8" t="b">
        <f t="shared" ref="H32:L32" si="47">TRUE()</f>
        <v>1</v>
      </c>
      <c r="I32" s="8" t="b">
        <f t="shared" si="47"/>
        <v>1</v>
      </c>
      <c r="J32" s="8" t="b">
        <f t="shared" si="47"/>
        <v>1</v>
      </c>
      <c r="K32" s="8" t="b">
        <f t="shared" si="47"/>
        <v>1</v>
      </c>
      <c r="L32" s="8" t="b">
        <f t="shared" si="47"/>
        <v>1</v>
      </c>
      <c r="M32" s="8"/>
      <c r="N32" s="8"/>
      <c r="O32" s="8"/>
      <c r="P32" s="8"/>
    </row>
    <row r="33" ht="15.0" customHeight="1">
      <c r="A33" s="8" t="s">
        <v>737</v>
      </c>
      <c r="B33" s="8" t="s">
        <v>738</v>
      </c>
      <c r="C33" s="8" t="s">
        <v>554</v>
      </c>
      <c r="D33" s="8">
        <v>5.0</v>
      </c>
      <c r="E33" s="8" t="s">
        <v>167</v>
      </c>
      <c r="F33" s="8" t="b">
        <f t="shared" si="33"/>
        <v>0</v>
      </c>
      <c r="G33" s="8" t="b">
        <f t="shared" si="35"/>
        <v>0</v>
      </c>
      <c r="H33" s="8" t="b">
        <f t="shared" ref="H33:L33" si="48">TRUE()</f>
        <v>1</v>
      </c>
      <c r="I33" s="8" t="b">
        <f t="shared" si="48"/>
        <v>1</v>
      </c>
      <c r="J33" s="8" t="b">
        <f t="shared" si="48"/>
        <v>1</v>
      </c>
      <c r="K33" s="8" t="b">
        <f t="shared" si="48"/>
        <v>1</v>
      </c>
      <c r="L33" s="8" t="b">
        <f t="shared" si="48"/>
        <v>1</v>
      </c>
      <c r="M33" s="8"/>
      <c r="N33" s="8"/>
      <c r="O33" s="8"/>
      <c r="P33" s="8"/>
    </row>
    <row r="34" ht="15.0" customHeight="1">
      <c r="A34" s="8" t="s">
        <v>740</v>
      </c>
      <c r="B34" s="8" t="s">
        <v>741</v>
      </c>
      <c r="C34" s="8" t="s">
        <v>554</v>
      </c>
      <c r="D34" s="8">
        <v>3.0</v>
      </c>
      <c r="E34" s="8" t="s">
        <v>167</v>
      </c>
      <c r="F34" s="8" t="b">
        <f t="shared" si="33"/>
        <v>0</v>
      </c>
      <c r="G34" s="8" t="b">
        <f>TRUE()</f>
        <v>1</v>
      </c>
      <c r="H34" s="8" t="b">
        <f t="shared" ref="H34:I34" si="49">FALSE()</f>
        <v>0</v>
      </c>
      <c r="I34" s="8" t="b">
        <f t="shared" si="49"/>
        <v>0</v>
      </c>
      <c r="J34" s="8" t="b">
        <f t="shared" ref="J34:L34" si="50">TRUE()</f>
        <v>1</v>
      </c>
      <c r="K34" s="8" t="b">
        <f t="shared" si="50"/>
        <v>1</v>
      </c>
      <c r="L34" s="8" t="b">
        <f t="shared" si="50"/>
        <v>1</v>
      </c>
      <c r="M34" s="8" t="s">
        <v>742</v>
      </c>
      <c r="N34" s="8" t="s">
        <v>71</v>
      </c>
      <c r="O34" s="8"/>
      <c r="P34" s="8"/>
    </row>
    <row r="35" ht="15.0" customHeight="1">
      <c r="A35" s="8" t="s">
        <v>743</v>
      </c>
      <c r="B35" s="8" t="s">
        <v>488</v>
      </c>
      <c r="C35" s="8" t="s">
        <v>554</v>
      </c>
      <c r="D35" s="8">
        <v>5.0</v>
      </c>
      <c r="E35" s="8" t="s">
        <v>167</v>
      </c>
      <c r="F35" s="8" t="b">
        <f t="shared" si="33"/>
        <v>0</v>
      </c>
      <c r="G35" s="8" t="b">
        <f t="shared" ref="G35:G44" si="52">FALSE()</f>
        <v>0</v>
      </c>
      <c r="H35" s="8" t="b">
        <f t="shared" ref="H35:L35" si="51">TRUE()</f>
        <v>1</v>
      </c>
      <c r="I35" s="8" t="b">
        <f t="shared" si="51"/>
        <v>1</v>
      </c>
      <c r="J35" s="8" t="b">
        <f t="shared" si="51"/>
        <v>1</v>
      </c>
      <c r="K35" s="8" t="b">
        <f t="shared" si="51"/>
        <v>1</v>
      </c>
      <c r="L35" s="8" t="b">
        <f t="shared" si="51"/>
        <v>1</v>
      </c>
      <c r="M35" s="8"/>
      <c r="N35" s="8"/>
      <c r="O35" s="8"/>
      <c r="P35" s="8"/>
    </row>
    <row r="36" ht="15.0" customHeight="1">
      <c r="A36" s="8" t="s">
        <v>744</v>
      </c>
      <c r="B36" s="8" t="s">
        <v>723</v>
      </c>
      <c r="C36" s="8" t="s">
        <v>554</v>
      </c>
      <c r="D36" s="8">
        <v>5.0</v>
      </c>
      <c r="E36" s="8" t="s">
        <v>167</v>
      </c>
      <c r="F36" s="8" t="b">
        <f t="shared" si="33"/>
        <v>0</v>
      </c>
      <c r="G36" s="8" t="b">
        <f t="shared" si="52"/>
        <v>0</v>
      </c>
      <c r="H36" s="8" t="b">
        <f t="shared" ref="H36:L36" si="53">TRUE()</f>
        <v>1</v>
      </c>
      <c r="I36" s="8" t="b">
        <f t="shared" si="53"/>
        <v>1</v>
      </c>
      <c r="J36" s="8" t="b">
        <f t="shared" si="53"/>
        <v>1</v>
      </c>
      <c r="K36" s="8" t="b">
        <f t="shared" si="53"/>
        <v>1</v>
      </c>
      <c r="L36" s="8" t="b">
        <f t="shared" si="53"/>
        <v>1</v>
      </c>
      <c r="M36" s="8"/>
      <c r="N36" s="8"/>
      <c r="O36" s="8"/>
      <c r="P36" s="8"/>
    </row>
    <row r="37" ht="15.0" customHeight="1">
      <c r="A37" s="8" t="s">
        <v>747</v>
      </c>
      <c r="B37" s="8" t="s">
        <v>492</v>
      </c>
      <c r="C37" s="8" t="s">
        <v>554</v>
      </c>
      <c r="D37" s="8">
        <v>5.0</v>
      </c>
      <c r="E37" s="8" t="s">
        <v>167</v>
      </c>
      <c r="F37" s="8" t="b">
        <f t="shared" si="33"/>
        <v>0</v>
      </c>
      <c r="G37" s="8" t="b">
        <f t="shared" si="52"/>
        <v>0</v>
      </c>
      <c r="H37" s="8" t="b">
        <f t="shared" ref="H37:L37" si="54">TRUE()</f>
        <v>1</v>
      </c>
      <c r="I37" s="8" t="b">
        <f t="shared" si="54"/>
        <v>1</v>
      </c>
      <c r="J37" s="8" t="b">
        <f t="shared" si="54"/>
        <v>1</v>
      </c>
      <c r="K37" s="8" t="b">
        <f t="shared" si="54"/>
        <v>1</v>
      </c>
      <c r="L37" s="8" t="b">
        <f t="shared" si="54"/>
        <v>1</v>
      </c>
      <c r="M37" s="8"/>
      <c r="N37" s="8"/>
      <c r="O37" s="8"/>
      <c r="P37" s="8"/>
    </row>
    <row r="38" ht="15.0" customHeight="1">
      <c r="A38" s="8" t="s">
        <v>748</v>
      </c>
      <c r="B38" s="8" t="s">
        <v>749</v>
      </c>
      <c r="C38" s="8" t="s">
        <v>554</v>
      </c>
      <c r="D38" s="8">
        <v>5.0</v>
      </c>
      <c r="E38" s="8" t="s">
        <v>167</v>
      </c>
      <c r="F38" s="8" t="b">
        <f t="shared" si="33"/>
        <v>0</v>
      </c>
      <c r="G38" s="8" t="b">
        <f t="shared" si="52"/>
        <v>0</v>
      </c>
      <c r="H38" s="8" t="b">
        <f t="shared" ref="H38:L38" si="55">TRUE()</f>
        <v>1</v>
      </c>
      <c r="I38" s="8" t="b">
        <f t="shared" si="55"/>
        <v>1</v>
      </c>
      <c r="J38" s="8" t="b">
        <f t="shared" si="55"/>
        <v>1</v>
      </c>
      <c r="K38" s="8" t="b">
        <f t="shared" si="55"/>
        <v>1</v>
      </c>
      <c r="L38" s="8" t="b">
        <f t="shared" si="55"/>
        <v>1</v>
      </c>
      <c r="M38" s="8"/>
      <c r="N38" s="8"/>
      <c r="O38" s="8"/>
      <c r="P38" s="8"/>
    </row>
    <row r="39" ht="15.0" customHeight="1">
      <c r="A39" s="8" t="s">
        <v>752</v>
      </c>
      <c r="B39" s="8" t="s">
        <v>753</v>
      </c>
      <c r="C39" s="8" t="s">
        <v>554</v>
      </c>
      <c r="D39" s="8">
        <v>5.0</v>
      </c>
      <c r="E39" s="8" t="s">
        <v>167</v>
      </c>
      <c r="F39" s="8" t="b">
        <f t="shared" si="33"/>
        <v>0</v>
      </c>
      <c r="G39" s="8" t="b">
        <f t="shared" si="52"/>
        <v>0</v>
      </c>
      <c r="H39" s="8" t="b">
        <f t="shared" ref="H39:L39" si="56">TRUE()</f>
        <v>1</v>
      </c>
      <c r="I39" s="8" t="b">
        <f t="shared" si="56"/>
        <v>1</v>
      </c>
      <c r="J39" s="8" t="b">
        <f t="shared" si="56"/>
        <v>1</v>
      </c>
      <c r="K39" s="8" t="b">
        <f t="shared" si="56"/>
        <v>1</v>
      </c>
      <c r="L39" s="8" t="b">
        <f t="shared" si="56"/>
        <v>1</v>
      </c>
      <c r="M39" s="8"/>
      <c r="N39" s="8"/>
      <c r="O39" s="8"/>
      <c r="P39" s="8"/>
    </row>
    <row r="40" ht="15.0" customHeight="1">
      <c r="A40" s="8" t="s">
        <v>755</v>
      </c>
      <c r="B40" s="8" t="s">
        <v>493</v>
      </c>
      <c r="C40" s="8" t="s">
        <v>554</v>
      </c>
      <c r="D40" s="8">
        <v>5.0</v>
      </c>
      <c r="E40" s="8" t="s">
        <v>167</v>
      </c>
      <c r="F40" s="8" t="b">
        <f t="shared" si="33"/>
        <v>0</v>
      </c>
      <c r="G40" s="8" t="b">
        <f t="shared" si="52"/>
        <v>0</v>
      </c>
      <c r="H40" s="8" t="b">
        <f t="shared" ref="H40:L40" si="57">TRUE()</f>
        <v>1</v>
      </c>
      <c r="I40" s="8" t="b">
        <f t="shared" si="57"/>
        <v>1</v>
      </c>
      <c r="J40" s="8" t="b">
        <f t="shared" si="57"/>
        <v>1</v>
      </c>
      <c r="K40" s="8" t="b">
        <f t="shared" si="57"/>
        <v>1</v>
      </c>
      <c r="L40" s="8" t="b">
        <f t="shared" si="57"/>
        <v>1</v>
      </c>
      <c r="M40" s="8"/>
      <c r="N40" s="8"/>
      <c r="O40" s="8"/>
      <c r="P40" s="8"/>
    </row>
    <row r="41" ht="15.0" customHeight="1">
      <c r="A41" s="8" t="s">
        <v>758</v>
      </c>
      <c r="B41" s="8" t="s">
        <v>754</v>
      </c>
      <c r="C41" s="8" t="s">
        <v>554</v>
      </c>
      <c r="D41" s="8">
        <v>5.0</v>
      </c>
      <c r="E41" s="8" t="s">
        <v>167</v>
      </c>
      <c r="F41" s="8" t="b">
        <f t="shared" si="33"/>
        <v>0</v>
      </c>
      <c r="G41" s="8" t="b">
        <f t="shared" si="52"/>
        <v>0</v>
      </c>
      <c r="H41" s="8" t="b">
        <f t="shared" ref="H41:L41" si="58">TRUE()</f>
        <v>1</v>
      </c>
      <c r="I41" s="8" t="b">
        <f t="shared" si="58"/>
        <v>1</v>
      </c>
      <c r="J41" s="8" t="b">
        <f t="shared" si="58"/>
        <v>1</v>
      </c>
      <c r="K41" s="8" t="b">
        <f t="shared" si="58"/>
        <v>1</v>
      </c>
      <c r="L41" s="8" t="b">
        <f t="shared" si="58"/>
        <v>1</v>
      </c>
      <c r="M41" s="8"/>
      <c r="N41" s="8"/>
      <c r="O41" s="8"/>
      <c r="P41" s="8"/>
    </row>
    <row r="42" ht="15.0" customHeight="1">
      <c r="A42" s="8" t="s">
        <v>761</v>
      </c>
      <c r="B42" s="8" t="s">
        <v>494</v>
      </c>
      <c r="C42" s="8" t="s">
        <v>554</v>
      </c>
      <c r="D42" s="8">
        <v>5.0</v>
      </c>
      <c r="E42" s="8" t="s">
        <v>167</v>
      </c>
      <c r="F42" s="8" t="b">
        <f t="shared" si="33"/>
        <v>0</v>
      </c>
      <c r="G42" s="8" t="b">
        <f t="shared" si="52"/>
        <v>0</v>
      </c>
      <c r="H42" s="8" t="b">
        <f t="shared" ref="H42:L42" si="59">TRUE()</f>
        <v>1</v>
      </c>
      <c r="I42" s="8" t="b">
        <f t="shared" si="59"/>
        <v>1</v>
      </c>
      <c r="J42" s="8" t="b">
        <f t="shared" si="59"/>
        <v>1</v>
      </c>
      <c r="K42" s="8" t="b">
        <f t="shared" si="59"/>
        <v>1</v>
      </c>
      <c r="L42" s="8" t="b">
        <f t="shared" si="59"/>
        <v>1</v>
      </c>
      <c r="M42" s="8"/>
      <c r="N42" s="8"/>
      <c r="O42" s="8"/>
      <c r="P42" s="8"/>
    </row>
    <row r="43" ht="15.0" customHeight="1">
      <c r="A43" s="8" t="s">
        <v>762</v>
      </c>
      <c r="B43" s="8" t="s">
        <v>763</v>
      </c>
      <c r="C43" s="8" t="s">
        <v>554</v>
      </c>
      <c r="D43" s="8">
        <v>5.0</v>
      </c>
      <c r="E43" s="8" t="s">
        <v>167</v>
      </c>
      <c r="F43" s="8" t="b">
        <f t="shared" si="33"/>
        <v>0</v>
      </c>
      <c r="G43" s="8" t="b">
        <f t="shared" si="52"/>
        <v>0</v>
      </c>
      <c r="H43" s="8" t="b">
        <f t="shared" ref="H43:L43" si="60">TRUE()</f>
        <v>1</v>
      </c>
      <c r="I43" s="8" t="b">
        <f t="shared" si="60"/>
        <v>1</v>
      </c>
      <c r="J43" s="8" t="b">
        <f t="shared" si="60"/>
        <v>1</v>
      </c>
      <c r="K43" s="8" t="b">
        <f t="shared" si="60"/>
        <v>1</v>
      </c>
      <c r="L43" s="8" t="b">
        <f t="shared" si="60"/>
        <v>1</v>
      </c>
      <c r="M43" s="8"/>
      <c r="N43" s="8"/>
      <c r="O43" s="8"/>
      <c r="P43" s="8"/>
    </row>
    <row r="44" ht="15.0" customHeight="1">
      <c r="A44" s="8" t="s">
        <v>764</v>
      </c>
      <c r="B44" s="8" t="s">
        <v>757</v>
      </c>
      <c r="C44" s="8" t="s">
        <v>554</v>
      </c>
      <c r="D44" s="8">
        <v>5.0</v>
      </c>
      <c r="E44" s="8" t="s">
        <v>167</v>
      </c>
      <c r="F44" s="8" t="b">
        <f t="shared" si="33"/>
        <v>0</v>
      </c>
      <c r="G44" s="8" t="b">
        <f t="shared" si="52"/>
        <v>0</v>
      </c>
      <c r="H44" s="8" t="b">
        <f t="shared" ref="H44:L44" si="61">TRUE()</f>
        <v>1</v>
      </c>
      <c r="I44" s="8" t="b">
        <f t="shared" si="61"/>
        <v>1</v>
      </c>
      <c r="J44" s="8" t="b">
        <f t="shared" si="61"/>
        <v>1</v>
      </c>
      <c r="K44" s="8" t="b">
        <f t="shared" si="61"/>
        <v>1</v>
      </c>
      <c r="L44" s="8" t="b">
        <f t="shared" si="61"/>
        <v>1</v>
      </c>
      <c r="M44" s="8"/>
      <c r="N44" s="8"/>
      <c r="O44" s="8"/>
      <c r="P44" s="8"/>
    </row>
    <row r="45" ht="15.0" customHeight="1">
      <c r="A45" s="8" t="s">
        <v>766</v>
      </c>
      <c r="B45" s="8" t="s">
        <v>767</v>
      </c>
      <c r="C45" s="8" t="s">
        <v>554</v>
      </c>
      <c r="D45" s="8">
        <v>3.0</v>
      </c>
      <c r="E45" s="8" t="s">
        <v>167</v>
      </c>
      <c r="F45" s="8" t="b">
        <f t="shared" si="33"/>
        <v>0</v>
      </c>
      <c r="G45" s="8" t="b">
        <f t="shared" ref="G45:G46" si="63">TRUE()</f>
        <v>1</v>
      </c>
      <c r="H45" s="8" t="b">
        <f t="shared" ref="H45:H46" si="64">FALSE()</f>
        <v>0</v>
      </c>
      <c r="I45" s="8" t="b">
        <f t="shared" ref="I45:K45" si="62">TRUE()</f>
        <v>1</v>
      </c>
      <c r="J45" s="8" t="b">
        <f t="shared" si="62"/>
        <v>1</v>
      </c>
      <c r="K45" s="8" t="b">
        <f t="shared" si="62"/>
        <v>1</v>
      </c>
      <c r="L45" s="8" t="b">
        <f t="shared" ref="L45:L46" si="66">FALSE()</f>
        <v>0</v>
      </c>
      <c r="M45" s="8" t="s">
        <v>769</v>
      </c>
      <c r="N45" s="8"/>
      <c r="O45" s="8"/>
      <c r="P45" s="8" t="s">
        <v>74</v>
      </c>
    </row>
    <row r="46" ht="15.0" customHeight="1">
      <c r="A46" s="8" t="s">
        <v>772</v>
      </c>
      <c r="B46" s="8" t="s">
        <v>773</v>
      </c>
      <c r="C46" s="8" t="s">
        <v>554</v>
      </c>
      <c r="D46" s="8">
        <v>3.0</v>
      </c>
      <c r="E46" s="8" t="s">
        <v>167</v>
      </c>
      <c r="F46" s="8" t="b">
        <f t="shared" si="33"/>
        <v>0</v>
      </c>
      <c r="G46" s="8" t="b">
        <f t="shared" si="63"/>
        <v>1</v>
      </c>
      <c r="H46" s="8" t="b">
        <f t="shared" si="64"/>
        <v>0</v>
      </c>
      <c r="I46" s="8" t="b">
        <f t="shared" ref="I46:K46" si="65">TRUE()</f>
        <v>1</v>
      </c>
      <c r="J46" s="8" t="b">
        <f t="shared" si="65"/>
        <v>1</v>
      </c>
      <c r="K46" s="8" t="b">
        <f t="shared" si="65"/>
        <v>1</v>
      </c>
      <c r="L46" s="8" t="b">
        <f t="shared" si="66"/>
        <v>0</v>
      </c>
      <c r="M46" s="8" t="s">
        <v>775</v>
      </c>
      <c r="N46" s="8"/>
      <c r="O46" s="8"/>
      <c r="P46" s="8" t="s">
        <v>127</v>
      </c>
    </row>
    <row r="47" ht="15.0" customHeight="1">
      <c r="A47" s="8" t="s">
        <v>776</v>
      </c>
      <c r="B47" s="8" t="s">
        <v>777</v>
      </c>
      <c r="C47" s="8" t="s">
        <v>554</v>
      </c>
      <c r="D47" s="8">
        <v>5.0</v>
      </c>
      <c r="E47" s="8" t="s">
        <v>167</v>
      </c>
      <c r="F47" s="8" t="b">
        <f t="shared" si="33"/>
        <v>0</v>
      </c>
      <c r="G47" s="8" t="b">
        <f t="shared" ref="G47:G51" si="68">FALSE()</f>
        <v>0</v>
      </c>
      <c r="H47" s="8" t="b">
        <f t="shared" ref="H47:L47" si="67">TRUE()</f>
        <v>1</v>
      </c>
      <c r="I47" s="8" t="b">
        <f t="shared" si="67"/>
        <v>1</v>
      </c>
      <c r="J47" s="8" t="b">
        <f t="shared" si="67"/>
        <v>1</v>
      </c>
      <c r="K47" s="8" t="b">
        <f t="shared" si="67"/>
        <v>1</v>
      </c>
      <c r="L47" s="8" t="b">
        <f t="shared" si="67"/>
        <v>1</v>
      </c>
      <c r="M47" s="8"/>
      <c r="N47" s="8"/>
      <c r="O47" s="8"/>
      <c r="P47" s="8"/>
    </row>
    <row r="48" ht="15.0" customHeight="1">
      <c r="A48" s="8" t="s">
        <v>778</v>
      </c>
      <c r="B48" s="8" t="s">
        <v>779</v>
      </c>
      <c r="C48" s="8" t="s">
        <v>554</v>
      </c>
      <c r="D48" s="8">
        <v>5.0</v>
      </c>
      <c r="E48" s="8" t="s">
        <v>167</v>
      </c>
      <c r="F48" s="8" t="b">
        <f t="shared" si="33"/>
        <v>0</v>
      </c>
      <c r="G48" s="8" t="b">
        <f t="shared" si="68"/>
        <v>0</v>
      </c>
      <c r="H48" s="8" t="b">
        <f t="shared" ref="H48:L48" si="69">TRUE()</f>
        <v>1</v>
      </c>
      <c r="I48" s="8" t="b">
        <f t="shared" si="69"/>
        <v>1</v>
      </c>
      <c r="J48" s="8" t="b">
        <f t="shared" si="69"/>
        <v>1</v>
      </c>
      <c r="K48" s="8" t="b">
        <f t="shared" si="69"/>
        <v>1</v>
      </c>
      <c r="L48" s="8" t="b">
        <f t="shared" si="69"/>
        <v>1</v>
      </c>
      <c r="M48" s="8"/>
      <c r="N48" s="8"/>
      <c r="O48" s="8"/>
      <c r="P48" s="8"/>
    </row>
    <row r="49" ht="15.0" customHeight="1">
      <c r="A49" s="8" t="s">
        <v>782</v>
      </c>
      <c r="B49" s="8" t="s">
        <v>518</v>
      </c>
      <c r="C49" s="8" t="s">
        <v>554</v>
      </c>
      <c r="D49" s="8">
        <v>5.0</v>
      </c>
      <c r="E49" s="8" t="s">
        <v>167</v>
      </c>
      <c r="F49" s="8" t="b">
        <f t="shared" si="33"/>
        <v>0</v>
      </c>
      <c r="G49" s="8" t="b">
        <f t="shared" si="68"/>
        <v>0</v>
      </c>
      <c r="H49" s="8" t="b">
        <f t="shared" ref="H49:L49" si="70">TRUE()</f>
        <v>1</v>
      </c>
      <c r="I49" s="8" t="b">
        <f t="shared" si="70"/>
        <v>1</v>
      </c>
      <c r="J49" s="8" t="b">
        <f t="shared" si="70"/>
        <v>1</v>
      </c>
      <c r="K49" s="8" t="b">
        <f t="shared" si="70"/>
        <v>1</v>
      </c>
      <c r="L49" s="8" t="b">
        <f t="shared" si="70"/>
        <v>1</v>
      </c>
      <c r="M49" s="8"/>
      <c r="N49" s="8"/>
      <c r="O49" s="8"/>
      <c r="P49" s="8"/>
    </row>
    <row r="50" ht="15.0" customHeight="1">
      <c r="A50" s="8" t="s">
        <v>784</v>
      </c>
      <c r="B50" s="8" t="s">
        <v>760</v>
      </c>
      <c r="C50" s="8" t="s">
        <v>554</v>
      </c>
      <c r="D50" s="8">
        <v>5.0</v>
      </c>
      <c r="E50" s="8" t="s">
        <v>167</v>
      </c>
      <c r="F50" s="8" t="b">
        <f t="shared" si="33"/>
        <v>0</v>
      </c>
      <c r="G50" s="8" t="b">
        <f t="shared" si="68"/>
        <v>0</v>
      </c>
      <c r="H50" s="8" t="b">
        <f t="shared" ref="H50:L50" si="71">TRUE()</f>
        <v>1</v>
      </c>
      <c r="I50" s="8" t="b">
        <f t="shared" si="71"/>
        <v>1</v>
      </c>
      <c r="J50" s="8" t="b">
        <f t="shared" si="71"/>
        <v>1</v>
      </c>
      <c r="K50" s="8" t="b">
        <f t="shared" si="71"/>
        <v>1</v>
      </c>
      <c r="L50" s="8" t="b">
        <f t="shared" si="71"/>
        <v>1</v>
      </c>
      <c r="M50" s="8"/>
      <c r="N50" s="8"/>
      <c r="O50" s="8"/>
      <c r="P50" s="8"/>
    </row>
    <row r="51" ht="15.0" customHeight="1">
      <c r="A51" s="8" t="s">
        <v>785</v>
      </c>
      <c r="B51" s="8" t="s">
        <v>582</v>
      </c>
      <c r="C51" s="8" t="s">
        <v>554</v>
      </c>
      <c r="D51" s="8">
        <v>5.0</v>
      </c>
      <c r="E51" s="8" t="s">
        <v>167</v>
      </c>
      <c r="F51" s="8" t="b">
        <f t="shared" si="33"/>
        <v>0</v>
      </c>
      <c r="G51" s="8" t="b">
        <f t="shared" si="68"/>
        <v>0</v>
      </c>
      <c r="H51" s="8" t="b">
        <f t="shared" ref="H51:L51" si="72">TRUE()</f>
        <v>1</v>
      </c>
      <c r="I51" s="8" t="b">
        <f t="shared" si="72"/>
        <v>1</v>
      </c>
      <c r="J51" s="8" t="b">
        <f t="shared" si="72"/>
        <v>1</v>
      </c>
      <c r="K51" s="8" t="b">
        <f t="shared" si="72"/>
        <v>1</v>
      </c>
      <c r="L51" s="8" t="b">
        <f t="shared" si="72"/>
        <v>1</v>
      </c>
      <c r="M51" s="8"/>
      <c r="N51" s="8"/>
      <c r="O51" s="8"/>
      <c r="P51" s="8"/>
    </row>
    <row r="52" ht="15.0" customHeight="1">
      <c r="A52" s="8" t="s">
        <v>786</v>
      </c>
      <c r="B52" s="8" t="s">
        <v>787</v>
      </c>
      <c r="C52" s="8" t="s">
        <v>554</v>
      </c>
      <c r="D52" s="8">
        <v>3.0</v>
      </c>
      <c r="E52" s="8" t="s">
        <v>167</v>
      </c>
      <c r="F52" s="8" t="b">
        <f t="shared" si="33"/>
        <v>0</v>
      </c>
      <c r="G52" s="8" t="b">
        <f>TRUE()</f>
        <v>1</v>
      </c>
      <c r="H52" s="8" t="b">
        <f>FALSE()</f>
        <v>0</v>
      </c>
      <c r="I52" s="8" t="b">
        <f t="shared" ref="I52:K52" si="73">TRUE()</f>
        <v>1</v>
      </c>
      <c r="J52" s="8" t="b">
        <f t="shared" si="73"/>
        <v>1</v>
      </c>
      <c r="K52" s="8" t="b">
        <f t="shared" si="73"/>
        <v>1</v>
      </c>
      <c r="L52" s="8" t="b">
        <f>FALSE()</f>
        <v>0</v>
      </c>
      <c r="M52" s="8" t="s">
        <v>789</v>
      </c>
      <c r="N52" s="8"/>
      <c r="O52" s="8"/>
      <c r="P52" s="8" t="s">
        <v>267</v>
      </c>
    </row>
    <row r="53" ht="15.0" customHeight="1">
      <c r="A53" s="8" t="s">
        <v>790</v>
      </c>
      <c r="B53" s="8" t="s">
        <v>791</v>
      </c>
      <c r="C53" s="8" t="s">
        <v>554</v>
      </c>
      <c r="D53" s="8">
        <v>5.0</v>
      </c>
      <c r="E53" s="8" t="s">
        <v>167</v>
      </c>
      <c r="F53" s="8" t="b">
        <f t="shared" si="33"/>
        <v>0</v>
      </c>
      <c r="G53" s="8" t="b">
        <f t="shared" ref="G53:G57" si="75">FALSE()</f>
        <v>0</v>
      </c>
      <c r="H53" s="8" t="b">
        <f t="shared" ref="H53:L53" si="74">TRUE()</f>
        <v>1</v>
      </c>
      <c r="I53" s="8" t="b">
        <f t="shared" si="74"/>
        <v>1</v>
      </c>
      <c r="J53" s="8" t="b">
        <f t="shared" si="74"/>
        <v>1</v>
      </c>
      <c r="K53" s="8" t="b">
        <f t="shared" si="74"/>
        <v>1</v>
      </c>
      <c r="L53" s="8" t="b">
        <f t="shared" si="74"/>
        <v>1</v>
      </c>
      <c r="M53" s="8"/>
      <c r="N53" s="8"/>
      <c r="O53" s="8"/>
      <c r="P53" s="8"/>
    </row>
    <row r="54" ht="15.0" customHeight="1">
      <c r="A54" s="8" t="s">
        <v>793</v>
      </c>
      <c r="B54" s="8" t="s">
        <v>586</v>
      </c>
      <c r="C54" s="8" t="s">
        <v>554</v>
      </c>
      <c r="D54" s="8">
        <v>5.0</v>
      </c>
      <c r="E54" s="8" t="s">
        <v>167</v>
      </c>
      <c r="F54" s="8" t="b">
        <f t="shared" si="33"/>
        <v>0</v>
      </c>
      <c r="G54" s="8" t="b">
        <f t="shared" si="75"/>
        <v>0</v>
      </c>
      <c r="H54" s="8" t="b">
        <f t="shared" ref="H54:L54" si="76">TRUE()</f>
        <v>1</v>
      </c>
      <c r="I54" s="8" t="b">
        <f t="shared" si="76"/>
        <v>1</v>
      </c>
      <c r="J54" s="8" t="b">
        <f t="shared" si="76"/>
        <v>1</v>
      </c>
      <c r="K54" s="8" t="b">
        <f t="shared" si="76"/>
        <v>1</v>
      </c>
      <c r="L54" s="8" t="b">
        <f t="shared" si="76"/>
        <v>1</v>
      </c>
      <c r="M54" s="8"/>
      <c r="N54" s="8"/>
      <c r="O54" s="8"/>
      <c r="P54" s="8"/>
    </row>
    <row r="55" ht="15.0" customHeight="1">
      <c r="A55" s="8" t="s">
        <v>799</v>
      </c>
      <c r="B55" s="8" t="s">
        <v>640</v>
      </c>
      <c r="C55" s="8" t="s">
        <v>554</v>
      </c>
      <c r="D55" s="8">
        <v>5.0</v>
      </c>
      <c r="E55" s="8" t="s">
        <v>167</v>
      </c>
      <c r="F55" s="8" t="b">
        <f t="shared" si="33"/>
        <v>0</v>
      </c>
      <c r="G55" s="8" t="b">
        <f t="shared" si="75"/>
        <v>0</v>
      </c>
      <c r="H55" s="8" t="b">
        <f t="shared" ref="H55:L55" si="77">TRUE()</f>
        <v>1</v>
      </c>
      <c r="I55" s="8" t="b">
        <f t="shared" si="77"/>
        <v>1</v>
      </c>
      <c r="J55" s="8" t="b">
        <f t="shared" si="77"/>
        <v>1</v>
      </c>
      <c r="K55" s="8" t="b">
        <f t="shared" si="77"/>
        <v>1</v>
      </c>
      <c r="L55" s="8" t="b">
        <f t="shared" si="77"/>
        <v>1</v>
      </c>
      <c r="M55" s="8"/>
      <c r="N55" s="8"/>
      <c r="O55" s="8"/>
      <c r="P55" s="8"/>
    </row>
    <row r="56" ht="15.0" customHeight="1">
      <c r="A56" s="8" t="s">
        <v>801</v>
      </c>
      <c r="B56" s="8" t="s">
        <v>521</v>
      </c>
      <c r="C56" s="8" t="s">
        <v>554</v>
      </c>
      <c r="D56" s="8">
        <v>5.0</v>
      </c>
      <c r="E56" s="8" t="s">
        <v>167</v>
      </c>
      <c r="F56" s="8" t="b">
        <f t="shared" si="33"/>
        <v>0</v>
      </c>
      <c r="G56" s="8" t="b">
        <f t="shared" si="75"/>
        <v>0</v>
      </c>
      <c r="H56" s="8" t="b">
        <f t="shared" ref="H56:L56" si="78">TRUE()</f>
        <v>1</v>
      </c>
      <c r="I56" s="8" t="b">
        <f t="shared" si="78"/>
        <v>1</v>
      </c>
      <c r="J56" s="8" t="b">
        <f t="shared" si="78"/>
        <v>1</v>
      </c>
      <c r="K56" s="8" t="b">
        <f t="shared" si="78"/>
        <v>1</v>
      </c>
      <c r="L56" s="8" t="b">
        <f t="shared" si="78"/>
        <v>1</v>
      </c>
      <c r="M56" s="8"/>
      <c r="N56" s="8"/>
      <c r="O56" s="8"/>
      <c r="P56" s="8"/>
    </row>
    <row r="57" ht="15.0" customHeight="1">
      <c r="A57" s="8" t="s">
        <v>803</v>
      </c>
      <c r="B57" s="8" t="s">
        <v>797</v>
      </c>
      <c r="C57" s="8" t="s">
        <v>554</v>
      </c>
      <c r="D57" s="8">
        <v>5.0</v>
      </c>
      <c r="E57" s="8" t="s">
        <v>167</v>
      </c>
      <c r="F57" s="8" t="b">
        <f t="shared" si="33"/>
        <v>0</v>
      </c>
      <c r="G57" s="8" t="b">
        <f t="shared" si="75"/>
        <v>0</v>
      </c>
      <c r="H57" s="8" t="b">
        <f t="shared" ref="H57:L57" si="79">TRUE()</f>
        <v>1</v>
      </c>
      <c r="I57" s="8" t="b">
        <f t="shared" si="79"/>
        <v>1</v>
      </c>
      <c r="J57" s="8" t="b">
        <f t="shared" si="79"/>
        <v>1</v>
      </c>
      <c r="K57" s="8" t="b">
        <f t="shared" si="79"/>
        <v>1</v>
      </c>
      <c r="L57" s="8" t="b">
        <f t="shared" si="79"/>
        <v>1</v>
      </c>
      <c r="M57" s="8"/>
      <c r="N57" s="8"/>
      <c r="O57" s="8"/>
      <c r="P57" s="8"/>
    </row>
    <row r="58" ht="15.0" customHeight="1">
      <c r="A58" s="8" t="s">
        <v>806</v>
      </c>
      <c r="B58" s="8" t="s">
        <v>807</v>
      </c>
      <c r="C58" s="8" t="s">
        <v>554</v>
      </c>
      <c r="D58" s="8">
        <v>4.0</v>
      </c>
      <c r="E58" s="8" t="s">
        <v>167</v>
      </c>
      <c r="F58" s="8" t="b">
        <f t="shared" si="33"/>
        <v>0</v>
      </c>
      <c r="G58" s="8" t="b">
        <f t="shared" ref="G58:K58" si="80">TRUE()</f>
        <v>1</v>
      </c>
      <c r="H58" s="8" t="b">
        <f t="shared" si="80"/>
        <v>1</v>
      </c>
      <c r="I58" s="8" t="b">
        <f t="shared" si="80"/>
        <v>1</v>
      </c>
      <c r="J58" s="8" t="b">
        <f t="shared" si="80"/>
        <v>1</v>
      </c>
      <c r="K58" s="8" t="b">
        <f t="shared" si="80"/>
        <v>1</v>
      </c>
      <c r="L58" s="8" t="b">
        <f>FALSE()</f>
        <v>0</v>
      </c>
      <c r="M58" s="8"/>
      <c r="N58" s="8"/>
      <c r="O58" s="8"/>
      <c r="P58" s="8" t="s">
        <v>127</v>
      </c>
    </row>
    <row r="59" ht="15.0" customHeight="1">
      <c r="A59" s="8" t="s">
        <v>810</v>
      </c>
      <c r="B59" s="8" t="s">
        <v>811</v>
      </c>
      <c r="C59" s="8" t="s">
        <v>554</v>
      </c>
      <c r="D59" s="8">
        <v>5.0</v>
      </c>
      <c r="E59" s="8" t="s">
        <v>167</v>
      </c>
      <c r="F59" s="8" t="b">
        <f t="shared" si="33"/>
        <v>0</v>
      </c>
      <c r="G59" s="8" t="b">
        <f t="shared" ref="G59:G64" si="82">FALSE()</f>
        <v>0</v>
      </c>
      <c r="H59" s="8" t="b">
        <f t="shared" ref="H59:L59" si="81">TRUE()</f>
        <v>1</v>
      </c>
      <c r="I59" s="8" t="b">
        <f t="shared" si="81"/>
        <v>1</v>
      </c>
      <c r="J59" s="8" t="b">
        <f t="shared" si="81"/>
        <v>1</v>
      </c>
      <c r="K59" s="8" t="b">
        <f t="shared" si="81"/>
        <v>1</v>
      </c>
      <c r="L59" s="8" t="b">
        <f t="shared" si="81"/>
        <v>1</v>
      </c>
      <c r="M59" s="8"/>
      <c r="N59" s="8"/>
      <c r="O59" s="8"/>
      <c r="P59" s="8"/>
    </row>
    <row r="60" ht="15.0" customHeight="1">
      <c r="A60" s="8" t="s">
        <v>814</v>
      </c>
      <c r="B60" s="8" t="s">
        <v>815</v>
      </c>
      <c r="C60" s="8" t="s">
        <v>554</v>
      </c>
      <c r="D60" s="8">
        <v>5.0</v>
      </c>
      <c r="E60" s="8" t="s">
        <v>167</v>
      </c>
      <c r="F60" s="8" t="b">
        <f t="shared" si="33"/>
        <v>0</v>
      </c>
      <c r="G60" s="8" t="b">
        <f t="shared" si="82"/>
        <v>0</v>
      </c>
      <c r="H60" s="8" t="b">
        <f t="shared" ref="H60:L60" si="83">TRUE()</f>
        <v>1</v>
      </c>
      <c r="I60" s="8" t="b">
        <f t="shared" si="83"/>
        <v>1</v>
      </c>
      <c r="J60" s="8" t="b">
        <f t="shared" si="83"/>
        <v>1</v>
      </c>
      <c r="K60" s="8" t="b">
        <f t="shared" si="83"/>
        <v>1</v>
      </c>
      <c r="L60" s="8" t="b">
        <f t="shared" si="83"/>
        <v>1</v>
      </c>
      <c r="M60" s="8"/>
      <c r="N60" s="8"/>
      <c r="O60" s="8"/>
      <c r="P60" s="8"/>
    </row>
    <row r="61" ht="15.0" customHeight="1">
      <c r="A61" s="8" t="s">
        <v>816</v>
      </c>
      <c r="B61" s="8" t="s">
        <v>504</v>
      </c>
      <c r="C61" s="8" t="s">
        <v>554</v>
      </c>
      <c r="D61" s="8">
        <v>5.0</v>
      </c>
      <c r="E61" s="8" t="s">
        <v>167</v>
      </c>
      <c r="F61" s="8" t="b">
        <f t="shared" si="33"/>
        <v>0</v>
      </c>
      <c r="G61" s="8" t="b">
        <f t="shared" si="82"/>
        <v>0</v>
      </c>
      <c r="H61" s="8" t="b">
        <f t="shared" ref="H61:L61" si="84">TRUE()</f>
        <v>1</v>
      </c>
      <c r="I61" s="8" t="b">
        <f t="shared" si="84"/>
        <v>1</v>
      </c>
      <c r="J61" s="8" t="b">
        <f t="shared" si="84"/>
        <v>1</v>
      </c>
      <c r="K61" s="8" t="b">
        <f t="shared" si="84"/>
        <v>1</v>
      </c>
      <c r="L61" s="8" t="b">
        <f t="shared" si="84"/>
        <v>1</v>
      </c>
      <c r="M61" s="8"/>
      <c r="N61" s="8"/>
      <c r="O61" s="8"/>
      <c r="P61" s="8"/>
    </row>
    <row r="62" ht="15.0" customHeight="1">
      <c r="A62" s="8" t="s">
        <v>817</v>
      </c>
      <c r="B62" s="8" t="s">
        <v>564</v>
      </c>
      <c r="C62" s="8" t="s">
        <v>554</v>
      </c>
      <c r="D62" s="8">
        <v>5.0</v>
      </c>
      <c r="E62" s="8" t="s">
        <v>167</v>
      </c>
      <c r="F62" s="8" t="b">
        <f t="shared" si="33"/>
        <v>0</v>
      </c>
      <c r="G62" s="8" t="b">
        <f t="shared" si="82"/>
        <v>0</v>
      </c>
      <c r="H62" s="8" t="b">
        <f t="shared" ref="H62:L62" si="85">TRUE()</f>
        <v>1</v>
      </c>
      <c r="I62" s="8" t="b">
        <f t="shared" si="85"/>
        <v>1</v>
      </c>
      <c r="J62" s="8" t="b">
        <f t="shared" si="85"/>
        <v>1</v>
      </c>
      <c r="K62" s="8" t="b">
        <f t="shared" si="85"/>
        <v>1</v>
      </c>
      <c r="L62" s="8" t="b">
        <f t="shared" si="85"/>
        <v>1</v>
      </c>
      <c r="M62" s="8"/>
      <c r="N62" s="8"/>
      <c r="O62" s="8"/>
      <c r="P62" s="8"/>
    </row>
    <row r="63" ht="15.0" customHeight="1">
      <c r="A63" s="8" t="s">
        <v>818</v>
      </c>
      <c r="B63" s="8" t="s">
        <v>819</v>
      </c>
      <c r="C63" s="8" t="s">
        <v>554</v>
      </c>
      <c r="D63" s="8">
        <v>5.0</v>
      </c>
      <c r="E63" s="8" t="s">
        <v>167</v>
      </c>
      <c r="F63" s="8" t="b">
        <f t="shared" si="33"/>
        <v>0</v>
      </c>
      <c r="G63" s="8" t="b">
        <f t="shared" si="82"/>
        <v>0</v>
      </c>
      <c r="H63" s="8" t="b">
        <f t="shared" ref="H63:L63" si="86">TRUE()</f>
        <v>1</v>
      </c>
      <c r="I63" s="8" t="b">
        <f t="shared" si="86"/>
        <v>1</v>
      </c>
      <c r="J63" s="8" t="b">
        <f t="shared" si="86"/>
        <v>1</v>
      </c>
      <c r="K63" s="8" t="b">
        <f t="shared" si="86"/>
        <v>1</v>
      </c>
      <c r="L63" s="8" t="b">
        <f t="shared" si="86"/>
        <v>1</v>
      </c>
      <c r="M63" s="8"/>
      <c r="N63" s="8"/>
      <c r="O63" s="8"/>
      <c r="P63" s="8"/>
    </row>
    <row r="64" ht="15.0" customHeight="1">
      <c r="A64" s="8" t="s">
        <v>820</v>
      </c>
      <c r="B64" s="8" t="s">
        <v>821</v>
      </c>
      <c r="C64" s="8" t="s">
        <v>554</v>
      </c>
      <c r="D64" s="8">
        <v>5.0</v>
      </c>
      <c r="E64" s="8" t="s">
        <v>167</v>
      </c>
      <c r="F64" s="8" t="b">
        <f t="shared" si="33"/>
        <v>0</v>
      </c>
      <c r="G64" s="8" t="b">
        <f t="shared" si="82"/>
        <v>0</v>
      </c>
      <c r="H64" s="8" t="b">
        <f t="shared" ref="H64:L64" si="87">TRUE()</f>
        <v>1</v>
      </c>
      <c r="I64" s="8" t="b">
        <f t="shared" si="87"/>
        <v>1</v>
      </c>
      <c r="J64" s="8" t="b">
        <f t="shared" si="87"/>
        <v>1</v>
      </c>
      <c r="K64" s="8" t="b">
        <f t="shared" si="87"/>
        <v>1</v>
      </c>
      <c r="L64" s="8" t="b">
        <f t="shared" si="87"/>
        <v>1</v>
      </c>
      <c r="M64" s="8"/>
      <c r="N64" s="8"/>
      <c r="O64" s="8"/>
      <c r="P64" s="8"/>
    </row>
    <row r="65" ht="15.0" customHeight="1">
      <c r="A65" s="8" t="s">
        <v>825</v>
      </c>
      <c r="B65" s="8" t="s">
        <v>826</v>
      </c>
      <c r="C65" s="8" t="s">
        <v>554</v>
      </c>
      <c r="D65" s="8">
        <v>3.0</v>
      </c>
      <c r="E65" s="8" t="s">
        <v>167</v>
      </c>
      <c r="F65" s="8" t="b">
        <f t="shared" si="33"/>
        <v>0</v>
      </c>
      <c r="G65" s="8" t="b">
        <f>TRUE()</f>
        <v>1</v>
      </c>
      <c r="H65" s="8" t="b">
        <f>FALSE()</f>
        <v>0</v>
      </c>
      <c r="I65" s="8" t="b">
        <f t="shared" ref="I65:K65" si="88">TRUE()</f>
        <v>1</v>
      </c>
      <c r="J65" s="8" t="b">
        <f t="shared" si="88"/>
        <v>1</v>
      </c>
      <c r="K65" s="8" t="b">
        <f t="shared" si="88"/>
        <v>1</v>
      </c>
      <c r="L65" s="8" t="b">
        <f>FALSE()</f>
        <v>0</v>
      </c>
      <c r="M65" s="8" t="s">
        <v>833</v>
      </c>
      <c r="N65" s="8"/>
      <c r="O65" s="8"/>
      <c r="P65" s="8" t="s">
        <v>254</v>
      </c>
    </row>
    <row r="66" ht="15.0" customHeight="1">
      <c r="A66" s="8" t="s">
        <v>834</v>
      </c>
      <c r="B66" s="8" t="s">
        <v>587</v>
      </c>
      <c r="C66" s="8" t="s">
        <v>554</v>
      </c>
      <c r="D66" s="8">
        <v>5.0</v>
      </c>
      <c r="E66" s="8" t="s">
        <v>167</v>
      </c>
      <c r="F66" s="8" t="b">
        <f t="shared" si="33"/>
        <v>0</v>
      </c>
      <c r="G66" s="8" t="b">
        <f t="shared" ref="G66:G68" si="90">FALSE()</f>
        <v>0</v>
      </c>
      <c r="H66" s="8" t="b">
        <f t="shared" ref="H66:L66" si="89">TRUE()</f>
        <v>1</v>
      </c>
      <c r="I66" s="8" t="b">
        <f t="shared" si="89"/>
        <v>1</v>
      </c>
      <c r="J66" s="8" t="b">
        <f t="shared" si="89"/>
        <v>1</v>
      </c>
      <c r="K66" s="8" t="b">
        <f t="shared" si="89"/>
        <v>1</v>
      </c>
      <c r="L66" s="8" t="b">
        <f t="shared" si="89"/>
        <v>1</v>
      </c>
      <c r="M66" s="8"/>
      <c r="N66" s="8"/>
      <c r="O66" s="8"/>
      <c r="P66" s="8"/>
    </row>
    <row r="67" ht="15.0" customHeight="1">
      <c r="A67" s="8" t="s">
        <v>836</v>
      </c>
      <c r="B67" s="8" t="s">
        <v>837</v>
      </c>
      <c r="C67" s="8" t="s">
        <v>554</v>
      </c>
      <c r="D67" s="8">
        <v>5.0</v>
      </c>
      <c r="E67" s="8" t="s">
        <v>167</v>
      </c>
      <c r="F67" s="8" t="b">
        <f t="shared" si="33"/>
        <v>0</v>
      </c>
      <c r="G67" s="8" t="b">
        <f t="shared" si="90"/>
        <v>0</v>
      </c>
      <c r="H67" s="8" t="b">
        <f t="shared" ref="H67:L67" si="91">TRUE()</f>
        <v>1</v>
      </c>
      <c r="I67" s="8" t="b">
        <f t="shared" si="91"/>
        <v>1</v>
      </c>
      <c r="J67" s="8" t="b">
        <f t="shared" si="91"/>
        <v>1</v>
      </c>
      <c r="K67" s="8" t="b">
        <f t="shared" si="91"/>
        <v>1</v>
      </c>
      <c r="L67" s="8" t="b">
        <f t="shared" si="91"/>
        <v>1</v>
      </c>
      <c r="M67" s="8"/>
      <c r="N67" s="8"/>
      <c r="O67" s="8"/>
      <c r="P67" s="8"/>
    </row>
    <row r="68" ht="15.0" customHeight="1">
      <c r="A68" s="8" t="s">
        <v>838</v>
      </c>
      <c r="B68" s="8" t="s">
        <v>839</v>
      </c>
      <c r="C68" s="8" t="s">
        <v>554</v>
      </c>
      <c r="D68" s="8">
        <v>5.0</v>
      </c>
      <c r="E68" s="8" t="s">
        <v>167</v>
      </c>
      <c r="F68" s="8" t="b">
        <f t="shared" si="33"/>
        <v>0</v>
      </c>
      <c r="G68" s="8" t="b">
        <f t="shared" si="90"/>
        <v>0</v>
      </c>
      <c r="H68" s="8" t="b">
        <f t="shared" ref="H68:L68" si="92">TRUE()</f>
        <v>1</v>
      </c>
      <c r="I68" s="8" t="b">
        <f t="shared" si="92"/>
        <v>1</v>
      </c>
      <c r="J68" s="8" t="b">
        <f t="shared" si="92"/>
        <v>1</v>
      </c>
      <c r="K68" s="8" t="b">
        <f t="shared" si="92"/>
        <v>1</v>
      </c>
      <c r="L68" s="8" t="b">
        <f t="shared" si="92"/>
        <v>1</v>
      </c>
      <c r="M68" s="8"/>
      <c r="N68" s="8"/>
      <c r="O68" s="8"/>
      <c r="P68" s="8"/>
    </row>
    <row r="69" ht="15.0" customHeight="1">
      <c r="A69" s="8" t="s">
        <v>841</v>
      </c>
      <c r="B69" s="8" t="s">
        <v>842</v>
      </c>
      <c r="C69" s="8" t="s">
        <v>554</v>
      </c>
      <c r="D69" s="8">
        <v>4.0</v>
      </c>
      <c r="E69" s="8" t="s">
        <v>167</v>
      </c>
      <c r="F69" s="8" t="b">
        <f t="shared" si="33"/>
        <v>0</v>
      </c>
      <c r="G69" s="8" t="b">
        <f t="shared" ref="G69:K69" si="93">TRUE()</f>
        <v>1</v>
      </c>
      <c r="H69" s="8" t="b">
        <f t="shared" si="93"/>
        <v>1</v>
      </c>
      <c r="I69" s="8" t="b">
        <f t="shared" si="93"/>
        <v>1</v>
      </c>
      <c r="J69" s="8" t="b">
        <f t="shared" si="93"/>
        <v>1</v>
      </c>
      <c r="K69" s="8" t="b">
        <f t="shared" si="93"/>
        <v>1</v>
      </c>
      <c r="L69" s="8" t="b">
        <f>FALSE()</f>
        <v>0</v>
      </c>
      <c r="M69" s="8"/>
      <c r="N69" s="8"/>
      <c r="O69" s="8"/>
      <c r="P69" s="8" t="s">
        <v>127</v>
      </c>
    </row>
    <row r="70" ht="15.0" customHeight="1">
      <c r="A70" s="8" t="s">
        <v>843</v>
      </c>
      <c r="B70" s="8" t="s">
        <v>507</v>
      </c>
      <c r="C70" s="8" t="s">
        <v>554</v>
      </c>
      <c r="D70" s="8">
        <v>5.0</v>
      </c>
      <c r="E70" s="8" t="s">
        <v>167</v>
      </c>
      <c r="F70" s="8" t="b">
        <f t="shared" si="33"/>
        <v>0</v>
      </c>
      <c r="G70" s="8" t="b">
        <f t="shared" ref="G70:G71" si="95">FALSE()</f>
        <v>0</v>
      </c>
      <c r="H70" s="8" t="b">
        <f t="shared" ref="H70:L70" si="94">TRUE()</f>
        <v>1</v>
      </c>
      <c r="I70" s="8" t="b">
        <f t="shared" si="94"/>
        <v>1</v>
      </c>
      <c r="J70" s="8" t="b">
        <f t="shared" si="94"/>
        <v>1</v>
      </c>
      <c r="K70" s="8" t="b">
        <f t="shared" si="94"/>
        <v>1</v>
      </c>
      <c r="L70" s="8" t="b">
        <f t="shared" si="94"/>
        <v>1</v>
      </c>
      <c r="M70" s="8"/>
      <c r="N70" s="8"/>
      <c r="O70" s="8"/>
      <c r="P70" s="8"/>
    </row>
    <row r="71" ht="15.0" customHeight="1">
      <c r="A71" s="8" t="s">
        <v>844</v>
      </c>
      <c r="B71" s="8" t="s">
        <v>845</v>
      </c>
      <c r="C71" s="8" t="s">
        <v>554</v>
      </c>
      <c r="D71" s="8">
        <v>5.0</v>
      </c>
      <c r="E71" s="8" t="s">
        <v>167</v>
      </c>
      <c r="F71" s="8" t="b">
        <f t="shared" si="33"/>
        <v>0</v>
      </c>
      <c r="G71" s="8" t="b">
        <f t="shared" si="95"/>
        <v>0</v>
      </c>
      <c r="H71" s="8" t="b">
        <f t="shared" ref="H71:L71" si="96">TRUE()</f>
        <v>1</v>
      </c>
      <c r="I71" s="8" t="b">
        <f t="shared" si="96"/>
        <v>1</v>
      </c>
      <c r="J71" s="8" t="b">
        <f t="shared" si="96"/>
        <v>1</v>
      </c>
      <c r="K71" s="8" t="b">
        <f t="shared" si="96"/>
        <v>1</v>
      </c>
      <c r="L71" s="8" t="b">
        <f t="shared" si="96"/>
        <v>1</v>
      </c>
      <c r="M71" s="8"/>
      <c r="N71" s="8"/>
      <c r="O71" s="8"/>
      <c r="P71" s="8"/>
    </row>
    <row r="72" ht="15.0" customHeight="1">
      <c r="A72" s="8" t="s">
        <v>846</v>
      </c>
      <c r="B72" s="8" t="s">
        <v>847</v>
      </c>
      <c r="C72" s="8" t="s">
        <v>554</v>
      </c>
      <c r="D72" s="8">
        <v>4.0</v>
      </c>
      <c r="E72" s="8" t="s">
        <v>167</v>
      </c>
      <c r="F72" s="8" t="b">
        <f t="shared" si="33"/>
        <v>0</v>
      </c>
      <c r="G72" s="8" t="b">
        <f t="shared" ref="G72:K72" si="97">TRUE()</f>
        <v>1</v>
      </c>
      <c r="H72" s="8" t="b">
        <f t="shared" si="97"/>
        <v>1</v>
      </c>
      <c r="I72" s="8" t="b">
        <f t="shared" si="97"/>
        <v>1</v>
      </c>
      <c r="J72" s="8" t="b">
        <f t="shared" si="97"/>
        <v>1</v>
      </c>
      <c r="K72" s="8" t="b">
        <f t="shared" si="97"/>
        <v>1</v>
      </c>
      <c r="L72" s="8" t="b">
        <f t="shared" ref="L72:L73" si="99">FALSE()</f>
        <v>0</v>
      </c>
      <c r="M72" s="8"/>
      <c r="N72" s="8"/>
      <c r="O72" s="8"/>
      <c r="P72" s="8" t="s">
        <v>254</v>
      </c>
    </row>
    <row r="73" ht="15.0" customHeight="1">
      <c r="A73" s="8" t="s">
        <v>851</v>
      </c>
      <c r="B73" s="8" t="s">
        <v>852</v>
      </c>
      <c r="C73" s="8" t="s">
        <v>554</v>
      </c>
      <c r="D73" s="8">
        <v>3.0</v>
      </c>
      <c r="E73" s="8" t="s">
        <v>167</v>
      </c>
      <c r="F73" s="8" t="b">
        <f t="shared" si="33"/>
        <v>0</v>
      </c>
      <c r="G73" s="8" t="b">
        <f t="shared" ref="G73:I73" si="98">TRUE()</f>
        <v>1</v>
      </c>
      <c r="H73" s="8" t="b">
        <f t="shared" si="98"/>
        <v>1</v>
      </c>
      <c r="I73" s="8" t="b">
        <f t="shared" si="98"/>
        <v>1</v>
      </c>
      <c r="J73" s="8" t="b">
        <f>FALSE()</f>
        <v>0</v>
      </c>
      <c r="K73" s="8" t="b">
        <f>TRUE()</f>
        <v>1</v>
      </c>
      <c r="L73" s="8" t="b">
        <f t="shared" si="99"/>
        <v>0</v>
      </c>
      <c r="M73" s="8"/>
      <c r="N73" s="8"/>
      <c r="O73" s="8" t="s">
        <v>119</v>
      </c>
      <c r="P73" s="8" t="s">
        <v>154</v>
      </c>
    </row>
    <row r="74" ht="15.0" customHeight="1">
      <c r="A74" s="8" t="s">
        <v>853</v>
      </c>
      <c r="B74" s="8" t="s">
        <v>854</v>
      </c>
      <c r="C74" s="8" t="s">
        <v>554</v>
      </c>
      <c r="D74" s="8">
        <v>5.0</v>
      </c>
      <c r="E74" s="8" t="s">
        <v>167</v>
      </c>
      <c r="F74" s="8" t="b">
        <f t="shared" si="33"/>
        <v>0</v>
      </c>
      <c r="G74" s="8" t="b">
        <f t="shared" ref="G74:G81" si="101">FALSE()</f>
        <v>0</v>
      </c>
      <c r="H74" s="8" t="b">
        <f t="shared" ref="H74:L74" si="100">TRUE()</f>
        <v>1</v>
      </c>
      <c r="I74" s="8" t="b">
        <f t="shared" si="100"/>
        <v>1</v>
      </c>
      <c r="J74" s="8" t="b">
        <f t="shared" si="100"/>
        <v>1</v>
      </c>
      <c r="K74" s="8" t="b">
        <f t="shared" si="100"/>
        <v>1</v>
      </c>
      <c r="L74" s="8" t="b">
        <f t="shared" si="100"/>
        <v>1</v>
      </c>
      <c r="M74" s="8"/>
      <c r="N74" s="8"/>
      <c r="O74" s="8"/>
      <c r="P74" s="8"/>
    </row>
    <row r="75" ht="15.0" customHeight="1">
      <c r="A75" s="8" t="s">
        <v>857</v>
      </c>
      <c r="B75" s="8" t="s">
        <v>858</v>
      </c>
      <c r="C75" s="8" t="s">
        <v>554</v>
      </c>
      <c r="D75" s="8">
        <v>5.0</v>
      </c>
      <c r="E75" s="8" t="s">
        <v>167</v>
      </c>
      <c r="F75" s="8" t="b">
        <f t="shared" si="33"/>
        <v>0</v>
      </c>
      <c r="G75" s="8" t="b">
        <f t="shared" si="101"/>
        <v>0</v>
      </c>
      <c r="H75" s="8" t="b">
        <f t="shared" ref="H75:L75" si="102">TRUE()</f>
        <v>1</v>
      </c>
      <c r="I75" s="8" t="b">
        <f t="shared" si="102"/>
        <v>1</v>
      </c>
      <c r="J75" s="8" t="b">
        <f t="shared" si="102"/>
        <v>1</v>
      </c>
      <c r="K75" s="8" t="b">
        <f t="shared" si="102"/>
        <v>1</v>
      </c>
      <c r="L75" s="8" t="b">
        <f t="shared" si="102"/>
        <v>1</v>
      </c>
      <c r="M75" s="8"/>
      <c r="N75" s="8"/>
      <c r="O75" s="8"/>
      <c r="P75" s="8"/>
    </row>
    <row r="76" ht="15.0" customHeight="1">
      <c r="A76" s="8" t="s">
        <v>862</v>
      </c>
      <c r="B76" s="8" t="s">
        <v>863</v>
      </c>
      <c r="C76" s="8" t="s">
        <v>554</v>
      </c>
      <c r="D76" s="8">
        <v>5.0</v>
      </c>
      <c r="E76" s="8" t="s">
        <v>167</v>
      </c>
      <c r="F76" s="8" t="b">
        <f t="shared" si="33"/>
        <v>0</v>
      </c>
      <c r="G76" s="8" t="b">
        <f t="shared" si="101"/>
        <v>0</v>
      </c>
      <c r="H76" s="8" t="b">
        <f t="shared" ref="H76:L76" si="103">TRUE()</f>
        <v>1</v>
      </c>
      <c r="I76" s="8" t="b">
        <f t="shared" si="103"/>
        <v>1</v>
      </c>
      <c r="J76" s="8" t="b">
        <f t="shared" si="103"/>
        <v>1</v>
      </c>
      <c r="K76" s="8" t="b">
        <f t="shared" si="103"/>
        <v>1</v>
      </c>
      <c r="L76" s="8" t="b">
        <f t="shared" si="103"/>
        <v>1</v>
      </c>
      <c r="M76" s="8"/>
      <c r="N76" s="8"/>
      <c r="O76" s="8"/>
      <c r="P76" s="8"/>
    </row>
    <row r="77" ht="15.0" customHeight="1">
      <c r="A77" s="8" t="s">
        <v>866</v>
      </c>
      <c r="B77" s="8" t="s">
        <v>867</v>
      </c>
      <c r="C77" s="8" t="s">
        <v>554</v>
      </c>
      <c r="D77" s="8">
        <v>5.0</v>
      </c>
      <c r="E77" s="8" t="s">
        <v>167</v>
      </c>
      <c r="F77" s="8" t="b">
        <f t="shared" si="33"/>
        <v>0</v>
      </c>
      <c r="G77" s="8" t="b">
        <f t="shared" si="101"/>
        <v>0</v>
      </c>
      <c r="H77" s="8" t="b">
        <f t="shared" ref="H77:L77" si="104">TRUE()</f>
        <v>1</v>
      </c>
      <c r="I77" s="8" t="b">
        <f t="shared" si="104"/>
        <v>1</v>
      </c>
      <c r="J77" s="8" t="b">
        <f t="shared" si="104"/>
        <v>1</v>
      </c>
      <c r="K77" s="8" t="b">
        <f t="shared" si="104"/>
        <v>1</v>
      </c>
      <c r="L77" s="8" t="b">
        <f t="shared" si="104"/>
        <v>1</v>
      </c>
      <c r="M77" s="8"/>
      <c r="N77" s="8"/>
      <c r="O77" s="8"/>
      <c r="P77" s="8"/>
    </row>
    <row r="78" ht="15.0" customHeight="1">
      <c r="A78" s="8" t="s">
        <v>870</v>
      </c>
      <c r="B78" s="8" t="s">
        <v>569</v>
      </c>
      <c r="C78" s="8" t="s">
        <v>554</v>
      </c>
      <c r="D78" s="8">
        <v>5.0</v>
      </c>
      <c r="E78" s="8" t="s">
        <v>167</v>
      </c>
      <c r="F78" s="8" t="b">
        <f t="shared" si="33"/>
        <v>0</v>
      </c>
      <c r="G78" s="8" t="b">
        <f t="shared" si="101"/>
        <v>0</v>
      </c>
      <c r="H78" s="8" t="b">
        <f t="shared" ref="H78:L78" si="105">TRUE()</f>
        <v>1</v>
      </c>
      <c r="I78" s="8" t="b">
        <f t="shared" si="105"/>
        <v>1</v>
      </c>
      <c r="J78" s="8" t="b">
        <f t="shared" si="105"/>
        <v>1</v>
      </c>
      <c r="K78" s="8" t="b">
        <f t="shared" si="105"/>
        <v>1</v>
      </c>
      <c r="L78" s="8" t="b">
        <f t="shared" si="105"/>
        <v>1</v>
      </c>
      <c r="M78" s="8"/>
      <c r="N78" s="8"/>
      <c r="O78" s="8"/>
      <c r="P78" s="8"/>
    </row>
    <row r="79" ht="15.0" customHeight="1">
      <c r="A79" s="8" t="s">
        <v>872</v>
      </c>
      <c r="B79" s="8" t="s">
        <v>855</v>
      </c>
      <c r="C79" s="8" t="s">
        <v>554</v>
      </c>
      <c r="D79" s="8">
        <v>5.0</v>
      </c>
      <c r="E79" s="8" t="s">
        <v>167</v>
      </c>
      <c r="F79" s="8" t="b">
        <f t="shared" si="33"/>
        <v>0</v>
      </c>
      <c r="G79" s="8" t="b">
        <f t="shared" si="101"/>
        <v>0</v>
      </c>
      <c r="H79" s="8" t="b">
        <f t="shared" ref="H79:L79" si="106">TRUE()</f>
        <v>1</v>
      </c>
      <c r="I79" s="8" t="b">
        <f t="shared" si="106"/>
        <v>1</v>
      </c>
      <c r="J79" s="8" t="b">
        <f t="shared" si="106"/>
        <v>1</v>
      </c>
      <c r="K79" s="8" t="b">
        <f t="shared" si="106"/>
        <v>1</v>
      </c>
      <c r="L79" s="8" t="b">
        <f t="shared" si="106"/>
        <v>1</v>
      </c>
      <c r="M79" s="8"/>
      <c r="N79" s="8"/>
      <c r="O79" s="8"/>
      <c r="P79" s="8"/>
    </row>
    <row r="80" ht="15.0" customHeight="1">
      <c r="A80" s="8" t="s">
        <v>875</v>
      </c>
      <c r="B80" s="8" t="s">
        <v>830</v>
      </c>
      <c r="C80" s="8" t="s">
        <v>554</v>
      </c>
      <c r="D80" s="8">
        <v>5.0</v>
      </c>
      <c r="E80" s="8" t="s">
        <v>167</v>
      </c>
      <c r="F80" s="8" t="b">
        <f t="shared" si="33"/>
        <v>0</v>
      </c>
      <c r="G80" s="8" t="b">
        <f t="shared" si="101"/>
        <v>0</v>
      </c>
      <c r="H80" s="8" t="b">
        <f t="shared" ref="H80:L80" si="107">TRUE()</f>
        <v>1</v>
      </c>
      <c r="I80" s="8" t="b">
        <f t="shared" si="107"/>
        <v>1</v>
      </c>
      <c r="J80" s="8" t="b">
        <f t="shared" si="107"/>
        <v>1</v>
      </c>
      <c r="K80" s="8" t="b">
        <f t="shared" si="107"/>
        <v>1</v>
      </c>
      <c r="L80" s="8" t="b">
        <f t="shared" si="107"/>
        <v>1</v>
      </c>
      <c r="M80" s="8"/>
      <c r="N80" s="8"/>
      <c r="O80" s="8"/>
      <c r="P80" s="8"/>
    </row>
    <row r="81" ht="15.0" customHeight="1">
      <c r="A81" s="8" t="s">
        <v>877</v>
      </c>
      <c r="B81" s="8" t="s">
        <v>878</v>
      </c>
      <c r="C81" s="8" t="s">
        <v>554</v>
      </c>
      <c r="D81" s="8">
        <v>5.0</v>
      </c>
      <c r="E81" s="8" t="s">
        <v>167</v>
      </c>
      <c r="F81" s="8" t="b">
        <f t="shared" si="33"/>
        <v>0</v>
      </c>
      <c r="G81" s="8" t="b">
        <f t="shared" si="101"/>
        <v>0</v>
      </c>
      <c r="H81" s="8" t="b">
        <f t="shared" ref="H81:L81" si="108">TRUE()</f>
        <v>1</v>
      </c>
      <c r="I81" s="8" t="b">
        <f t="shared" si="108"/>
        <v>1</v>
      </c>
      <c r="J81" s="8" t="b">
        <f t="shared" si="108"/>
        <v>1</v>
      </c>
      <c r="K81" s="8" t="b">
        <f t="shared" si="108"/>
        <v>1</v>
      </c>
      <c r="L81" s="8" t="b">
        <f t="shared" si="108"/>
        <v>1</v>
      </c>
      <c r="M81" s="8"/>
      <c r="N81" s="8"/>
      <c r="O81" s="8"/>
      <c r="P81" s="8"/>
    </row>
    <row r="82" ht="15.0" customHeight="1">
      <c r="A82" s="8" t="s">
        <v>535</v>
      </c>
      <c r="B82" s="8" t="s">
        <v>536</v>
      </c>
      <c r="C82" s="8" t="s">
        <v>233</v>
      </c>
      <c r="D82" s="8">
        <v>2.0</v>
      </c>
      <c r="E82" s="8" t="s">
        <v>167</v>
      </c>
      <c r="F82" s="8" t="b">
        <f t="shared" si="33"/>
        <v>0</v>
      </c>
      <c r="G82" s="8" t="b">
        <f t="shared" ref="G82:G130" si="111">TRUE()</f>
        <v>1</v>
      </c>
      <c r="H82" s="8" t="b">
        <f t="shared" ref="H82:I82" si="109">FALSE()</f>
        <v>0</v>
      </c>
      <c r="I82" s="8" t="b">
        <f t="shared" si="109"/>
        <v>0</v>
      </c>
      <c r="J82" s="8" t="b">
        <f t="shared" ref="J82:K82" si="110">TRUE()</f>
        <v>1</v>
      </c>
      <c r="K82" s="8" t="b">
        <f t="shared" si="110"/>
        <v>1</v>
      </c>
      <c r="L82" s="8" t="b">
        <f>FALSE()</f>
        <v>0</v>
      </c>
      <c r="M82" s="8" t="s">
        <v>537</v>
      </c>
      <c r="N82" s="8" t="s">
        <v>87</v>
      </c>
      <c r="O82" s="8"/>
      <c r="P82" s="8" t="s">
        <v>127</v>
      </c>
    </row>
    <row r="83" ht="15.0" customHeight="1">
      <c r="A83" s="8" t="s">
        <v>543</v>
      </c>
      <c r="B83" s="8" t="s">
        <v>544</v>
      </c>
      <c r="C83" s="8" t="s">
        <v>233</v>
      </c>
      <c r="D83" s="8">
        <v>1.0</v>
      </c>
      <c r="E83" s="8" t="s">
        <v>167</v>
      </c>
      <c r="F83" s="8" t="b">
        <f t="shared" si="33"/>
        <v>0</v>
      </c>
      <c r="G83" s="8" t="b">
        <f t="shared" si="111"/>
        <v>1</v>
      </c>
      <c r="H83" s="8" t="b">
        <f t="shared" ref="H83:H84" si="113">FALSE()</f>
        <v>0</v>
      </c>
      <c r="I83" s="8" t="b">
        <f>TRUE()</f>
        <v>1</v>
      </c>
      <c r="J83" s="8" t="b">
        <f t="shared" ref="J83:L83" si="112">FALSE()</f>
        <v>0</v>
      </c>
      <c r="K83" s="8" t="b">
        <f t="shared" si="112"/>
        <v>0</v>
      </c>
      <c r="L83" s="8" t="b">
        <f t="shared" si="112"/>
        <v>0</v>
      </c>
      <c r="M83" s="8" t="s">
        <v>545</v>
      </c>
      <c r="N83" s="8"/>
      <c r="O83" s="8" t="s">
        <v>281</v>
      </c>
      <c r="P83" s="8" t="s">
        <v>215</v>
      </c>
    </row>
    <row r="84" ht="15.0" customHeight="1">
      <c r="A84" s="8" t="s">
        <v>571</v>
      </c>
      <c r="B84" s="8" t="s">
        <v>572</v>
      </c>
      <c r="C84" s="8" t="s">
        <v>233</v>
      </c>
      <c r="D84" s="8">
        <v>2.0</v>
      </c>
      <c r="E84" s="8" t="s">
        <v>167</v>
      </c>
      <c r="F84" s="8" t="b">
        <f t="shared" si="33"/>
        <v>0</v>
      </c>
      <c r="G84" s="8" t="b">
        <f t="shared" si="111"/>
        <v>1</v>
      </c>
      <c r="H84" s="8" t="b">
        <f t="shared" si="113"/>
        <v>0</v>
      </c>
      <c r="I84" s="8" t="b">
        <f>FALSE()</f>
        <v>0</v>
      </c>
      <c r="J84" s="8" t="b">
        <f t="shared" ref="J84:K84" si="114">TRUE()</f>
        <v>1</v>
      </c>
      <c r="K84" s="8" t="b">
        <f t="shared" si="114"/>
        <v>1</v>
      </c>
      <c r="L84" s="8" t="b">
        <f>FALSE()</f>
        <v>0</v>
      </c>
      <c r="M84" s="8" t="s">
        <v>573</v>
      </c>
      <c r="N84" s="8" t="s">
        <v>355</v>
      </c>
      <c r="O84" s="8"/>
      <c r="P84" s="8" t="s">
        <v>127</v>
      </c>
    </row>
    <row r="85" ht="15.0" customHeight="1">
      <c r="A85" s="8" t="s">
        <v>584</v>
      </c>
      <c r="B85" s="8" t="s">
        <v>585</v>
      </c>
      <c r="C85" s="8" t="s">
        <v>233</v>
      </c>
      <c r="D85" s="8">
        <v>2.0</v>
      </c>
      <c r="E85" s="8" t="s">
        <v>167</v>
      </c>
      <c r="F85" s="8" t="b">
        <f t="shared" si="33"/>
        <v>0</v>
      </c>
      <c r="G85" s="8" t="b">
        <f t="shared" si="111"/>
        <v>1</v>
      </c>
      <c r="H85" s="8" t="b">
        <f t="shared" ref="H85:I85" si="115">TRUE()</f>
        <v>1</v>
      </c>
      <c r="I85" s="8" t="b">
        <f t="shared" si="115"/>
        <v>1</v>
      </c>
      <c r="J85" s="8" t="b">
        <f t="shared" ref="J85:L85" si="116">FALSE()</f>
        <v>0</v>
      </c>
      <c r="K85" s="8" t="b">
        <f t="shared" si="116"/>
        <v>0</v>
      </c>
      <c r="L85" s="8" t="b">
        <f t="shared" si="116"/>
        <v>0</v>
      </c>
      <c r="M85" s="8"/>
      <c r="N85" s="8"/>
      <c r="O85" s="8" t="s">
        <v>119</v>
      </c>
      <c r="P85" s="8" t="s">
        <v>154</v>
      </c>
    </row>
    <row r="86" ht="15.0" customHeight="1">
      <c r="A86" s="8" t="s">
        <v>595</v>
      </c>
      <c r="B86" s="8" t="s">
        <v>477</v>
      </c>
      <c r="C86" s="8" t="s">
        <v>233</v>
      </c>
      <c r="D86" s="8">
        <v>1.0</v>
      </c>
      <c r="E86" s="8" t="s">
        <v>167</v>
      </c>
      <c r="F86" s="8" t="b">
        <f t="shared" si="33"/>
        <v>0</v>
      </c>
      <c r="G86" s="8" t="b">
        <f t="shared" si="111"/>
        <v>1</v>
      </c>
      <c r="H86" s="8" t="b">
        <f t="shared" ref="H86:H88" si="118">FALSE()</f>
        <v>0</v>
      </c>
      <c r="I86" s="8" t="b">
        <f>TRUE()</f>
        <v>1</v>
      </c>
      <c r="J86" s="8" t="b">
        <f t="shared" ref="J86:L86" si="117">FALSE()</f>
        <v>0</v>
      </c>
      <c r="K86" s="8" t="b">
        <f t="shared" si="117"/>
        <v>0</v>
      </c>
      <c r="L86" s="8" t="b">
        <f t="shared" si="117"/>
        <v>0</v>
      </c>
      <c r="M86" s="8" t="s">
        <v>596</v>
      </c>
      <c r="N86" s="8"/>
      <c r="O86" s="8" t="s">
        <v>119</v>
      </c>
      <c r="P86" s="8" t="s">
        <v>154</v>
      </c>
    </row>
    <row r="87" ht="15.0" customHeight="1">
      <c r="A87" s="8" t="s">
        <v>602</v>
      </c>
      <c r="B87" s="8" t="s">
        <v>603</v>
      </c>
      <c r="C87" s="8" t="s">
        <v>233</v>
      </c>
      <c r="D87" s="8">
        <v>1.0</v>
      </c>
      <c r="E87" s="8" t="s">
        <v>167</v>
      </c>
      <c r="F87" s="8" t="b">
        <f t="shared" si="33"/>
        <v>0</v>
      </c>
      <c r="G87" s="8" t="b">
        <f t="shared" si="111"/>
        <v>1</v>
      </c>
      <c r="H87" s="8" t="b">
        <f t="shared" si="118"/>
        <v>0</v>
      </c>
      <c r="I87" s="8" t="b">
        <f t="shared" ref="I87:J87" si="119">FALSE()</f>
        <v>0</v>
      </c>
      <c r="J87" s="8" t="b">
        <f t="shared" si="119"/>
        <v>0</v>
      </c>
      <c r="K87" s="8" t="b">
        <f>TRUE()</f>
        <v>1</v>
      </c>
      <c r="L87" s="8" t="b">
        <f>FALSE()</f>
        <v>0</v>
      </c>
      <c r="M87" s="8" t="s">
        <v>604</v>
      </c>
      <c r="N87" s="8" t="s">
        <v>71</v>
      </c>
      <c r="O87" s="8" t="s">
        <v>265</v>
      </c>
      <c r="P87" s="8" t="s">
        <v>127</v>
      </c>
    </row>
    <row r="88" ht="15.0" customHeight="1">
      <c r="A88" s="8" t="s">
        <v>614</v>
      </c>
      <c r="B88" s="8" t="s">
        <v>615</v>
      </c>
      <c r="C88" s="8" t="s">
        <v>233</v>
      </c>
      <c r="D88" s="8">
        <v>1.0</v>
      </c>
      <c r="E88" s="8" t="s">
        <v>167</v>
      </c>
      <c r="F88" s="8" t="b">
        <f t="shared" si="33"/>
        <v>0</v>
      </c>
      <c r="G88" s="8" t="b">
        <f t="shared" si="111"/>
        <v>1</v>
      </c>
      <c r="H88" s="8" t="b">
        <f t="shared" si="118"/>
        <v>0</v>
      </c>
      <c r="I88" s="8" t="b">
        <f>TRUE()</f>
        <v>1</v>
      </c>
      <c r="J88" s="8" t="b">
        <f t="shared" ref="J88:L88" si="120">FALSE()</f>
        <v>0</v>
      </c>
      <c r="K88" s="8" t="b">
        <f t="shared" si="120"/>
        <v>0</v>
      </c>
      <c r="L88" s="8" t="b">
        <f t="shared" si="120"/>
        <v>0</v>
      </c>
      <c r="M88" s="8" t="s">
        <v>616</v>
      </c>
      <c r="N88" s="8"/>
      <c r="O88" s="8" t="s">
        <v>119</v>
      </c>
      <c r="P88" s="8" t="s">
        <v>127</v>
      </c>
    </row>
    <row r="89" ht="15.0" customHeight="1">
      <c r="A89" s="8" t="s">
        <v>622</v>
      </c>
      <c r="B89" s="8" t="s">
        <v>623</v>
      </c>
      <c r="C89" s="8" t="s">
        <v>233</v>
      </c>
      <c r="D89" s="8">
        <v>2.0</v>
      </c>
      <c r="E89" s="8" t="s">
        <v>167</v>
      </c>
      <c r="F89" s="8" t="b">
        <f t="shared" si="33"/>
        <v>0</v>
      </c>
      <c r="G89" s="8" t="b">
        <f t="shared" si="111"/>
        <v>1</v>
      </c>
      <c r="H89" s="8" t="b">
        <f t="shared" ref="H89:I89" si="121">TRUE()</f>
        <v>1</v>
      </c>
      <c r="I89" s="8" t="b">
        <f t="shared" si="121"/>
        <v>1</v>
      </c>
      <c r="J89" s="8" t="b">
        <f t="shared" ref="J89:L89" si="122">FALSE()</f>
        <v>0</v>
      </c>
      <c r="K89" s="8" t="b">
        <f t="shared" si="122"/>
        <v>0</v>
      </c>
      <c r="L89" s="8" t="b">
        <f t="shared" si="122"/>
        <v>0</v>
      </c>
      <c r="M89" s="8"/>
      <c r="N89" s="8"/>
      <c r="O89" s="8" t="s">
        <v>119</v>
      </c>
      <c r="P89" s="8" t="s">
        <v>154</v>
      </c>
    </row>
    <row r="90" ht="15.0" customHeight="1">
      <c r="A90" s="8" t="s">
        <v>625</v>
      </c>
      <c r="B90" s="8" t="s">
        <v>626</v>
      </c>
      <c r="C90" s="8" t="s">
        <v>233</v>
      </c>
      <c r="D90" s="8">
        <v>2.0</v>
      </c>
      <c r="E90" s="8" t="s">
        <v>167</v>
      </c>
      <c r="F90" s="8" t="b">
        <f t="shared" si="33"/>
        <v>0</v>
      </c>
      <c r="G90" s="8" t="b">
        <f t="shared" si="111"/>
        <v>1</v>
      </c>
      <c r="H90" s="8" t="b">
        <f t="shared" ref="H90:I90" si="123">TRUE()</f>
        <v>1</v>
      </c>
      <c r="I90" s="8" t="b">
        <f t="shared" si="123"/>
        <v>1</v>
      </c>
      <c r="J90" s="8" t="b">
        <f t="shared" ref="J90:L90" si="124">FALSE()</f>
        <v>0</v>
      </c>
      <c r="K90" s="8" t="b">
        <f t="shared" si="124"/>
        <v>0</v>
      </c>
      <c r="L90" s="8" t="b">
        <f t="shared" si="124"/>
        <v>0</v>
      </c>
      <c r="M90" s="8"/>
      <c r="N90" s="8"/>
      <c r="O90" s="8" t="s">
        <v>56</v>
      </c>
      <c r="P90" s="8" t="s">
        <v>297</v>
      </c>
    </row>
    <row r="91" ht="15.0" customHeight="1">
      <c r="A91" s="8" t="s">
        <v>633</v>
      </c>
      <c r="B91" s="8" t="s">
        <v>634</v>
      </c>
      <c r="C91" s="8" t="s">
        <v>233</v>
      </c>
      <c r="D91" s="8">
        <v>1.0</v>
      </c>
      <c r="E91" s="8" t="s">
        <v>167</v>
      </c>
      <c r="F91" s="8" t="b">
        <f t="shared" si="33"/>
        <v>0</v>
      </c>
      <c r="G91" s="8" t="b">
        <f t="shared" si="111"/>
        <v>1</v>
      </c>
      <c r="H91" s="8" t="b">
        <f t="shared" ref="H91:J91" si="125">FALSE()</f>
        <v>0</v>
      </c>
      <c r="I91" s="8" t="b">
        <f t="shared" si="125"/>
        <v>0</v>
      </c>
      <c r="J91" s="8" t="b">
        <f t="shared" si="125"/>
        <v>0</v>
      </c>
      <c r="K91" s="8" t="b">
        <f t="shared" ref="K91:K92" si="126">TRUE()</f>
        <v>1</v>
      </c>
      <c r="L91" s="8" t="b">
        <f t="shared" ref="L91:L92" si="127">FALSE()</f>
        <v>0</v>
      </c>
      <c r="M91" s="8" t="s">
        <v>635</v>
      </c>
      <c r="N91" s="8" t="s">
        <v>87</v>
      </c>
      <c r="O91" s="8" t="s">
        <v>56</v>
      </c>
      <c r="P91" s="8" t="s">
        <v>74</v>
      </c>
    </row>
    <row r="92" ht="15.0" customHeight="1">
      <c r="A92" s="8" t="s">
        <v>647</v>
      </c>
      <c r="B92" s="8" t="s">
        <v>648</v>
      </c>
      <c r="C92" s="8" t="s">
        <v>233</v>
      </c>
      <c r="D92" s="8">
        <v>2.0</v>
      </c>
      <c r="E92" s="8" t="s">
        <v>167</v>
      </c>
      <c r="F92" s="8" t="b">
        <f t="shared" si="33"/>
        <v>0</v>
      </c>
      <c r="G92" s="8" t="b">
        <f t="shared" si="111"/>
        <v>1</v>
      </c>
      <c r="H92" s="8" t="b">
        <f>FALSE()</f>
        <v>0</v>
      </c>
      <c r="I92" s="8" t="b">
        <f>TRUE()</f>
        <v>1</v>
      </c>
      <c r="J92" s="8" t="b">
        <f t="shared" ref="J92:J93" si="129">FALSE()</f>
        <v>0</v>
      </c>
      <c r="K92" s="8" t="b">
        <f t="shared" si="126"/>
        <v>1</v>
      </c>
      <c r="L92" s="8" t="b">
        <f t="shared" si="127"/>
        <v>0</v>
      </c>
      <c r="M92" s="8" t="s">
        <v>649</v>
      </c>
      <c r="N92" s="8"/>
      <c r="O92" s="8" t="s">
        <v>119</v>
      </c>
      <c r="P92" s="8" t="s">
        <v>127</v>
      </c>
    </row>
    <row r="93" ht="15.0" customHeight="1">
      <c r="A93" s="8" t="s">
        <v>666</v>
      </c>
      <c r="B93" s="8" t="s">
        <v>480</v>
      </c>
      <c r="C93" s="8" t="s">
        <v>233</v>
      </c>
      <c r="D93" s="8">
        <v>2.0</v>
      </c>
      <c r="E93" s="8" t="s">
        <v>167</v>
      </c>
      <c r="F93" s="8" t="b">
        <f t="shared" si="33"/>
        <v>0</v>
      </c>
      <c r="G93" s="8" t="b">
        <f t="shared" si="111"/>
        <v>1</v>
      </c>
      <c r="H93" s="8" t="b">
        <f t="shared" ref="H93:I93" si="128">TRUE()</f>
        <v>1</v>
      </c>
      <c r="I93" s="8" t="b">
        <f t="shared" si="128"/>
        <v>1</v>
      </c>
      <c r="J93" s="8" t="b">
        <f t="shared" si="129"/>
        <v>0</v>
      </c>
      <c r="K93" s="8" t="b">
        <f t="shared" ref="K93:L93" si="130">FALSE()</f>
        <v>0</v>
      </c>
      <c r="L93" s="8" t="b">
        <f t="shared" si="130"/>
        <v>0</v>
      </c>
      <c r="M93" s="8"/>
      <c r="N93" s="8"/>
      <c r="O93" s="8" t="s">
        <v>119</v>
      </c>
      <c r="P93" s="8" t="s">
        <v>154</v>
      </c>
    </row>
    <row r="94" ht="15.0" customHeight="1">
      <c r="A94" s="8" t="s">
        <v>704</v>
      </c>
      <c r="B94" s="8" t="s">
        <v>705</v>
      </c>
      <c r="C94" s="8" t="s">
        <v>233</v>
      </c>
      <c r="D94" s="8">
        <v>2.0</v>
      </c>
      <c r="E94" s="8" t="s">
        <v>167</v>
      </c>
      <c r="F94" s="8" t="b">
        <f t="shared" si="33"/>
        <v>0</v>
      </c>
      <c r="G94" s="8" t="b">
        <f t="shared" si="111"/>
        <v>1</v>
      </c>
      <c r="H94" s="8" t="b">
        <f t="shared" ref="H94:I94" si="131">FALSE()</f>
        <v>0</v>
      </c>
      <c r="I94" s="8" t="b">
        <f t="shared" si="131"/>
        <v>0</v>
      </c>
      <c r="J94" s="8" t="b">
        <f t="shared" ref="J94:K94" si="132">TRUE()</f>
        <v>1</v>
      </c>
      <c r="K94" s="8" t="b">
        <f t="shared" si="132"/>
        <v>1</v>
      </c>
      <c r="L94" s="8" t="b">
        <f>FALSE()</f>
        <v>0</v>
      </c>
      <c r="M94" s="8" t="s">
        <v>706</v>
      </c>
      <c r="N94" s="8" t="s">
        <v>87</v>
      </c>
      <c r="O94" s="8"/>
      <c r="P94" s="8" t="s">
        <v>267</v>
      </c>
    </row>
    <row r="95" ht="15.0" customHeight="1">
      <c r="A95" s="8" t="s">
        <v>708</v>
      </c>
      <c r="B95" s="8" t="s">
        <v>709</v>
      </c>
      <c r="C95" s="8" t="s">
        <v>233</v>
      </c>
      <c r="D95" s="8">
        <v>2.0</v>
      </c>
      <c r="E95" s="8" t="s">
        <v>167</v>
      </c>
      <c r="F95" s="8" t="b">
        <f t="shared" si="33"/>
        <v>0</v>
      </c>
      <c r="G95" s="8" t="b">
        <f t="shared" si="111"/>
        <v>1</v>
      </c>
      <c r="H95" s="8" t="b">
        <f t="shared" ref="H95:I95" si="133">TRUE()</f>
        <v>1</v>
      </c>
      <c r="I95" s="8" t="b">
        <f t="shared" si="133"/>
        <v>1</v>
      </c>
      <c r="J95" s="8" t="b">
        <f t="shared" ref="J95:L95" si="134">FALSE()</f>
        <v>0</v>
      </c>
      <c r="K95" s="8" t="b">
        <f t="shared" si="134"/>
        <v>0</v>
      </c>
      <c r="L95" s="8" t="b">
        <f t="shared" si="134"/>
        <v>0</v>
      </c>
      <c r="M95" s="8"/>
      <c r="N95" s="8"/>
      <c r="O95" s="8" t="s">
        <v>119</v>
      </c>
      <c r="P95" s="8" t="s">
        <v>297</v>
      </c>
    </row>
    <row r="96" ht="15.0" customHeight="1">
      <c r="A96" s="8" t="s">
        <v>727</v>
      </c>
      <c r="B96" s="8" t="s">
        <v>728</v>
      </c>
      <c r="C96" s="8" t="s">
        <v>233</v>
      </c>
      <c r="D96" s="8">
        <v>1.0</v>
      </c>
      <c r="E96" s="8" t="s">
        <v>167</v>
      </c>
      <c r="F96" s="8" t="b">
        <f t="shared" si="33"/>
        <v>0</v>
      </c>
      <c r="G96" s="8" t="b">
        <f t="shared" si="111"/>
        <v>1</v>
      </c>
      <c r="H96" s="8" t="b">
        <f>FALSE()</f>
        <v>0</v>
      </c>
      <c r="I96" s="8" t="b">
        <f>TRUE()</f>
        <v>1</v>
      </c>
      <c r="J96" s="8" t="b">
        <f t="shared" ref="J96:L96" si="135">FALSE()</f>
        <v>0</v>
      </c>
      <c r="K96" s="8" t="b">
        <f t="shared" si="135"/>
        <v>0</v>
      </c>
      <c r="L96" s="8" t="b">
        <f t="shared" si="135"/>
        <v>0</v>
      </c>
      <c r="M96" s="8" t="s">
        <v>729</v>
      </c>
      <c r="N96" s="8"/>
      <c r="O96" s="8" t="s">
        <v>119</v>
      </c>
      <c r="P96" s="8" t="s">
        <v>127</v>
      </c>
    </row>
    <row r="97" ht="15.0" customHeight="1">
      <c r="A97" s="8" t="s">
        <v>756</v>
      </c>
      <c r="B97" s="8" t="s">
        <v>487</v>
      </c>
      <c r="C97" s="8" t="s">
        <v>233</v>
      </c>
      <c r="D97" s="8">
        <v>2.0</v>
      </c>
      <c r="E97" s="8" t="s">
        <v>167</v>
      </c>
      <c r="F97" s="8" t="b">
        <f t="shared" si="33"/>
        <v>0</v>
      </c>
      <c r="G97" s="8" t="b">
        <f t="shared" si="111"/>
        <v>1</v>
      </c>
      <c r="H97" s="8" t="b">
        <f t="shared" ref="H97:I97" si="136">TRUE()</f>
        <v>1</v>
      </c>
      <c r="I97" s="8" t="b">
        <f t="shared" si="136"/>
        <v>1</v>
      </c>
      <c r="J97" s="8" t="b">
        <f t="shared" ref="J97:L97" si="137">FALSE()</f>
        <v>0</v>
      </c>
      <c r="K97" s="8" t="b">
        <f t="shared" si="137"/>
        <v>0</v>
      </c>
      <c r="L97" s="8" t="b">
        <f t="shared" si="137"/>
        <v>0</v>
      </c>
      <c r="M97" s="8"/>
      <c r="N97" s="8"/>
      <c r="O97" s="8" t="s">
        <v>119</v>
      </c>
      <c r="P97" s="8" t="s">
        <v>154</v>
      </c>
    </row>
    <row r="98" ht="15.0" customHeight="1">
      <c r="A98" s="8" t="s">
        <v>768</v>
      </c>
      <c r="B98" s="8" t="s">
        <v>770</v>
      </c>
      <c r="C98" s="8" t="s">
        <v>233</v>
      </c>
      <c r="D98" s="8">
        <v>2.0</v>
      </c>
      <c r="E98" s="8" t="s">
        <v>167</v>
      </c>
      <c r="F98" s="8" t="b">
        <f t="shared" si="33"/>
        <v>0</v>
      </c>
      <c r="G98" s="8" t="b">
        <f t="shared" si="111"/>
        <v>1</v>
      </c>
      <c r="H98" s="8" t="b">
        <f t="shared" ref="H98:I98" si="138">FALSE()</f>
        <v>0</v>
      </c>
      <c r="I98" s="8" t="b">
        <f t="shared" si="138"/>
        <v>0</v>
      </c>
      <c r="J98" s="8" t="b">
        <f t="shared" ref="J98:K98" si="139">TRUE()</f>
        <v>1</v>
      </c>
      <c r="K98" s="8" t="b">
        <f t="shared" si="139"/>
        <v>1</v>
      </c>
      <c r="L98" s="8" t="b">
        <f>FALSE()</f>
        <v>0</v>
      </c>
      <c r="M98" s="8" t="s">
        <v>771</v>
      </c>
      <c r="N98" s="8" t="s">
        <v>87</v>
      </c>
      <c r="O98" s="8"/>
      <c r="P98" s="8" t="s">
        <v>74</v>
      </c>
    </row>
    <row r="99" ht="15.0" customHeight="1">
      <c r="A99" s="8" t="s">
        <v>781</v>
      </c>
      <c r="B99" s="8" t="s">
        <v>750</v>
      </c>
      <c r="C99" s="8" t="s">
        <v>233</v>
      </c>
      <c r="D99" s="8">
        <v>2.0</v>
      </c>
      <c r="E99" s="8" t="s">
        <v>167</v>
      </c>
      <c r="F99" s="8" t="b">
        <f t="shared" si="33"/>
        <v>0</v>
      </c>
      <c r="G99" s="8" t="b">
        <f t="shared" si="111"/>
        <v>1</v>
      </c>
      <c r="H99" s="8" t="b">
        <f t="shared" ref="H99:I99" si="140">TRUE()</f>
        <v>1</v>
      </c>
      <c r="I99" s="8" t="b">
        <f t="shared" si="140"/>
        <v>1</v>
      </c>
      <c r="J99" s="8" t="b">
        <f t="shared" ref="J99:L99" si="141">FALSE()</f>
        <v>0</v>
      </c>
      <c r="K99" s="8" t="b">
        <f t="shared" si="141"/>
        <v>0</v>
      </c>
      <c r="L99" s="8" t="b">
        <f t="shared" si="141"/>
        <v>0</v>
      </c>
      <c r="M99" s="8"/>
      <c r="N99" s="8"/>
      <c r="O99" s="8" t="s">
        <v>56</v>
      </c>
      <c r="P99" s="8" t="s">
        <v>154</v>
      </c>
    </row>
    <row r="100" ht="15.0" customHeight="1">
      <c r="A100" s="8" t="s">
        <v>848</v>
      </c>
      <c r="B100" s="8" t="s">
        <v>849</v>
      </c>
      <c r="C100" s="8" t="s">
        <v>233</v>
      </c>
      <c r="D100" s="8">
        <v>1.0</v>
      </c>
      <c r="E100" s="8" t="s">
        <v>167</v>
      </c>
      <c r="F100" s="8" t="b">
        <f t="shared" si="33"/>
        <v>0</v>
      </c>
      <c r="G100" s="8" t="b">
        <f t="shared" si="111"/>
        <v>1</v>
      </c>
      <c r="H100" s="8" t="b">
        <f>FALSE()</f>
        <v>0</v>
      </c>
      <c r="I100" s="8" t="b">
        <f>TRUE()</f>
        <v>1</v>
      </c>
      <c r="J100" s="8" t="b">
        <f t="shared" ref="J100:L100" si="142">FALSE()</f>
        <v>0</v>
      </c>
      <c r="K100" s="8" t="b">
        <f t="shared" si="142"/>
        <v>0</v>
      </c>
      <c r="L100" s="8" t="b">
        <f t="shared" si="142"/>
        <v>0</v>
      </c>
      <c r="M100" s="8" t="s">
        <v>850</v>
      </c>
      <c r="N100" s="8"/>
      <c r="O100" s="8" t="s">
        <v>119</v>
      </c>
      <c r="P100" s="8" t="s">
        <v>127</v>
      </c>
    </row>
    <row r="101" ht="15.0" customHeight="1">
      <c r="A101" s="8" t="s">
        <v>879</v>
      </c>
      <c r="B101" s="8" t="s">
        <v>577</v>
      </c>
      <c r="C101" s="8" t="s">
        <v>233</v>
      </c>
      <c r="D101" s="8">
        <v>2.0</v>
      </c>
      <c r="E101" s="8" t="s">
        <v>167</v>
      </c>
      <c r="F101" s="8" t="b">
        <f t="shared" si="33"/>
        <v>0</v>
      </c>
      <c r="G101" s="8" t="b">
        <f t="shared" si="111"/>
        <v>1</v>
      </c>
      <c r="H101" s="8" t="b">
        <f t="shared" ref="H101:I101" si="143">TRUE()</f>
        <v>1</v>
      </c>
      <c r="I101" s="8" t="b">
        <f t="shared" si="143"/>
        <v>1</v>
      </c>
      <c r="J101" s="8" t="b">
        <f t="shared" ref="J101:L101" si="144">FALSE()</f>
        <v>0</v>
      </c>
      <c r="K101" s="8" t="b">
        <f t="shared" si="144"/>
        <v>0</v>
      </c>
      <c r="L101" s="8" t="b">
        <f t="shared" si="144"/>
        <v>0</v>
      </c>
      <c r="M101" s="8"/>
      <c r="N101" s="8"/>
      <c r="O101" s="8" t="s">
        <v>119</v>
      </c>
      <c r="P101" s="8" t="s">
        <v>154</v>
      </c>
    </row>
    <row r="102" ht="15.0" customHeight="1">
      <c r="A102" s="8" t="s">
        <v>880</v>
      </c>
      <c r="B102" s="8" t="s">
        <v>881</v>
      </c>
      <c r="C102" s="8" t="s">
        <v>233</v>
      </c>
      <c r="D102" s="8">
        <v>2.0</v>
      </c>
      <c r="E102" s="8" t="s">
        <v>167</v>
      </c>
      <c r="F102" s="8" t="b">
        <f t="shared" si="33"/>
        <v>0</v>
      </c>
      <c r="G102" s="8" t="b">
        <f t="shared" si="111"/>
        <v>1</v>
      </c>
      <c r="H102" s="8" t="b">
        <f t="shared" ref="H102:I102" si="145">TRUE()</f>
        <v>1</v>
      </c>
      <c r="I102" s="8" t="b">
        <f t="shared" si="145"/>
        <v>1</v>
      </c>
      <c r="J102" s="8" t="b">
        <f t="shared" ref="J102:L102" si="146">FALSE()</f>
        <v>0</v>
      </c>
      <c r="K102" s="8" t="b">
        <f t="shared" si="146"/>
        <v>0</v>
      </c>
      <c r="L102" s="8" t="b">
        <f t="shared" si="146"/>
        <v>0</v>
      </c>
      <c r="M102" s="8"/>
      <c r="N102" s="8"/>
      <c r="O102" s="8" t="s">
        <v>119</v>
      </c>
      <c r="P102" s="8" t="s">
        <v>154</v>
      </c>
    </row>
    <row r="103" ht="15.0" customHeight="1">
      <c r="A103" s="8" t="s">
        <v>898</v>
      </c>
      <c r="B103" s="8" t="s">
        <v>495</v>
      </c>
      <c r="C103" s="8" t="s">
        <v>233</v>
      </c>
      <c r="D103" s="8">
        <v>2.0</v>
      </c>
      <c r="E103" s="8" t="s">
        <v>167</v>
      </c>
      <c r="F103" s="8" t="b">
        <f t="shared" si="33"/>
        <v>0</v>
      </c>
      <c r="G103" s="8" t="b">
        <f t="shared" si="111"/>
        <v>1</v>
      </c>
      <c r="H103" s="8" t="b">
        <f t="shared" ref="H103:H104" si="147">FALSE()</f>
        <v>0</v>
      </c>
      <c r="I103" s="8" t="b">
        <f>TRUE()</f>
        <v>1</v>
      </c>
      <c r="J103" s="8" t="b">
        <f>FALSE()</f>
        <v>0</v>
      </c>
      <c r="K103" s="8" t="b">
        <f>TRUE()</f>
        <v>1</v>
      </c>
      <c r="L103" s="8" t="b">
        <f t="shared" ref="L103:L104" si="149">FALSE()</f>
        <v>0</v>
      </c>
      <c r="M103" s="8" t="s">
        <v>899</v>
      </c>
      <c r="N103" s="8"/>
      <c r="O103" s="8" t="s">
        <v>119</v>
      </c>
      <c r="P103" s="8" t="s">
        <v>215</v>
      </c>
    </row>
    <row r="104" ht="15.0" customHeight="1">
      <c r="A104" s="8" t="s">
        <v>913</v>
      </c>
      <c r="B104" s="8" t="s">
        <v>914</v>
      </c>
      <c r="C104" s="8" t="s">
        <v>233</v>
      </c>
      <c r="D104" s="8">
        <v>2.0</v>
      </c>
      <c r="E104" s="8" t="s">
        <v>167</v>
      </c>
      <c r="F104" s="8" t="b">
        <f t="shared" si="33"/>
        <v>0</v>
      </c>
      <c r="G104" s="8" t="b">
        <f t="shared" si="111"/>
        <v>1</v>
      </c>
      <c r="H104" s="8" t="b">
        <f t="shared" si="147"/>
        <v>0</v>
      </c>
      <c r="I104" s="8" t="b">
        <f>FALSE()</f>
        <v>0</v>
      </c>
      <c r="J104" s="8" t="b">
        <f t="shared" ref="J104:K104" si="148">TRUE()</f>
        <v>1</v>
      </c>
      <c r="K104" s="8" t="b">
        <f t="shared" si="148"/>
        <v>1</v>
      </c>
      <c r="L104" s="8" t="b">
        <f t="shared" si="149"/>
        <v>0</v>
      </c>
      <c r="M104" s="8" t="s">
        <v>916</v>
      </c>
      <c r="N104" s="8" t="s">
        <v>87</v>
      </c>
      <c r="O104" s="8"/>
      <c r="P104" s="8" t="s">
        <v>215</v>
      </c>
    </row>
    <row r="105" ht="15.0" customHeight="1">
      <c r="A105" s="8" t="s">
        <v>919</v>
      </c>
      <c r="B105" s="8" t="s">
        <v>886</v>
      </c>
      <c r="C105" s="8" t="s">
        <v>233</v>
      </c>
      <c r="D105" s="8">
        <v>2.0</v>
      </c>
      <c r="E105" s="8" t="s">
        <v>167</v>
      </c>
      <c r="F105" s="8" t="b">
        <f t="shared" si="33"/>
        <v>0</v>
      </c>
      <c r="G105" s="8" t="b">
        <f t="shared" si="111"/>
        <v>1</v>
      </c>
      <c r="H105" s="8" t="b">
        <f t="shared" ref="H105:I105" si="150">TRUE()</f>
        <v>1</v>
      </c>
      <c r="I105" s="8" t="b">
        <f t="shared" si="150"/>
        <v>1</v>
      </c>
      <c r="J105" s="8" t="b">
        <f t="shared" ref="J105:L105" si="151">FALSE()</f>
        <v>0</v>
      </c>
      <c r="K105" s="8" t="b">
        <f t="shared" si="151"/>
        <v>0</v>
      </c>
      <c r="L105" s="8" t="b">
        <f t="shared" si="151"/>
        <v>0</v>
      </c>
      <c r="M105" s="8"/>
      <c r="N105" s="8"/>
      <c r="O105" s="8" t="s">
        <v>119</v>
      </c>
      <c r="P105" s="8" t="s">
        <v>267</v>
      </c>
    </row>
    <row r="106" ht="15.0" customHeight="1">
      <c r="A106" s="8" t="s">
        <v>921</v>
      </c>
      <c r="B106" s="8" t="s">
        <v>714</v>
      </c>
      <c r="C106" s="8" t="s">
        <v>233</v>
      </c>
      <c r="D106" s="8">
        <v>2.0</v>
      </c>
      <c r="E106" s="8" t="s">
        <v>167</v>
      </c>
      <c r="F106" s="8" t="b">
        <f t="shared" si="33"/>
        <v>0</v>
      </c>
      <c r="G106" s="8" t="b">
        <f t="shared" si="111"/>
        <v>1</v>
      </c>
      <c r="H106" s="8" t="b">
        <f t="shared" ref="H106:I106" si="152">TRUE()</f>
        <v>1</v>
      </c>
      <c r="I106" s="8" t="b">
        <f t="shared" si="152"/>
        <v>1</v>
      </c>
      <c r="J106" s="8" t="b">
        <f t="shared" ref="J106:L106" si="153">FALSE()</f>
        <v>0</v>
      </c>
      <c r="K106" s="8" t="b">
        <f t="shared" si="153"/>
        <v>0</v>
      </c>
      <c r="L106" s="8" t="b">
        <f t="shared" si="153"/>
        <v>0</v>
      </c>
      <c r="M106" s="8"/>
      <c r="N106" s="8"/>
      <c r="O106" s="8" t="s">
        <v>119</v>
      </c>
      <c r="P106" s="8" t="s">
        <v>267</v>
      </c>
    </row>
    <row r="107" ht="15.0" customHeight="1">
      <c r="A107" s="8" t="s">
        <v>922</v>
      </c>
      <c r="B107" s="8" t="s">
        <v>923</v>
      </c>
      <c r="C107" s="8" t="s">
        <v>233</v>
      </c>
      <c r="D107" s="8">
        <v>2.0</v>
      </c>
      <c r="E107" s="8" t="s">
        <v>167</v>
      </c>
      <c r="F107" s="8" t="b">
        <f t="shared" si="33"/>
        <v>0</v>
      </c>
      <c r="G107" s="8" t="b">
        <f t="shared" si="111"/>
        <v>1</v>
      </c>
      <c r="H107" s="8" t="b">
        <f t="shared" ref="H107:H108" si="154">FALSE()</f>
        <v>0</v>
      </c>
      <c r="I107" s="8" t="b">
        <f t="shared" ref="I107:I108" si="155">TRUE()</f>
        <v>1</v>
      </c>
      <c r="J107" s="8" t="b">
        <f t="shared" ref="J107:J112" si="156">FALSE()</f>
        <v>0</v>
      </c>
      <c r="K107" s="8" t="b">
        <f t="shared" ref="K107:K108" si="157">TRUE()</f>
        <v>1</v>
      </c>
      <c r="L107" s="8" t="b">
        <f t="shared" ref="L107:L108" si="158">FALSE()</f>
        <v>0</v>
      </c>
      <c r="M107" s="8" t="s">
        <v>924</v>
      </c>
      <c r="N107" s="8"/>
      <c r="O107" s="8" t="s">
        <v>281</v>
      </c>
      <c r="P107" s="8" t="s">
        <v>127</v>
      </c>
    </row>
    <row r="108" ht="15.0" customHeight="1">
      <c r="A108" s="8" t="s">
        <v>925</v>
      </c>
      <c r="B108" s="8" t="s">
        <v>926</v>
      </c>
      <c r="C108" s="8" t="s">
        <v>233</v>
      </c>
      <c r="D108" s="8">
        <v>2.0</v>
      </c>
      <c r="E108" s="8" t="s">
        <v>167</v>
      </c>
      <c r="F108" s="8" t="b">
        <f t="shared" si="33"/>
        <v>0</v>
      </c>
      <c r="G108" s="8" t="b">
        <f t="shared" si="111"/>
        <v>1</v>
      </c>
      <c r="H108" s="8" t="b">
        <f t="shared" si="154"/>
        <v>0</v>
      </c>
      <c r="I108" s="8" t="b">
        <f t="shared" si="155"/>
        <v>1</v>
      </c>
      <c r="J108" s="8" t="b">
        <f t="shared" si="156"/>
        <v>0</v>
      </c>
      <c r="K108" s="8" t="b">
        <f t="shared" si="157"/>
        <v>1</v>
      </c>
      <c r="L108" s="8" t="b">
        <f t="shared" si="158"/>
        <v>0</v>
      </c>
      <c r="M108" s="8" t="s">
        <v>932</v>
      </c>
      <c r="N108" s="8"/>
      <c r="O108" s="8" t="s">
        <v>281</v>
      </c>
      <c r="P108" s="8" t="s">
        <v>127</v>
      </c>
    </row>
    <row r="109" ht="15.0" customHeight="1">
      <c r="A109" s="8" t="s">
        <v>933</v>
      </c>
      <c r="B109" s="8" t="s">
        <v>546</v>
      </c>
      <c r="C109" s="8" t="s">
        <v>233</v>
      </c>
      <c r="D109" s="8">
        <v>2.0</v>
      </c>
      <c r="E109" s="8" t="s">
        <v>167</v>
      </c>
      <c r="F109" s="8" t="b">
        <f t="shared" si="33"/>
        <v>0</v>
      </c>
      <c r="G109" s="8" t="b">
        <f t="shared" si="111"/>
        <v>1</v>
      </c>
      <c r="H109" s="8" t="b">
        <f t="shared" ref="H109:I109" si="159">TRUE()</f>
        <v>1</v>
      </c>
      <c r="I109" s="8" t="b">
        <f t="shared" si="159"/>
        <v>1</v>
      </c>
      <c r="J109" s="8" t="b">
        <f t="shared" si="156"/>
        <v>0</v>
      </c>
      <c r="K109" s="8" t="b">
        <f t="shared" ref="K109:L109" si="160">FALSE()</f>
        <v>0</v>
      </c>
      <c r="L109" s="8" t="b">
        <f t="shared" si="160"/>
        <v>0</v>
      </c>
      <c r="M109" s="8"/>
      <c r="N109" s="8"/>
      <c r="O109" s="8" t="s">
        <v>281</v>
      </c>
      <c r="P109" s="8" t="s">
        <v>127</v>
      </c>
    </row>
    <row r="110" ht="15.0" customHeight="1">
      <c r="A110" s="8" t="s">
        <v>936</v>
      </c>
      <c r="B110" s="8" t="s">
        <v>636</v>
      </c>
      <c r="C110" s="8" t="s">
        <v>233</v>
      </c>
      <c r="D110" s="8">
        <v>1.0</v>
      </c>
      <c r="E110" s="8" t="s">
        <v>167</v>
      </c>
      <c r="F110" s="8" t="b">
        <f t="shared" si="33"/>
        <v>0</v>
      </c>
      <c r="G110" s="8" t="b">
        <f t="shared" si="111"/>
        <v>1</v>
      </c>
      <c r="H110" s="8" t="b">
        <f>FALSE()</f>
        <v>0</v>
      </c>
      <c r="I110" s="8" t="b">
        <f>TRUE()</f>
        <v>1</v>
      </c>
      <c r="J110" s="8" t="b">
        <f t="shared" si="156"/>
        <v>0</v>
      </c>
      <c r="K110" s="8" t="b">
        <f t="shared" ref="K110:L110" si="161">FALSE()</f>
        <v>0</v>
      </c>
      <c r="L110" s="8" t="b">
        <f t="shared" si="161"/>
        <v>0</v>
      </c>
      <c r="M110" s="8" t="s">
        <v>939</v>
      </c>
      <c r="N110" s="8"/>
      <c r="O110" s="8" t="s">
        <v>281</v>
      </c>
      <c r="P110" s="8" t="s">
        <v>127</v>
      </c>
    </row>
    <row r="111" ht="15.0" customHeight="1">
      <c r="A111" s="8" t="s">
        <v>941</v>
      </c>
      <c r="B111" s="8" t="s">
        <v>618</v>
      </c>
      <c r="C111" s="8" t="s">
        <v>233</v>
      </c>
      <c r="D111" s="8">
        <v>2.0</v>
      </c>
      <c r="E111" s="8" t="s">
        <v>167</v>
      </c>
      <c r="F111" s="8" t="b">
        <f t="shared" si="33"/>
        <v>0</v>
      </c>
      <c r="G111" s="8" t="b">
        <f t="shared" si="111"/>
        <v>1</v>
      </c>
      <c r="H111" s="8" t="b">
        <f t="shared" ref="H111:I111" si="162">TRUE()</f>
        <v>1</v>
      </c>
      <c r="I111" s="8" t="b">
        <f t="shared" si="162"/>
        <v>1</v>
      </c>
      <c r="J111" s="8" t="b">
        <f t="shared" si="156"/>
        <v>0</v>
      </c>
      <c r="K111" s="8" t="b">
        <f t="shared" ref="K111:L111" si="163">FALSE()</f>
        <v>0</v>
      </c>
      <c r="L111" s="8" t="b">
        <f t="shared" si="163"/>
        <v>0</v>
      </c>
      <c r="M111" s="8"/>
      <c r="N111" s="8"/>
      <c r="O111" s="8" t="s">
        <v>56</v>
      </c>
      <c r="P111" s="8" t="s">
        <v>154</v>
      </c>
    </row>
    <row r="112" ht="15.0" customHeight="1">
      <c r="A112" s="8" t="s">
        <v>942</v>
      </c>
      <c r="B112" s="8" t="s">
        <v>931</v>
      </c>
      <c r="C112" s="8" t="s">
        <v>233</v>
      </c>
      <c r="D112" s="8">
        <v>1.0</v>
      </c>
      <c r="E112" s="8" t="s">
        <v>167</v>
      </c>
      <c r="F112" s="8" t="b">
        <f t="shared" si="33"/>
        <v>0</v>
      </c>
      <c r="G112" s="8" t="b">
        <f t="shared" si="111"/>
        <v>1</v>
      </c>
      <c r="H112" s="8" t="b">
        <f t="shared" ref="H112:H122" si="165">FALSE()</f>
        <v>0</v>
      </c>
      <c r="I112" s="8" t="b">
        <f>TRUE()</f>
        <v>1</v>
      </c>
      <c r="J112" s="8" t="b">
        <f t="shared" si="156"/>
        <v>0</v>
      </c>
      <c r="K112" s="8" t="b">
        <f t="shared" ref="K112:L112" si="164">FALSE()</f>
        <v>0</v>
      </c>
      <c r="L112" s="8" t="b">
        <f t="shared" si="164"/>
        <v>0</v>
      </c>
      <c r="M112" s="8" t="s">
        <v>947</v>
      </c>
      <c r="N112" s="8"/>
      <c r="O112" s="8" t="s">
        <v>119</v>
      </c>
      <c r="P112" s="8" t="s">
        <v>127</v>
      </c>
    </row>
    <row r="113" ht="15.0" customHeight="1">
      <c r="A113" s="8" t="s">
        <v>948</v>
      </c>
      <c r="B113" s="8" t="s">
        <v>949</v>
      </c>
      <c r="C113" s="8" t="s">
        <v>233</v>
      </c>
      <c r="D113" s="8">
        <v>1.0</v>
      </c>
      <c r="E113" s="8" t="s">
        <v>167</v>
      </c>
      <c r="F113" s="8" t="b">
        <f t="shared" si="33"/>
        <v>0</v>
      </c>
      <c r="G113" s="8" t="b">
        <f t="shared" si="111"/>
        <v>1</v>
      </c>
      <c r="H113" s="8" t="b">
        <f t="shared" si="165"/>
        <v>0</v>
      </c>
      <c r="I113" s="8" t="b">
        <f t="shared" ref="I113:J113" si="166">FALSE()</f>
        <v>0</v>
      </c>
      <c r="J113" s="8" t="b">
        <f t="shared" si="166"/>
        <v>0</v>
      </c>
      <c r="K113" s="8" t="b">
        <f>TRUE()</f>
        <v>1</v>
      </c>
      <c r="L113" s="8" t="b">
        <f t="shared" ref="L113:L114" si="168">FALSE()</f>
        <v>0</v>
      </c>
      <c r="M113" s="8" t="s">
        <v>951</v>
      </c>
      <c r="N113" s="8" t="s">
        <v>87</v>
      </c>
      <c r="O113" s="8" t="s">
        <v>281</v>
      </c>
      <c r="P113" s="8" t="s">
        <v>127</v>
      </c>
    </row>
    <row r="114" ht="15.0" customHeight="1">
      <c r="A114" s="8" t="s">
        <v>952</v>
      </c>
      <c r="B114" s="8" t="s">
        <v>496</v>
      </c>
      <c r="C114" s="8" t="s">
        <v>233</v>
      </c>
      <c r="D114" s="8">
        <v>2.0</v>
      </c>
      <c r="E114" s="8" t="s">
        <v>167</v>
      </c>
      <c r="F114" s="8" t="b">
        <f t="shared" si="33"/>
        <v>0</v>
      </c>
      <c r="G114" s="8" t="b">
        <f t="shared" si="111"/>
        <v>1</v>
      </c>
      <c r="H114" s="8" t="b">
        <f t="shared" si="165"/>
        <v>0</v>
      </c>
      <c r="I114" s="8" t="b">
        <f>FALSE()</f>
        <v>0</v>
      </c>
      <c r="J114" s="8" t="b">
        <f t="shared" ref="J114:K114" si="167">TRUE()</f>
        <v>1</v>
      </c>
      <c r="K114" s="8" t="b">
        <f t="shared" si="167"/>
        <v>1</v>
      </c>
      <c r="L114" s="8" t="b">
        <f t="shared" si="168"/>
        <v>0</v>
      </c>
      <c r="M114" s="8" t="s">
        <v>953</v>
      </c>
      <c r="N114" s="8" t="s">
        <v>71</v>
      </c>
      <c r="O114" s="8"/>
      <c r="P114" s="8" t="s">
        <v>254</v>
      </c>
    </row>
    <row r="115" ht="15.0" customHeight="1">
      <c r="A115" s="8" t="s">
        <v>954</v>
      </c>
      <c r="B115" s="8" t="s">
        <v>519</v>
      </c>
      <c r="C115" s="8" t="s">
        <v>233</v>
      </c>
      <c r="D115" s="8">
        <v>1.0</v>
      </c>
      <c r="E115" s="8" t="s">
        <v>167</v>
      </c>
      <c r="F115" s="8" t="b">
        <f t="shared" si="33"/>
        <v>0</v>
      </c>
      <c r="G115" s="8" t="b">
        <f t="shared" si="111"/>
        <v>1</v>
      </c>
      <c r="H115" s="8" t="b">
        <f t="shared" si="165"/>
        <v>0</v>
      </c>
      <c r="I115" s="8" t="b">
        <f t="shared" ref="I115:I116" si="170">TRUE()</f>
        <v>1</v>
      </c>
      <c r="J115" s="8" t="b">
        <f t="shared" ref="J115:L115" si="169">FALSE()</f>
        <v>0</v>
      </c>
      <c r="K115" s="8" t="b">
        <f t="shared" si="169"/>
        <v>0</v>
      </c>
      <c r="L115" s="8" t="b">
        <f t="shared" si="169"/>
        <v>0</v>
      </c>
      <c r="M115" s="8" t="s">
        <v>956</v>
      </c>
      <c r="N115" s="8"/>
      <c r="O115" s="8" t="s">
        <v>119</v>
      </c>
      <c r="P115" s="8" t="s">
        <v>154</v>
      </c>
    </row>
    <row r="116" ht="15.0" customHeight="1">
      <c r="A116" s="8" t="s">
        <v>957</v>
      </c>
      <c r="B116" s="8" t="s">
        <v>874</v>
      </c>
      <c r="C116" s="8" t="s">
        <v>233</v>
      </c>
      <c r="D116" s="8">
        <v>1.0</v>
      </c>
      <c r="E116" s="8" t="s">
        <v>167</v>
      </c>
      <c r="F116" s="8" t="b">
        <f t="shared" si="33"/>
        <v>0</v>
      </c>
      <c r="G116" s="8" t="b">
        <f t="shared" si="111"/>
        <v>1</v>
      </c>
      <c r="H116" s="8" t="b">
        <f t="shared" si="165"/>
        <v>0</v>
      </c>
      <c r="I116" s="8" t="b">
        <f t="shared" si="170"/>
        <v>1</v>
      </c>
      <c r="J116" s="8" t="b">
        <f t="shared" ref="J116:L116" si="171">FALSE()</f>
        <v>0</v>
      </c>
      <c r="K116" s="8" t="b">
        <f t="shared" si="171"/>
        <v>0</v>
      </c>
      <c r="L116" s="8" t="b">
        <f t="shared" si="171"/>
        <v>0</v>
      </c>
      <c r="M116" s="8" t="s">
        <v>959</v>
      </c>
      <c r="N116" s="8"/>
      <c r="O116" s="8" t="s">
        <v>119</v>
      </c>
      <c r="P116" s="8" t="s">
        <v>74</v>
      </c>
    </row>
    <row r="117" ht="15.0" customHeight="1">
      <c r="A117" s="8" t="s">
        <v>961</v>
      </c>
      <c r="B117" s="8" t="s">
        <v>912</v>
      </c>
      <c r="C117" s="8" t="s">
        <v>233</v>
      </c>
      <c r="D117" s="8">
        <v>2.0</v>
      </c>
      <c r="E117" s="8" t="s">
        <v>167</v>
      </c>
      <c r="F117" s="8" t="b">
        <f t="shared" si="33"/>
        <v>0</v>
      </c>
      <c r="G117" s="8" t="b">
        <f t="shared" si="111"/>
        <v>1</v>
      </c>
      <c r="H117" s="8" t="b">
        <f t="shared" si="165"/>
        <v>0</v>
      </c>
      <c r="I117" s="8" t="b">
        <f>FALSE()</f>
        <v>0</v>
      </c>
      <c r="J117" s="8" t="b">
        <f t="shared" ref="J117:K117" si="172">TRUE()</f>
        <v>1</v>
      </c>
      <c r="K117" s="8" t="b">
        <f t="shared" si="172"/>
        <v>1</v>
      </c>
      <c r="L117" s="8" t="b">
        <f>FALSE()</f>
        <v>0</v>
      </c>
      <c r="M117" s="8" t="s">
        <v>965</v>
      </c>
      <c r="N117" s="8" t="s">
        <v>87</v>
      </c>
      <c r="O117" s="8"/>
      <c r="P117" s="8" t="s">
        <v>267</v>
      </c>
    </row>
    <row r="118" ht="15.0" customHeight="1">
      <c r="A118" s="8" t="s">
        <v>966</v>
      </c>
      <c r="B118" s="8" t="s">
        <v>967</v>
      </c>
      <c r="C118" s="8" t="s">
        <v>233</v>
      </c>
      <c r="D118" s="8">
        <v>1.0</v>
      </c>
      <c r="E118" s="8" t="s">
        <v>167</v>
      </c>
      <c r="F118" s="8" t="b">
        <f t="shared" si="33"/>
        <v>0</v>
      </c>
      <c r="G118" s="8" t="b">
        <f t="shared" si="111"/>
        <v>1</v>
      </c>
      <c r="H118" s="8" t="b">
        <f t="shared" si="165"/>
        <v>0</v>
      </c>
      <c r="I118" s="8" t="b">
        <f>TRUE()</f>
        <v>1</v>
      </c>
      <c r="J118" s="8" t="b">
        <f t="shared" ref="J118:L118" si="173">FALSE()</f>
        <v>0</v>
      </c>
      <c r="K118" s="8" t="b">
        <f t="shared" si="173"/>
        <v>0</v>
      </c>
      <c r="L118" s="8" t="b">
        <f t="shared" si="173"/>
        <v>0</v>
      </c>
      <c r="M118" s="8" t="s">
        <v>970</v>
      </c>
      <c r="N118" s="8"/>
      <c r="O118" s="8" t="s">
        <v>119</v>
      </c>
      <c r="P118" s="8" t="s">
        <v>297</v>
      </c>
    </row>
    <row r="119" ht="15.0" customHeight="1">
      <c r="A119" s="8" t="s">
        <v>971</v>
      </c>
      <c r="B119" s="8" t="s">
        <v>629</v>
      </c>
      <c r="C119" s="8" t="s">
        <v>233</v>
      </c>
      <c r="D119" s="8">
        <v>2.0</v>
      </c>
      <c r="E119" s="8" t="s">
        <v>167</v>
      </c>
      <c r="F119" s="8" t="b">
        <f t="shared" si="33"/>
        <v>0</v>
      </c>
      <c r="G119" s="8" t="b">
        <f t="shared" si="111"/>
        <v>1</v>
      </c>
      <c r="H119" s="8" t="b">
        <f t="shared" si="165"/>
        <v>0</v>
      </c>
      <c r="I119" s="8" t="b">
        <f>FALSE()</f>
        <v>0</v>
      </c>
      <c r="J119" s="8" t="b">
        <f t="shared" ref="J119:K119" si="174">TRUE()</f>
        <v>1</v>
      </c>
      <c r="K119" s="8" t="b">
        <f t="shared" si="174"/>
        <v>1</v>
      </c>
      <c r="L119" s="8" t="b">
        <f>FALSE()</f>
        <v>0</v>
      </c>
      <c r="M119" s="8" t="s">
        <v>973</v>
      </c>
      <c r="N119" s="8" t="s">
        <v>87</v>
      </c>
      <c r="O119" s="8"/>
      <c r="P119" s="8" t="s">
        <v>127</v>
      </c>
    </row>
    <row r="120" ht="15.0" customHeight="1">
      <c r="A120" s="8" t="s">
        <v>975</v>
      </c>
      <c r="B120" s="8" t="s">
        <v>502</v>
      </c>
      <c r="C120" s="8" t="s">
        <v>233</v>
      </c>
      <c r="D120" s="8">
        <v>1.0</v>
      </c>
      <c r="E120" s="8" t="s">
        <v>167</v>
      </c>
      <c r="F120" s="8" t="b">
        <f t="shared" si="33"/>
        <v>0</v>
      </c>
      <c r="G120" s="8" t="b">
        <f t="shared" si="111"/>
        <v>1</v>
      </c>
      <c r="H120" s="8" t="b">
        <f t="shared" si="165"/>
        <v>0</v>
      </c>
      <c r="I120" s="8" t="b">
        <f t="shared" ref="I120:I122" si="176">TRUE()</f>
        <v>1</v>
      </c>
      <c r="J120" s="8" t="b">
        <f t="shared" ref="J120:L120" si="175">FALSE()</f>
        <v>0</v>
      </c>
      <c r="K120" s="8" t="b">
        <f t="shared" si="175"/>
        <v>0</v>
      </c>
      <c r="L120" s="8" t="b">
        <f t="shared" si="175"/>
        <v>0</v>
      </c>
      <c r="M120" s="8" t="s">
        <v>978</v>
      </c>
      <c r="N120" s="8"/>
      <c r="O120" s="8" t="s">
        <v>119</v>
      </c>
      <c r="P120" s="8" t="s">
        <v>215</v>
      </c>
    </row>
    <row r="121" ht="15.0" customHeight="1">
      <c r="A121" s="8" t="s">
        <v>979</v>
      </c>
      <c r="B121" s="8" t="s">
        <v>915</v>
      </c>
      <c r="C121" s="8" t="s">
        <v>233</v>
      </c>
      <c r="D121" s="8">
        <v>2.0</v>
      </c>
      <c r="E121" s="8" t="s">
        <v>167</v>
      </c>
      <c r="F121" s="8" t="b">
        <f t="shared" si="33"/>
        <v>0</v>
      </c>
      <c r="G121" s="8" t="b">
        <f t="shared" si="111"/>
        <v>1</v>
      </c>
      <c r="H121" s="8" t="b">
        <f t="shared" si="165"/>
        <v>0</v>
      </c>
      <c r="I121" s="8" t="b">
        <f t="shared" si="176"/>
        <v>1</v>
      </c>
      <c r="J121" s="8" t="b">
        <f t="shared" ref="J121:J124" si="177">FALSE()</f>
        <v>0</v>
      </c>
      <c r="K121" s="8" t="b">
        <f>TRUE()</f>
        <v>1</v>
      </c>
      <c r="L121" s="8" t="b">
        <f>FALSE()</f>
        <v>0</v>
      </c>
      <c r="M121" s="8" t="s">
        <v>980</v>
      </c>
      <c r="N121" s="8"/>
      <c r="O121" s="8" t="s">
        <v>119</v>
      </c>
      <c r="P121" s="8" t="s">
        <v>127</v>
      </c>
    </row>
    <row r="122" ht="15.0" customHeight="1">
      <c r="A122" s="8" t="s">
        <v>981</v>
      </c>
      <c r="B122" s="8" t="s">
        <v>796</v>
      </c>
      <c r="C122" s="8" t="s">
        <v>233</v>
      </c>
      <c r="D122" s="8">
        <v>1.0</v>
      </c>
      <c r="E122" s="8" t="s">
        <v>167</v>
      </c>
      <c r="F122" s="8" t="b">
        <f t="shared" si="33"/>
        <v>0</v>
      </c>
      <c r="G122" s="8" t="b">
        <f t="shared" si="111"/>
        <v>1</v>
      </c>
      <c r="H122" s="8" t="b">
        <f t="shared" si="165"/>
        <v>0</v>
      </c>
      <c r="I122" s="8" t="b">
        <f t="shared" si="176"/>
        <v>1</v>
      </c>
      <c r="J122" s="8" t="b">
        <f t="shared" si="177"/>
        <v>0</v>
      </c>
      <c r="K122" s="8" t="b">
        <f t="shared" ref="K122:L122" si="178">FALSE()</f>
        <v>0</v>
      </c>
      <c r="L122" s="8" t="b">
        <f t="shared" si="178"/>
        <v>0</v>
      </c>
      <c r="M122" s="8" t="s">
        <v>982</v>
      </c>
      <c r="N122" s="8"/>
      <c r="O122" s="8" t="s">
        <v>265</v>
      </c>
      <c r="P122" s="8" t="s">
        <v>154</v>
      </c>
    </row>
    <row r="123" ht="15.0" customHeight="1">
      <c r="A123" s="8" t="s">
        <v>983</v>
      </c>
      <c r="B123" s="8" t="s">
        <v>984</v>
      </c>
      <c r="C123" s="8" t="s">
        <v>233</v>
      </c>
      <c r="D123" s="8">
        <v>2.0</v>
      </c>
      <c r="E123" s="8" t="s">
        <v>167</v>
      </c>
      <c r="F123" s="8" t="b">
        <f t="shared" si="33"/>
        <v>0</v>
      </c>
      <c r="G123" s="8" t="b">
        <f t="shared" si="111"/>
        <v>1</v>
      </c>
      <c r="H123" s="8" t="b">
        <f t="shared" ref="H123:I123" si="179">TRUE()</f>
        <v>1</v>
      </c>
      <c r="I123" s="8" t="b">
        <f t="shared" si="179"/>
        <v>1</v>
      </c>
      <c r="J123" s="8" t="b">
        <f t="shared" si="177"/>
        <v>0</v>
      </c>
      <c r="K123" s="8" t="b">
        <f t="shared" ref="K123:L123" si="180">FALSE()</f>
        <v>0</v>
      </c>
      <c r="L123" s="8" t="b">
        <f t="shared" si="180"/>
        <v>0</v>
      </c>
      <c r="M123" s="8"/>
      <c r="N123" s="8"/>
      <c r="O123" s="8" t="s">
        <v>119</v>
      </c>
      <c r="P123" s="8" t="s">
        <v>127</v>
      </c>
    </row>
    <row r="124" ht="15.0" customHeight="1">
      <c r="A124" s="8" t="s">
        <v>986</v>
      </c>
      <c r="B124" s="8" t="s">
        <v>987</v>
      </c>
      <c r="C124" s="8" t="s">
        <v>233</v>
      </c>
      <c r="D124" s="8">
        <v>2.0</v>
      </c>
      <c r="E124" s="8" t="s">
        <v>167</v>
      </c>
      <c r="F124" s="8" t="b">
        <f t="shared" si="33"/>
        <v>0</v>
      </c>
      <c r="G124" s="8" t="b">
        <f t="shared" si="111"/>
        <v>1</v>
      </c>
      <c r="H124" s="8" t="b">
        <f t="shared" ref="H124:I124" si="181">TRUE()</f>
        <v>1</v>
      </c>
      <c r="I124" s="8" t="b">
        <f t="shared" si="181"/>
        <v>1</v>
      </c>
      <c r="J124" s="8" t="b">
        <f t="shared" si="177"/>
        <v>0</v>
      </c>
      <c r="K124" s="8" t="b">
        <f t="shared" ref="K124:L124" si="182">FALSE()</f>
        <v>0</v>
      </c>
      <c r="L124" s="8" t="b">
        <f t="shared" si="182"/>
        <v>0</v>
      </c>
      <c r="M124" s="8"/>
      <c r="N124" s="8"/>
      <c r="O124" s="8" t="s">
        <v>281</v>
      </c>
      <c r="P124" s="8" t="s">
        <v>127</v>
      </c>
    </row>
    <row r="125" ht="15.0" customHeight="1">
      <c r="A125" s="8" t="s">
        <v>988</v>
      </c>
      <c r="B125" s="8" t="s">
        <v>563</v>
      </c>
      <c r="C125" s="8" t="s">
        <v>233</v>
      </c>
      <c r="D125" s="8">
        <v>2.0</v>
      </c>
      <c r="E125" s="8" t="s">
        <v>167</v>
      </c>
      <c r="F125" s="8" t="b">
        <f t="shared" si="33"/>
        <v>0</v>
      </c>
      <c r="G125" s="8" t="b">
        <f t="shared" si="111"/>
        <v>1</v>
      </c>
      <c r="H125" s="8" t="b">
        <f t="shared" ref="H125:I125" si="183">FALSE()</f>
        <v>0</v>
      </c>
      <c r="I125" s="8" t="b">
        <f t="shared" si="183"/>
        <v>0</v>
      </c>
      <c r="J125" s="8" t="b">
        <f t="shared" ref="J125:K125" si="184">TRUE()</f>
        <v>1</v>
      </c>
      <c r="K125" s="8" t="b">
        <f t="shared" si="184"/>
        <v>1</v>
      </c>
      <c r="L125" s="8" t="b">
        <f>FALSE()</f>
        <v>0</v>
      </c>
      <c r="M125" s="8" t="s">
        <v>989</v>
      </c>
      <c r="N125" s="8" t="s">
        <v>87</v>
      </c>
      <c r="O125" s="8"/>
      <c r="P125" s="8" t="s">
        <v>127</v>
      </c>
    </row>
    <row r="126" ht="15.0" customHeight="1">
      <c r="A126" s="8" t="s">
        <v>990</v>
      </c>
      <c r="B126" s="8" t="s">
        <v>908</v>
      </c>
      <c r="C126" s="8" t="s">
        <v>233</v>
      </c>
      <c r="D126" s="8">
        <v>2.0</v>
      </c>
      <c r="E126" s="8" t="s">
        <v>167</v>
      </c>
      <c r="F126" s="8" t="b">
        <f t="shared" si="33"/>
        <v>0</v>
      </c>
      <c r="G126" s="8" t="b">
        <f t="shared" si="111"/>
        <v>1</v>
      </c>
      <c r="H126" s="8" t="b">
        <f t="shared" ref="H126:I126" si="185">TRUE()</f>
        <v>1</v>
      </c>
      <c r="I126" s="8" t="b">
        <f t="shared" si="185"/>
        <v>1</v>
      </c>
      <c r="J126" s="8" t="b">
        <f t="shared" ref="J126:L126" si="186">FALSE()</f>
        <v>0</v>
      </c>
      <c r="K126" s="8" t="b">
        <f t="shared" si="186"/>
        <v>0</v>
      </c>
      <c r="L126" s="8" t="b">
        <f t="shared" si="186"/>
        <v>0</v>
      </c>
      <c r="M126" s="8"/>
      <c r="N126" s="8"/>
      <c r="O126" s="8" t="s">
        <v>119</v>
      </c>
      <c r="P126" s="8" t="s">
        <v>154</v>
      </c>
    </row>
    <row r="127" ht="15.0" customHeight="1">
      <c r="A127" s="8" t="s">
        <v>991</v>
      </c>
      <c r="B127" s="8" t="s">
        <v>958</v>
      </c>
      <c r="C127" s="8" t="s">
        <v>233</v>
      </c>
      <c r="D127" s="8">
        <v>2.0</v>
      </c>
      <c r="E127" s="8" t="s">
        <v>167</v>
      </c>
      <c r="F127" s="8" t="b">
        <f t="shared" si="33"/>
        <v>0</v>
      </c>
      <c r="G127" s="8" t="b">
        <f t="shared" si="111"/>
        <v>1</v>
      </c>
      <c r="H127" s="8" t="b">
        <f t="shared" ref="H127:H130" si="187">FALSE()</f>
        <v>0</v>
      </c>
      <c r="I127" s="8" t="b">
        <f t="shared" ref="I127:I129" si="188">TRUE()</f>
        <v>1</v>
      </c>
      <c r="J127" s="8" t="b">
        <f t="shared" ref="J127:J129" si="189">FALSE()</f>
        <v>0</v>
      </c>
      <c r="K127" s="8" t="b">
        <f>TRUE()</f>
        <v>1</v>
      </c>
      <c r="L127" s="8" t="b">
        <f>FALSE()</f>
        <v>0</v>
      </c>
      <c r="M127" s="8" t="s">
        <v>994</v>
      </c>
      <c r="N127" s="8"/>
      <c r="O127" s="8" t="s">
        <v>281</v>
      </c>
      <c r="P127" s="8" t="s">
        <v>127</v>
      </c>
    </row>
    <row r="128" ht="15.0" customHeight="1">
      <c r="A128" s="8" t="s">
        <v>995</v>
      </c>
      <c r="B128" s="8" t="s">
        <v>890</v>
      </c>
      <c r="C128" s="8" t="s">
        <v>233</v>
      </c>
      <c r="D128" s="8">
        <v>1.0</v>
      </c>
      <c r="E128" s="8" t="s">
        <v>167</v>
      </c>
      <c r="F128" s="8" t="b">
        <f t="shared" si="33"/>
        <v>0</v>
      </c>
      <c r="G128" s="8" t="b">
        <f t="shared" si="111"/>
        <v>1</v>
      </c>
      <c r="H128" s="8" t="b">
        <f t="shared" si="187"/>
        <v>0</v>
      </c>
      <c r="I128" s="8" t="b">
        <f t="shared" si="188"/>
        <v>1</v>
      </c>
      <c r="J128" s="8" t="b">
        <f t="shared" si="189"/>
        <v>0</v>
      </c>
      <c r="K128" s="8" t="b">
        <f t="shared" ref="K128:L128" si="190">FALSE()</f>
        <v>0</v>
      </c>
      <c r="L128" s="8" t="b">
        <f t="shared" si="190"/>
        <v>0</v>
      </c>
      <c r="M128" s="8" t="s">
        <v>996</v>
      </c>
      <c r="N128" s="8"/>
      <c r="O128" s="8" t="s">
        <v>281</v>
      </c>
      <c r="P128" s="8" t="s">
        <v>127</v>
      </c>
    </row>
    <row r="129" ht="15.0" customHeight="1">
      <c r="A129" s="8" t="s">
        <v>997</v>
      </c>
      <c r="B129" s="8" t="s">
        <v>669</v>
      </c>
      <c r="C129" s="8" t="s">
        <v>233</v>
      </c>
      <c r="D129" s="8">
        <v>1.0</v>
      </c>
      <c r="E129" s="8" t="s">
        <v>167</v>
      </c>
      <c r="F129" s="8" t="b">
        <f t="shared" si="33"/>
        <v>0</v>
      </c>
      <c r="G129" s="8" t="b">
        <f t="shared" si="111"/>
        <v>1</v>
      </c>
      <c r="H129" s="8" t="b">
        <f t="shared" si="187"/>
        <v>0</v>
      </c>
      <c r="I129" s="8" t="b">
        <f t="shared" si="188"/>
        <v>1</v>
      </c>
      <c r="J129" s="8" t="b">
        <f t="shared" si="189"/>
        <v>0</v>
      </c>
      <c r="K129" s="8" t="b">
        <f t="shared" ref="K129:L129" si="191">FALSE()</f>
        <v>0</v>
      </c>
      <c r="L129" s="8" t="b">
        <f t="shared" si="191"/>
        <v>0</v>
      </c>
      <c r="M129" s="8" t="s">
        <v>999</v>
      </c>
      <c r="N129" s="8"/>
      <c r="O129" s="8" t="s">
        <v>119</v>
      </c>
      <c r="P129" s="8" t="s">
        <v>74</v>
      </c>
    </row>
    <row r="130" ht="15.0" customHeight="1">
      <c r="A130" s="8" t="s">
        <v>1000</v>
      </c>
      <c r="B130" s="8" t="s">
        <v>1001</v>
      </c>
      <c r="C130" s="8" t="s">
        <v>233</v>
      </c>
      <c r="D130" s="8">
        <v>1.0</v>
      </c>
      <c r="E130" s="8" t="s">
        <v>167</v>
      </c>
      <c r="F130" s="8" t="b">
        <f t="shared" si="33"/>
        <v>0</v>
      </c>
      <c r="G130" s="8" t="b">
        <f t="shared" si="111"/>
        <v>1</v>
      </c>
      <c r="H130" s="8" t="b">
        <f t="shared" si="187"/>
        <v>0</v>
      </c>
      <c r="I130" s="8" t="b">
        <f t="shared" ref="I130:J130" si="192">FALSE()</f>
        <v>0</v>
      </c>
      <c r="J130" s="8" t="b">
        <f t="shared" si="192"/>
        <v>0</v>
      </c>
      <c r="K130" s="8" t="b">
        <f>TRUE()</f>
        <v>1</v>
      </c>
      <c r="L130" s="8" t="b">
        <f>FALSE()</f>
        <v>0</v>
      </c>
      <c r="M130" s="8" t="s">
        <v>1002</v>
      </c>
      <c r="N130" s="8" t="s">
        <v>71</v>
      </c>
      <c r="O130" s="8" t="s">
        <v>56</v>
      </c>
      <c r="P130" s="8" t="s">
        <v>215</v>
      </c>
    </row>
    <row r="131" ht="15.0" customHeight="1">
      <c r="B131" s="6"/>
      <c r="C131" s="6"/>
      <c r="E131" s="6"/>
      <c r="M131" s="6"/>
      <c r="P131" s="6"/>
    </row>
    <row r="132" ht="15.0" customHeight="1">
      <c r="B132" s="6"/>
      <c r="C132" s="6"/>
      <c r="E132" s="6"/>
      <c r="M132" s="6"/>
      <c r="P132" s="6"/>
    </row>
    <row r="133" ht="15.0" customHeight="1">
      <c r="B133" s="6"/>
      <c r="C133" s="6"/>
      <c r="E133" s="6"/>
      <c r="M133" s="6"/>
      <c r="P133" s="6"/>
    </row>
    <row r="134" ht="15.0" customHeight="1">
      <c r="B134" s="6"/>
      <c r="C134" s="6"/>
      <c r="E134" s="6"/>
      <c r="M134" s="6"/>
      <c r="P134" s="6"/>
    </row>
    <row r="135" ht="15.0" customHeight="1">
      <c r="B135" s="6"/>
      <c r="C135" s="6"/>
      <c r="E135" s="6"/>
      <c r="M135" s="6"/>
      <c r="P135" s="6"/>
    </row>
    <row r="136" ht="15.0" customHeight="1">
      <c r="B136" s="6"/>
      <c r="C136" s="6"/>
      <c r="E136" s="6"/>
      <c r="M136" s="6"/>
      <c r="P136" s="6"/>
    </row>
    <row r="137" ht="15.0" customHeight="1">
      <c r="B137" s="6"/>
      <c r="C137" s="6"/>
      <c r="E137" s="6"/>
      <c r="M137" s="6"/>
      <c r="P137" s="6"/>
    </row>
    <row r="138" ht="15.0" customHeight="1">
      <c r="B138" s="6"/>
      <c r="C138" s="6"/>
      <c r="E138" s="6"/>
      <c r="M138" s="6"/>
      <c r="P138" s="6"/>
    </row>
    <row r="139" ht="15.0" customHeight="1">
      <c r="B139" s="6"/>
      <c r="C139" s="6"/>
      <c r="E139" s="6"/>
      <c r="M139" s="6"/>
      <c r="P139" s="6"/>
    </row>
    <row r="140" ht="15.0" customHeight="1">
      <c r="B140" s="6"/>
      <c r="C140" s="6"/>
      <c r="E140" s="6"/>
      <c r="M140" s="6"/>
      <c r="P140" s="6"/>
    </row>
    <row r="141" ht="15.0" customHeight="1">
      <c r="B141" s="6"/>
      <c r="C141" s="6"/>
      <c r="E141" s="6"/>
      <c r="M141" s="6"/>
      <c r="P141" s="6"/>
    </row>
    <row r="142" ht="15.0" customHeight="1">
      <c r="B142" s="6"/>
      <c r="C142" s="6"/>
      <c r="E142" s="6"/>
      <c r="M142" s="6"/>
      <c r="P142" s="6"/>
    </row>
    <row r="143" ht="15.0" customHeight="1">
      <c r="B143" s="6"/>
      <c r="C143" s="6"/>
      <c r="E143" s="6"/>
      <c r="M143" s="6"/>
      <c r="P143" s="6"/>
    </row>
    <row r="144" ht="15.0" customHeight="1">
      <c r="B144" s="6"/>
      <c r="C144" s="6"/>
      <c r="E144" s="6"/>
      <c r="M144" s="6"/>
      <c r="P144" s="6"/>
    </row>
    <row r="145" ht="15.0" customHeight="1">
      <c r="B145" s="6"/>
      <c r="C145" s="6"/>
      <c r="E145" s="6"/>
      <c r="M145" s="6"/>
      <c r="P145" s="6"/>
    </row>
    <row r="146" ht="15.0" customHeight="1">
      <c r="B146" s="6"/>
      <c r="C146" s="6"/>
      <c r="E146" s="6"/>
      <c r="M146" s="6"/>
      <c r="P146" s="6"/>
    </row>
    <row r="147" ht="15.0" customHeight="1">
      <c r="B147" s="6"/>
      <c r="C147" s="6"/>
      <c r="E147" s="6"/>
      <c r="M147" s="6"/>
      <c r="P147" s="6"/>
    </row>
    <row r="148" ht="15.0" customHeight="1">
      <c r="B148" s="6"/>
      <c r="C148" s="6"/>
      <c r="E148" s="6"/>
      <c r="M148" s="6"/>
      <c r="P148" s="6"/>
    </row>
    <row r="149" ht="15.0" customHeight="1">
      <c r="B149" s="6"/>
      <c r="C149" s="6"/>
      <c r="E149" s="6"/>
      <c r="M149" s="6"/>
      <c r="P149" s="6"/>
    </row>
    <row r="150" ht="15.0" customHeight="1">
      <c r="B150" s="6"/>
      <c r="C150" s="6"/>
      <c r="E150" s="6"/>
      <c r="M150" s="6"/>
      <c r="P150" s="6"/>
    </row>
    <row r="151" ht="15.0" customHeight="1">
      <c r="B151" s="6"/>
      <c r="C151" s="6"/>
      <c r="E151" s="6"/>
      <c r="M151" s="6"/>
      <c r="P151" s="6"/>
    </row>
    <row r="152" ht="15.0" customHeight="1">
      <c r="B152" s="6"/>
      <c r="C152" s="6"/>
      <c r="E152" s="6"/>
      <c r="M152" s="6"/>
      <c r="P152" s="6"/>
    </row>
    <row r="153" ht="15.0" customHeight="1">
      <c r="B153" s="6"/>
      <c r="C153" s="6"/>
      <c r="E153" s="6"/>
      <c r="M153" s="6"/>
      <c r="P153" s="6"/>
    </row>
    <row r="154" ht="15.0" customHeight="1">
      <c r="B154" s="6"/>
      <c r="C154" s="6"/>
      <c r="E154" s="6"/>
      <c r="M154" s="6"/>
      <c r="P154" s="6"/>
    </row>
    <row r="155" ht="15.0" customHeight="1">
      <c r="B155" s="6"/>
      <c r="C155" s="6"/>
      <c r="E155" s="6"/>
      <c r="M155" s="6"/>
      <c r="P155" s="6"/>
    </row>
    <row r="156" ht="15.0" customHeight="1">
      <c r="B156" s="6"/>
      <c r="C156" s="6"/>
      <c r="E156" s="6"/>
      <c r="M156" s="6"/>
      <c r="P156" s="6"/>
    </row>
    <row r="157" ht="15.0" customHeight="1">
      <c r="B157" s="6"/>
      <c r="C157" s="6"/>
      <c r="E157" s="6"/>
      <c r="M157" s="6"/>
      <c r="P157" s="6"/>
    </row>
    <row r="158" ht="15.0" customHeight="1">
      <c r="B158" s="6"/>
      <c r="C158" s="6"/>
      <c r="E158" s="6"/>
      <c r="M158" s="6"/>
      <c r="P158" s="6"/>
    </row>
    <row r="159" ht="15.0" customHeight="1">
      <c r="B159" s="6"/>
      <c r="C159" s="6"/>
      <c r="E159" s="6"/>
      <c r="M159" s="6"/>
      <c r="P159" s="6"/>
    </row>
    <row r="160" ht="15.0" customHeight="1">
      <c r="B160" s="6"/>
      <c r="C160" s="6"/>
      <c r="E160" s="6"/>
      <c r="M160" s="6"/>
      <c r="P160" s="6"/>
    </row>
    <row r="161" ht="15.0" customHeight="1">
      <c r="B161" s="6"/>
      <c r="C161" s="6"/>
      <c r="E161" s="6"/>
      <c r="M161" s="6"/>
      <c r="P161" s="6"/>
    </row>
    <row r="162" ht="15.0" customHeight="1">
      <c r="B162" s="6"/>
      <c r="C162" s="6"/>
      <c r="E162" s="6"/>
      <c r="M162" s="6"/>
      <c r="P162" s="6"/>
    </row>
    <row r="163" ht="15.0" customHeight="1">
      <c r="B163" s="6"/>
      <c r="C163" s="6"/>
      <c r="E163" s="6"/>
      <c r="M163" s="6"/>
      <c r="P163" s="6"/>
    </row>
    <row r="164" ht="15.0" customHeight="1">
      <c r="B164" s="6"/>
      <c r="C164" s="6"/>
      <c r="E164" s="6"/>
      <c r="M164" s="6"/>
      <c r="P164" s="6"/>
    </row>
    <row r="165" ht="15.0" customHeight="1">
      <c r="B165" s="6"/>
      <c r="C165" s="6"/>
      <c r="E165" s="6"/>
      <c r="M165" s="6"/>
      <c r="P165" s="6"/>
    </row>
    <row r="166" ht="15.0" customHeight="1">
      <c r="B166" s="6"/>
      <c r="C166" s="6"/>
      <c r="E166" s="6"/>
      <c r="M166" s="6"/>
      <c r="P166" s="6"/>
    </row>
    <row r="167" ht="15.0" customHeight="1">
      <c r="B167" s="6"/>
      <c r="C167" s="6"/>
      <c r="E167" s="6"/>
      <c r="M167" s="6"/>
      <c r="P167" s="6"/>
    </row>
    <row r="168" ht="15.0" customHeight="1">
      <c r="B168" s="6"/>
      <c r="C168" s="6"/>
      <c r="E168" s="6"/>
      <c r="M168" s="6"/>
      <c r="P168" s="6"/>
    </row>
    <row r="169" ht="15.0" customHeight="1">
      <c r="B169" s="6"/>
      <c r="C169" s="6"/>
      <c r="E169" s="6"/>
      <c r="M169" s="6"/>
      <c r="P169" s="6"/>
    </row>
    <row r="170" ht="15.0" customHeight="1">
      <c r="B170" s="6"/>
      <c r="C170" s="6"/>
      <c r="E170" s="6"/>
      <c r="M170" s="6"/>
      <c r="P170" s="6"/>
    </row>
    <row r="171" ht="15.0" customHeight="1">
      <c r="B171" s="6"/>
      <c r="C171" s="6"/>
      <c r="E171" s="6"/>
      <c r="M171" s="6"/>
      <c r="P171" s="6"/>
    </row>
    <row r="172" ht="15.0" customHeight="1">
      <c r="B172" s="6"/>
      <c r="C172" s="6"/>
      <c r="E172" s="6"/>
      <c r="M172" s="6"/>
      <c r="P172" s="6"/>
    </row>
    <row r="173" ht="15.0" customHeight="1">
      <c r="B173" s="6"/>
      <c r="C173" s="6"/>
      <c r="E173" s="6"/>
      <c r="M173" s="6"/>
      <c r="P173" s="6"/>
    </row>
    <row r="174" ht="15.0" customHeight="1">
      <c r="B174" s="6"/>
      <c r="C174" s="6"/>
      <c r="E174" s="6"/>
      <c r="M174" s="6"/>
      <c r="P174" s="6"/>
    </row>
    <row r="175" ht="15.0" customHeight="1">
      <c r="B175" s="6"/>
      <c r="C175" s="6"/>
      <c r="E175" s="6"/>
      <c r="M175" s="6"/>
      <c r="P175" s="6"/>
    </row>
    <row r="176" ht="15.0" customHeight="1">
      <c r="B176" s="6"/>
      <c r="C176" s="6"/>
      <c r="E176" s="6"/>
      <c r="M176" s="6"/>
      <c r="P176" s="6"/>
    </row>
    <row r="177" ht="15.0" customHeight="1">
      <c r="B177" s="6"/>
      <c r="C177" s="6"/>
      <c r="E177" s="6"/>
      <c r="M177" s="6"/>
      <c r="P177" s="6"/>
    </row>
    <row r="178" ht="15.0" customHeight="1">
      <c r="B178" s="6"/>
      <c r="C178" s="6"/>
      <c r="E178" s="6"/>
      <c r="M178" s="6"/>
      <c r="P178" s="6"/>
    </row>
    <row r="179" ht="15.0" customHeight="1">
      <c r="B179" s="6"/>
      <c r="C179" s="6"/>
      <c r="E179" s="6"/>
      <c r="M179" s="6"/>
      <c r="P179" s="6"/>
    </row>
    <row r="180" ht="15.0" customHeight="1">
      <c r="B180" s="6"/>
      <c r="C180" s="6"/>
      <c r="E180" s="6"/>
      <c r="M180" s="6"/>
      <c r="P180" s="6"/>
    </row>
    <row r="181" ht="15.0" customHeight="1">
      <c r="B181" s="6"/>
      <c r="C181" s="6"/>
      <c r="E181" s="6"/>
      <c r="M181" s="6"/>
      <c r="P181" s="6"/>
    </row>
    <row r="182" ht="15.0" customHeight="1">
      <c r="B182" s="6"/>
      <c r="C182" s="6"/>
      <c r="E182" s="6"/>
      <c r="M182" s="6"/>
      <c r="P182" s="6"/>
    </row>
    <row r="183" ht="15.0" customHeight="1">
      <c r="B183" s="6"/>
      <c r="C183" s="6"/>
      <c r="E183" s="6"/>
      <c r="M183" s="6"/>
      <c r="P183" s="6"/>
    </row>
    <row r="184" ht="15.0" customHeight="1">
      <c r="B184" s="6"/>
      <c r="C184" s="6"/>
      <c r="E184" s="6"/>
      <c r="M184" s="6"/>
      <c r="P184" s="6"/>
    </row>
    <row r="185" ht="15.0" customHeight="1">
      <c r="B185" s="6"/>
      <c r="C185" s="6"/>
      <c r="E185" s="6"/>
      <c r="M185" s="6"/>
      <c r="P185" s="6"/>
    </row>
    <row r="186" ht="15.0" customHeight="1">
      <c r="B186" s="6"/>
      <c r="C186" s="6"/>
      <c r="E186" s="6"/>
      <c r="M186" s="6"/>
      <c r="P186" s="6"/>
    </row>
    <row r="187" ht="15.0" customHeight="1">
      <c r="B187" s="6"/>
      <c r="C187" s="6"/>
      <c r="E187" s="6"/>
      <c r="M187" s="6"/>
      <c r="P187" s="6"/>
    </row>
    <row r="188" ht="15.0" customHeight="1">
      <c r="B188" s="6"/>
      <c r="C188" s="6"/>
      <c r="E188" s="6"/>
      <c r="M188" s="6"/>
      <c r="P188" s="6"/>
    </row>
    <row r="189" ht="15.0" customHeight="1">
      <c r="B189" s="6"/>
      <c r="C189" s="6"/>
      <c r="E189" s="6"/>
      <c r="M189" s="6"/>
      <c r="P189" s="6"/>
    </row>
    <row r="190" ht="15.0" customHeight="1">
      <c r="B190" s="6"/>
      <c r="C190" s="6"/>
      <c r="E190" s="6"/>
      <c r="M190" s="6"/>
      <c r="P190" s="6"/>
    </row>
    <row r="191" ht="15.0" customHeight="1">
      <c r="B191" s="6"/>
      <c r="C191" s="6"/>
      <c r="E191" s="6"/>
      <c r="M191" s="6"/>
      <c r="P191" s="6"/>
    </row>
    <row r="192" ht="15.0" customHeight="1">
      <c r="B192" s="6"/>
      <c r="C192" s="6"/>
      <c r="E192" s="6"/>
      <c r="M192" s="6"/>
      <c r="P192" s="6"/>
    </row>
    <row r="193" ht="15.0" customHeight="1">
      <c r="B193" s="6"/>
      <c r="C193" s="6"/>
      <c r="E193" s="6"/>
      <c r="M193" s="6"/>
      <c r="P193" s="6"/>
    </row>
    <row r="194" ht="15.0" customHeight="1">
      <c r="B194" s="6"/>
      <c r="C194" s="6"/>
      <c r="E194" s="6"/>
      <c r="M194" s="6"/>
      <c r="P194" s="6"/>
    </row>
    <row r="195" ht="15.0" customHeight="1">
      <c r="B195" s="6"/>
      <c r="C195" s="6"/>
      <c r="E195" s="6"/>
      <c r="M195" s="6"/>
      <c r="P195" s="6"/>
    </row>
    <row r="196" ht="15.0" customHeight="1">
      <c r="B196" s="6"/>
      <c r="C196" s="6"/>
      <c r="E196" s="6"/>
      <c r="M196" s="6"/>
      <c r="P196" s="6"/>
    </row>
    <row r="197" ht="15.0" customHeight="1">
      <c r="B197" s="6"/>
      <c r="C197" s="6"/>
      <c r="E197" s="6"/>
      <c r="M197" s="6"/>
      <c r="P197" s="6"/>
    </row>
    <row r="198" ht="15.0" customHeight="1">
      <c r="B198" s="6"/>
      <c r="C198" s="6"/>
      <c r="E198" s="6"/>
      <c r="M198" s="6"/>
      <c r="P198" s="6"/>
    </row>
    <row r="199" ht="15.0" customHeight="1">
      <c r="B199" s="6"/>
      <c r="C199" s="6"/>
      <c r="E199" s="6"/>
      <c r="M199" s="6"/>
      <c r="P199" s="6"/>
    </row>
    <row r="200" ht="15.0" customHeight="1">
      <c r="B200" s="6"/>
      <c r="C200" s="6"/>
      <c r="E200" s="6"/>
      <c r="M200" s="6"/>
      <c r="P200" s="6"/>
    </row>
    <row r="201" ht="15.0" customHeight="1">
      <c r="B201" s="6"/>
      <c r="C201" s="6"/>
      <c r="E201" s="6"/>
      <c r="M201" s="6"/>
      <c r="P201" s="6"/>
    </row>
    <row r="202" ht="15.0" customHeight="1">
      <c r="B202" s="6"/>
      <c r="C202" s="6"/>
      <c r="E202" s="6"/>
      <c r="M202" s="6"/>
      <c r="P202" s="6"/>
    </row>
    <row r="203" ht="15.0" customHeight="1">
      <c r="B203" s="6"/>
      <c r="C203" s="6"/>
      <c r="E203" s="6"/>
      <c r="M203" s="6"/>
      <c r="P203" s="6"/>
    </row>
    <row r="204" ht="15.0" customHeight="1">
      <c r="B204" s="6"/>
      <c r="C204" s="6"/>
      <c r="E204" s="6"/>
      <c r="M204" s="6"/>
      <c r="P204" s="6"/>
    </row>
    <row r="205" ht="15.0" customHeight="1">
      <c r="B205" s="6"/>
      <c r="C205" s="6"/>
      <c r="E205" s="6"/>
      <c r="M205" s="6"/>
      <c r="P205" s="6"/>
    </row>
    <row r="206" ht="15.0" customHeight="1">
      <c r="B206" s="6"/>
      <c r="C206" s="6"/>
      <c r="E206" s="6"/>
      <c r="M206" s="6"/>
      <c r="P206" s="6"/>
    </row>
    <row r="207" ht="15.0" customHeight="1">
      <c r="B207" s="6"/>
      <c r="C207" s="6"/>
      <c r="E207" s="6"/>
      <c r="M207" s="6"/>
      <c r="P207" s="6"/>
    </row>
    <row r="208" ht="15.0" customHeight="1">
      <c r="B208" s="6"/>
      <c r="C208" s="6"/>
      <c r="E208" s="6"/>
      <c r="M208" s="6"/>
      <c r="P208" s="6"/>
    </row>
    <row r="209" ht="15.0" customHeight="1">
      <c r="B209" s="6"/>
      <c r="C209" s="6"/>
      <c r="E209" s="6"/>
      <c r="M209" s="6"/>
      <c r="P209" s="6"/>
    </row>
    <row r="210" ht="15.0" customHeight="1">
      <c r="B210" s="6"/>
      <c r="C210" s="6"/>
      <c r="E210" s="6"/>
      <c r="M210" s="6"/>
      <c r="P210" s="6"/>
    </row>
    <row r="211" ht="15.0" customHeight="1">
      <c r="B211" s="6"/>
      <c r="C211" s="6"/>
      <c r="E211" s="6"/>
      <c r="M211" s="6"/>
      <c r="P211" s="6"/>
    </row>
    <row r="212" ht="15.0" customHeight="1">
      <c r="B212" s="6"/>
      <c r="C212" s="6"/>
      <c r="E212" s="6"/>
      <c r="M212" s="6"/>
      <c r="P212" s="6"/>
    </row>
    <row r="213" ht="15.0" customHeight="1">
      <c r="B213" s="6"/>
      <c r="C213" s="6"/>
      <c r="E213" s="6"/>
      <c r="M213" s="6"/>
      <c r="P213" s="6"/>
    </row>
    <row r="214" ht="15.0" customHeight="1">
      <c r="B214" s="6"/>
      <c r="C214" s="6"/>
      <c r="E214" s="6"/>
      <c r="M214" s="6"/>
      <c r="P214" s="6"/>
    </row>
    <row r="215" ht="15.0" customHeight="1">
      <c r="B215" s="6"/>
      <c r="C215" s="6"/>
      <c r="E215" s="6"/>
      <c r="M215" s="6"/>
      <c r="P215" s="6"/>
    </row>
    <row r="216" ht="15.0" customHeight="1">
      <c r="B216" s="6"/>
      <c r="C216" s="6"/>
      <c r="E216" s="6"/>
      <c r="M216" s="6"/>
      <c r="P216" s="6"/>
    </row>
    <row r="217" ht="15.0" customHeight="1">
      <c r="B217" s="6"/>
      <c r="C217" s="6"/>
      <c r="E217" s="6"/>
      <c r="M217" s="6"/>
      <c r="P217" s="6"/>
    </row>
    <row r="218" ht="15.0" customHeight="1">
      <c r="B218" s="6"/>
      <c r="C218" s="6"/>
      <c r="E218" s="6"/>
      <c r="M218" s="6"/>
      <c r="P218" s="6"/>
    </row>
    <row r="219" ht="15.0" customHeight="1">
      <c r="B219" s="6"/>
      <c r="C219" s="6"/>
      <c r="E219" s="6"/>
      <c r="M219" s="6"/>
      <c r="P219" s="6"/>
    </row>
    <row r="220" ht="15.0" customHeight="1">
      <c r="B220" s="6"/>
      <c r="C220" s="6"/>
      <c r="E220" s="6"/>
      <c r="M220" s="6"/>
      <c r="P220" s="6"/>
    </row>
    <row r="221" ht="15.0" customHeight="1">
      <c r="B221" s="6"/>
      <c r="C221" s="6"/>
      <c r="E221" s="6"/>
      <c r="M221" s="6"/>
      <c r="P221" s="6"/>
    </row>
    <row r="222" ht="15.0" customHeight="1">
      <c r="B222" s="6"/>
      <c r="C222" s="6"/>
      <c r="E222" s="6"/>
      <c r="M222" s="6"/>
      <c r="P222" s="6"/>
    </row>
    <row r="223" ht="15.0" customHeight="1">
      <c r="B223" s="6"/>
      <c r="C223" s="6"/>
      <c r="E223" s="6"/>
      <c r="M223" s="6"/>
      <c r="P223" s="6"/>
    </row>
    <row r="224" ht="15.0" customHeight="1">
      <c r="B224" s="6"/>
      <c r="C224" s="6"/>
      <c r="E224" s="6"/>
      <c r="M224" s="6"/>
      <c r="P224" s="6"/>
    </row>
    <row r="225" ht="15.0" customHeight="1">
      <c r="B225" s="6"/>
      <c r="C225" s="6"/>
      <c r="E225" s="6"/>
      <c r="M225" s="6"/>
      <c r="P225" s="6"/>
    </row>
    <row r="226" ht="15.0" customHeight="1">
      <c r="B226" s="6"/>
      <c r="C226" s="6"/>
      <c r="E226" s="6"/>
      <c r="M226" s="6"/>
      <c r="P226" s="6"/>
    </row>
    <row r="227" ht="15.0" customHeight="1">
      <c r="B227" s="6"/>
      <c r="C227" s="6"/>
      <c r="E227" s="6"/>
      <c r="M227" s="6"/>
      <c r="P227" s="6"/>
    </row>
    <row r="228" ht="15.0" customHeight="1">
      <c r="B228" s="6"/>
      <c r="C228" s="6"/>
      <c r="E228" s="6"/>
      <c r="M228" s="6"/>
      <c r="P228" s="6"/>
    </row>
    <row r="229" ht="15.0" customHeight="1">
      <c r="B229" s="6"/>
      <c r="C229" s="6"/>
      <c r="E229" s="6"/>
      <c r="M229" s="6"/>
      <c r="P229" s="6"/>
    </row>
    <row r="230" ht="15.0" customHeight="1">
      <c r="B230" s="6"/>
      <c r="C230" s="6"/>
      <c r="E230" s="6"/>
      <c r="M230" s="6"/>
      <c r="P230" s="6"/>
    </row>
    <row r="231" ht="15.0" customHeight="1">
      <c r="B231" s="6"/>
      <c r="C231" s="6"/>
      <c r="E231" s="6"/>
      <c r="M231" s="6"/>
      <c r="P231" s="6"/>
    </row>
    <row r="232" ht="15.0" customHeight="1">
      <c r="B232" s="6"/>
      <c r="C232" s="6"/>
      <c r="E232" s="6"/>
      <c r="M232" s="6"/>
      <c r="P232" s="6"/>
    </row>
    <row r="233" ht="15.0" customHeight="1">
      <c r="B233" s="6"/>
      <c r="C233" s="6"/>
      <c r="E233" s="6"/>
      <c r="M233" s="6"/>
      <c r="P233" s="6"/>
    </row>
    <row r="234" ht="15.0" customHeight="1">
      <c r="B234" s="6"/>
      <c r="C234" s="6"/>
      <c r="E234" s="6"/>
      <c r="M234" s="6"/>
      <c r="P234" s="6"/>
    </row>
    <row r="235" ht="15.0" customHeight="1">
      <c r="B235" s="6"/>
      <c r="C235" s="6"/>
      <c r="E235" s="6"/>
      <c r="M235" s="6"/>
      <c r="P235" s="6"/>
    </row>
    <row r="236" ht="15.0" customHeight="1">
      <c r="B236" s="6"/>
      <c r="C236" s="6"/>
      <c r="E236" s="6"/>
      <c r="M236" s="6"/>
      <c r="P236" s="6"/>
    </row>
    <row r="237" ht="15.0" customHeight="1">
      <c r="B237" s="6"/>
      <c r="C237" s="6"/>
      <c r="E237" s="6"/>
      <c r="M237" s="6"/>
      <c r="P237" s="6"/>
    </row>
    <row r="238" ht="15.0" customHeight="1">
      <c r="B238" s="6"/>
      <c r="C238" s="6"/>
      <c r="E238" s="6"/>
      <c r="M238" s="6"/>
      <c r="P238" s="6"/>
    </row>
    <row r="239" ht="15.0" customHeight="1">
      <c r="B239" s="6"/>
      <c r="C239" s="6"/>
      <c r="E239" s="6"/>
      <c r="M239" s="6"/>
      <c r="P239" s="6"/>
    </row>
    <row r="240" ht="15.0" customHeight="1">
      <c r="B240" s="6"/>
      <c r="C240" s="6"/>
      <c r="E240" s="6"/>
      <c r="M240" s="6"/>
      <c r="P240" s="6"/>
    </row>
    <row r="241" ht="15.0" customHeight="1">
      <c r="B241" s="6"/>
      <c r="C241" s="6"/>
      <c r="E241" s="6"/>
      <c r="M241" s="6"/>
      <c r="P241" s="6"/>
    </row>
    <row r="242" ht="15.0" customHeight="1">
      <c r="B242" s="6"/>
      <c r="C242" s="6"/>
      <c r="E242" s="6"/>
      <c r="M242" s="6"/>
      <c r="P242" s="6"/>
    </row>
    <row r="243" ht="15.0" customHeight="1">
      <c r="B243" s="6"/>
      <c r="C243" s="6"/>
      <c r="E243" s="6"/>
      <c r="M243" s="6"/>
      <c r="P243" s="6"/>
    </row>
    <row r="244" ht="15.0" customHeight="1">
      <c r="B244" s="6"/>
      <c r="C244" s="6"/>
      <c r="E244" s="6"/>
      <c r="M244" s="6"/>
      <c r="P244" s="6"/>
    </row>
    <row r="245" ht="15.0" customHeight="1">
      <c r="B245" s="6"/>
      <c r="C245" s="6"/>
      <c r="E245" s="6"/>
      <c r="M245" s="6"/>
      <c r="P245" s="6"/>
    </row>
    <row r="246" ht="15.0" customHeight="1">
      <c r="B246" s="6"/>
      <c r="C246" s="6"/>
      <c r="E246" s="6"/>
      <c r="M246" s="6"/>
      <c r="P246" s="6"/>
    </row>
    <row r="247" ht="15.0" customHeight="1">
      <c r="B247" s="6"/>
      <c r="C247" s="6"/>
      <c r="E247" s="6"/>
      <c r="M247" s="6"/>
      <c r="P247" s="6"/>
    </row>
    <row r="248" ht="15.0" customHeight="1">
      <c r="B248" s="6"/>
      <c r="C248" s="6"/>
      <c r="E248" s="6"/>
      <c r="M248" s="6"/>
      <c r="P248" s="6"/>
    </row>
    <row r="249" ht="15.0" customHeight="1">
      <c r="B249" s="6"/>
      <c r="C249" s="6"/>
      <c r="E249" s="6"/>
      <c r="M249" s="6"/>
      <c r="P249" s="6"/>
    </row>
    <row r="250" ht="15.0" customHeight="1">
      <c r="B250" s="6"/>
      <c r="C250" s="6"/>
      <c r="E250" s="6"/>
      <c r="M250" s="6"/>
      <c r="P250" s="6"/>
    </row>
    <row r="251" ht="15.0" customHeight="1">
      <c r="B251" s="6"/>
      <c r="C251" s="6"/>
      <c r="E251" s="6"/>
      <c r="M251" s="6"/>
      <c r="P251" s="6"/>
    </row>
    <row r="252" ht="15.0" customHeight="1">
      <c r="B252" s="6"/>
      <c r="C252" s="6"/>
      <c r="E252" s="6"/>
      <c r="M252" s="6"/>
      <c r="P252" s="6"/>
    </row>
    <row r="253" ht="15.0" customHeight="1">
      <c r="B253" s="6"/>
      <c r="C253" s="6"/>
      <c r="E253" s="6"/>
      <c r="M253" s="6"/>
      <c r="P253" s="6"/>
    </row>
    <row r="254" ht="15.0" customHeight="1">
      <c r="B254" s="6"/>
      <c r="C254" s="6"/>
      <c r="E254" s="6"/>
      <c r="M254" s="6"/>
      <c r="P254" s="6"/>
    </row>
    <row r="255" ht="15.0" customHeight="1">
      <c r="B255" s="6"/>
      <c r="C255" s="6"/>
      <c r="E255" s="6"/>
      <c r="M255" s="6"/>
      <c r="P255" s="6"/>
    </row>
    <row r="256" ht="15.0" customHeight="1">
      <c r="B256" s="6"/>
      <c r="C256" s="6"/>
      <c r="E256" s="6"/>
      <c r="M256" s="6"/>
      <c r="P256" s="6"/>
    </row>
    <row r="257" ht="15.0" customHeight="1">
      <c r="B257" s="6"/>
      <c r="C257" s="6"/>
      <c r="E257" s="6"/>
      <c r="M257" s="6"/>
      <c r="P257" s="6"/>
    </row>
    <row r="258" ht="15.0" customHeight="1">
      <c r="B258" s="6"/>
      <c r="C258" s="6"/>
      <c r="E258" s="6"/>
      <c r="M258" s="6"/>
      <c r="P258" s="6"/>
    </row>
    <row r="259" ht="15.0" customHeight="1">
      <c r="B259" s="6"/>
      <c r="C259" s="6"/>
      <c r="E259" s="6"/>
      <c r="M259" s="6"/>
      <c r="P259" s="6"/>
    </row>
    <row r="260" ht="15.0" customHeight="1">
      <c r="B260" s="6"/>
      <c r="C260" s="6"/>
      <c r="E260" s="6"/>
      <c r="M260" s="6"/>
      <c r="P260" s="6"/>
    </row>
    <row r="261" ht="15.0" customHeight="1">
      <c r="B261" s="6"/>
      <c r="C261" s="6"/>
      <c r="E261" s="6"/>
      <c r="M261" s="6"/>
      <c r="P261" s="6"/>
    </row>
    <row r="262" ht="15.0" customHeight="1">
      <c r="B262" s="6"/>
      <c r="C262" s="6"/>
      <c r="E262" s="6"/>
      <c r="M262" s="6"/>
      <c r="P262" s="6"/>
    </row>
    <row r="263" ht="15.0" customHeight="1">
      <c r="B263" s="6"/>
      <c r="C263" s="6"/>
      <c r="E263" s="6"/>
      <c r="M263" s="6"/>
      <c r="P263" s="6"/>
    </row>
    <row r="264" ht="15.0" customHeight="1">
      <c r="B264" s="6"/>
      <c r="C264" s="6"/>
      <c r="E264" s="6"/>
      <c r="M264" s="6"/>
      <c r="P264" s="6"/>
    </row>
    <row r="265" ht="15.0" customHeight="1">
      <c r="B265" s="6"/>
      <c r="C265" s="6"/>
      <c r="E265" s="6"/>
      <c r="M265" s="6"/>
      <c r="P265" s="6"/>
    </row>
    <row r="266" ht="15.0" customHeight="1">
      <c r="B266" s="6"/>
      <c r="C266" s="6"/>
      <c r="E266" s="6"/>
      <c r="M266" s="6"/>
      <c r="P266" s="6"/>
    </row>
    <row r="267" ht="15.0" customHeight="1">
      <c r="B267" s="6"/>
      <c r="C267" s="6"/>
      <c r="E267" s="6"/>
      <c r="M267" s="6"/>
      <c r="P267" s="6"/>
    </row>
    <row r="268" ht="15.0" customHeight="1">
      <c r="B268" s="6"/>
      <c r="C268" s="6"/>
      <c r="E268" s="6"/>
      <c r="M268" s="6"/>
      <c r="P268" s="6"/>
    </row>
    <row r="269" ht="15.0" customHeight="1">
      <c r="B269" s="6"/>
      <c r="C269" s="6"/>
      <c r="E269" s="6"/>
      <c r="M269" s="6"/>
      <c r="P269" s="6"/>
    </row>
    <row r="270" ht="15.0" customHeight="1">
      <c r="B270" s="6"/>
      <c r="C270" s="6"/>
      <c r="E270" s="6"/>
      <c r="M270" s="6"/>
      <c r="P270" s="6"/>
    </row>
    <row r="271" ht="15.0" customHeight="1">
      <c r="B271" s="6"/>
      <c r="C271" s="6"/>
      <c r="E271" s="6"/>
      <c r="M271" s="6"/>
      <c r="P271" s="6"/>
    </row>
    <row r="272" ht="15.0" customHeight="1">
      <c r="B272" s="6"/>
      <c r="C272" s="6"/>
      <c r="E272" s="6"/>
      <c r="M272" s="6"/>
      <c r="P272" s="6"/>
    </row>
    <row r="273" ht="15.0" customHeight="1">
      <c r="B273" s="6"/>
      <c r="C273" s="6"/>
      <c r="E273" s="6"/>
      <c r="M273" s="6"/>
      <c r="P273" s="6"/>
    </row>
    <row r="274" ht="15.0" customHeight="1">
      <c r="B274" s="6"/>
      <c r="C274" s="6"/>
      <c r="E274" s="6"/>
      <c r="M274" s="6"/>
      <c r="P274" s="6"/>
    </row>
    <row r="275" ht="15.0" customHeight="1">
      <c r="B275" s="6"/>
      <c r="C275" s="6"/>
      <c r="E275" s="6"/>
      <c r="M275" s="6"/>
      <c r="P275" s="6"/>
    </row>
    <row r="276" ht="15.0" customHeight="1">
      <c r="B276" s="6"/>
      <c r="C276" s="6"/>
      <c r="E276" s="6"/>
      <c r="M276" s="6"/>
      <c r="P276" s="6"/>
    </row>
    <row r="277" ht="15.0" customHeight="1">
      <c r="B277" s="6"/>
      <c r="C277" s="6"/>
      <c r="E277" s="6"/>
      <c r="M277" s="6"/>
      <c r="P277" s="6"/>
    </row>
    <row r="278" ht="15.0" customHeight="1">
      <c r="B278" s="6"/>
      <c r="C278" s="6"/>
      <c r="E278" s="6"/>
      <c r="M278" s="6"/>
      <c r="P278" s="6"/>
    </row>
    <row r="279" ht="15.0" customHeight="1">
      <c r="B279" s="6"/>
      <c r="C279" s="6"/>
      <c r="E279" s="6"/>
      <c r="M279" s="6"/>
      <c r="P279" s="6"/>
    </row>
    <row r="280" ht="15.0" customHeight="1">
      <c r="B280" s="6"/>
      <c r="C280" s="6"/>
      <c r="E280" s="6"/>
      <c r="M280" s="6"/>
      <c r="P280" s="6"/>
    </row>
    <row r="281" ht="15.0" customHeight="1">
      <c r="B281" s="6"/>
      <c r="C281" s="6"/>
      <c r="E281" s="6"/>
      <c r="M281" s="6"/>
      <c r="P281" s="6"/>
    </row>
    <row r="282" ht="15.0" customHeight="1">
      <c r="B282" s="6"/>
      <c r="C282" s="6"/>
      <c r="E282" s="6"/>
      <c r="M282" s="6"/>
      <c r="P282" s="6"/>
    </row>
    <row r="283" ht="15.0" customHeight="1">
      <c r="B283" s="6"/>
      <c r="C283" s="6"/>
      <c r="E283" s="6"/>
      <c r="M283" s="6"/>
      <c r="P283" s="6"/>
    </row>
    <row r="284" ht="15.0" customHeight="1">
      <c r="B284" s="6"/>
      <c r="C284" s="6"/>
      <c r="E284" s="6"/>
      <c r="M284" s="6"/>
      <c r="P284" s="6"/>
    </row>
    <row r="285" ht="15.0" customHeight="1">
      <c r="B285" s="6"/>
      <c r="C285" s="6"/>
      <c r="E285" s="6"/>
      <c r="M285" s="6"/>
      <c r="P285" s="6"/>
    </row>
    <row r="286" ht="15.0" customHeight="1">
      <c r="B286" s="6"/>
      <c r="C286" s="6"/>
      <c r="E286" s="6"/>
      <c r="M286" s="6"/>
      <c r="P286" s="6"/>
    </row>
    <row r="287" ht="15.0" customHeight="1">
      <c r="B287" s="6"/>
      <c r="C287" s="6"/>
      <c r="E287" s="6"/>
      <c r="M287" s="6"/>
      <c r="P287" s="6"/>
    </row>
    <row r="288" ht="15.0" customHeight="1">
      <c r="B288" s="6"/>
      <c r="C288" s="6"/>
      <c r="E288" s="6"/>
      <c r="M288" s="6"/>
      <c r="P288" s="6"/>
    </row>
    <row r="289" ht="15.0" customHeight="1">
      <c r="B289" s="6"/>
      <c r="C289" s="6"/>
      <c r="E289" s="6"/>
      <c r="M289" s="6"/>
      <c r="P289" s="6"/>
    </row>
    <row r="290" ht="15.0" customHeight="1">
      <c r="B290" s="6"/>
      <c r="C290" s="6"/>
      <c r="E290" s="6"/>
      <c r="M290" s="6"/>
      <c r="P290" s="6"/>
    </row>
    <row r="291" ht="15.0" customHeight="1">
      <c r="B291" s="6"/>
      <c r="C291" s="6"/>
      <c r="E291" s="6"/>
      <c r="M291" s="6"/>
      <c r="P291" s="6"/>
    </row>
    <row r="292" ht="15.0" customHeight="1">
      <c r="B292" s="6"/>
      <c r="C292" s="6"/>
      <c r="E292" s="6"/>
      <c r="M292" s="6"/>
      <c r="P292" s="6"/>
    </row>
    <row r="293" ht="15.0" customHeight="1">
      <c r="B293" s="6"/>
      <c r="C293" s="6"/>
      <c r="E293" s="6"/>
      <c r="M293" s="6"/>
      <c r="P293" s="6"/>
    </row>
    <row r="294" ht="15.0" customHeight="1">
      <c r="B294" s="6"/>
      <c r="C294" s="6"/>
      <c r="E294" s="6"/>
      <c r="M294" s="6"/>
      <c r="P294" s="6"/>
    </row>
    <row r="295" ht="15.0" customHeight="1">
      <c r="B295" s="6"/>
      <c r="C295" s="6"/>
      <c r="E295" s="6"/>
      <c r="M295" s="6"/>
      <c r="P295" s="6"/>
    </row>
    <row r="296" ht="15.0" customHeight="1">
      <c r="B296" s="6"/>
      <c r="C296" s="6"/>
      <c r="E296" s="6"/>
      <c r="M296" s="6"/>
      <c r="P296" s="6"/>
    </row>
    <row r="297" ht="15.0" customHeight="1">
      <c r="B297" s="6"/>
      <c r="C297" s="6"/>
      <c r="E297" s="6"/>
      <c r="M297" s="6"/>
      <c r="P297" s="6"/>
    </row>
    <row r="298" ht="15.0" customHeight="1">
      <c r="B298" s="6"/>
      <c r="C298" s="6"/>
      <c r="E298" s="6"/>
      <c r="M298" s="6"/>
      <c r="P298" s="6"/>
    </row>
    <row r="299" ht="15.0" customHeight="1">
      <c r="B299" s="6"/>
      <c r="C299" s="6"/>
      <c r="E299" s="6"/>
      <c r="M299" s="6"/>
      <c r="P299" s="6"/>
    </row>
    <row r="300" ht="15.0" customHeight="1">
      <c r="B300" s="6"/>
      <c r="C300" s="6"/>
      <c r="E300" s="6"/>
      <c r="M300" s="6"/>
      <c r="P300" s="6"/>
    </row>
    <row r="301" ht="15.0" customHeight="1">
      <c r="B301" s="6"/>
      <c r="C301" s="6"/>
      <c r="E301" s="6"/>
      <c r="M301" s="6"/>
      <c r="P301" s="6"/>
    </row>
    <row r="302" ht="15.0" customHeight="1">
      <c r="B302" s="6"/>
      <c r="C302" s="6"/>
      <c r="E302" s="6"/>
      <c r="M302" s="6"/>
      <c r="P302" s="6"/>
    </row>
    <row r="303" ht="15.0" customHeight="1">
      <c r="B303" s="6"/>
      <c r="C303" s="6"/>
      <c r="E303" s="6"/>
      <c r="M303" s="6"/>
      <c r="P303" s="6"/>
    </row>
    <row r="304" ht="15.0" customHeight="1">
      <c r="B304" s="6"/>
      <c r="C304" s="6"/>
      <c r="E304" s="6"/>
      <c r="M304" s="6"/>
      <c r="P304" s="6"/>
    </row>
    <row r="305" ht="15.0" customHeight="1">
      <c r="B305" s="6"/>
      <c r="C305" s="6"/>
      <c r="E305" s="6"/>
      <c r="M305" s="6"/>
      <c r="P305" s="6"/>
    </row>
    <row r="306" ht="15.0" customHeight="1">
      <c r="B306" s="6"/>
      <c r="C306" s="6"/>
      <c r="E306" s="6"/>
      <c r="M306" s="6"/>
      <c r="P306" s="6"/>
    </row>
    <row r="307" ht="15.0" customHeight="1">
      <c r="B307" s="6"/>
      <c r="C307" s="6"/>
      <c r="E307" s="6"/>
      <c r="M307" s="6"/>
      <c r="P307" s="6"/>
    </row>
    <row r="308" ht="15.0" customHeight="1">
      <c r="B308" s="6"/>
      <c r="C308" s="6"/>
      <c r="E308" s="6"/>
      <c r="M308" s="6"/>
      <c r="P308" s="6"/>
    </row>
    <row r="309" ht="15.0" customHeight="1">
      <c r="B309" s="6"/>
      <c r="C309" s="6"/>
      <c r="E309" s="6"/>
      <c r="M309" s="6"/>
      <c r="P309" s="6"/>
    </row>
    <row r="310" ht="15.0" customHeight="1">
      <c r="B310" s="6"/>
      <c r="C310" s="6"/>
      <c r="E310" s="6"/>
      <c r="M310" s="6"/>
      <c r="P310" s="6"/>
    </row>
    <row r="311" ht="15.0" customHeight="1">
      <c r="B311" s="6"/>
      <c r="C311" s="6"/>
      <c r="E311" s="6"/>
      <c r="M311" s="6"/>
      <c r="P311" s="6"/>
    </row>
    <row r="312" ht="15.0" customHeight="1">
      <c r="B312" s="6"/>
      <c r="C312" s="6"/>
      <c r="E312" s="6"/>
      <c r="M312" s="6"/>
      <c r="P312" s="6"/>
    </row>
    <row r="313" ht="15.0" customHeight="1">
      <c r="B313" s="6"/>
      <c r="C313" s="6"/>
      <c r="E313" s="6"/>
      <c r="M313" s="6"/>
      <c r="P313" s="6"/>
    </row>
    <row r="314" ht="15.0" customHeight="1">
      <c r="B314" s="6"/>
      <c r="C314" s="6"/>
      <c r="E314" s="6"/>
      <c r="M314" s="6"/>
      <c r="P314" s="6"/>
    </row>
    <row r="315" ht="15.0" customHeight="1">
      <c r="B315" s="6"/>
      <c r="C315" s="6"/>
      <c r="E315" s="6"/>
      <c r="M315" s="6"/>
      <c r="P315" s="6"/>
    </row>
    <row r="316" ht="15.0" customHeight="1">
      <c r="B316" s="6"/>
      <c r="C316" s="6"/>
      <c r="E316" s="6"/>
      <c r="M316" s="6"/>
      <c r="P316" s="6"/>
    </row>
    <row r="317" ht="15.0" customHeight="1">
      <c r="B317" s="6"/>
      <c r="C317" s="6"/>
      <c r="E317" s="6"/>
      <c r="M317" s="6"/>
      <c r="P317" s="6"/>
    </row>
    <row r="318" ht="15.0" customHeight="1">
      <c r="B318" s="6"/>
      <c r="C318" s="6"/>
      <c r="E318" s="6"/>
      <c r="M318" s="6"/>
      <c r="P318" s="6"/>
    </row>
    <row r="319" ht="15.0" customHeight="1">
      <c r="B319" s="6"/>
      <c r="C319" s="6"/>
      <c r="E319" s="6"/>
      <c r="M319" s="6"/>
      <c r="P319" s="6"/>
    </row>
    <row r="320" ht="15.0" customHeight="1">
      <c r="B320" s="6"/>
      <c r="C320" s="6"/>
      <c r="E320" s="6"/>
      <c r="M320" s="6"/>
      <c r="P320" s="6"/>
    </row>
    <row r="321" ht="15.0" customHeight="1">
      <c r="B321" s="6"/>
      <c r="C321" s="6"/>
      <c r="E321" s="6"/>
      <c r="M321" s="6"/>
      <c r="P321" s="6"/>
    </row>
    <row r="322" ht="15.0" customHeight="1">
      <c r="B322" s="6"/>
      <c r="C322" s="6"/>
      <c r="E322" s="6"/>
      <c r="M322" s="6"/>
      <c r="P322" s="6"/>
    </row>
    <row r="323" ht="15.0" customHeight="1">
      <c r="B323" s="6"/>
      <c r="C323" s="6"/>
      <c r="E323" s="6"/>
      <c r="M323" s="6"/>
      <c r="P323" s="6"/>
    </row>
    <row r="324" ht="15.0" customHeight="1">
      <c r="B324" s="6"/>
      <c r="C324" s="6"/>
      <c r="E324" s="6"/>
      <c r="M324" s="6"/>
      <c r="P324" s="6"/>
    </row>
    <row r="325" ht="15.0" customHeight="1">
      <c r="B325" s="6"/>
      <c r="C325" s="6"/>
      <c r="E325" s="6"/>
      <c r="M325" s="6"/>
      <c r="P325" s="6"/>
    </row>
    <row r="326" ht="15.0" customHeight="1">
      <c r="B326" s="6"/>
      <c r="C326" s="6"/>
      <c r="E326" s="6"/>
      <c r="M326" s="6"/>
      <c r="P326" s="6"/>
    </row>
    <row r="327" ht="15.0" customHeight="1">
      <c r="B327" s="6"/>
      <c r="C327" s="6"/>
      <c r="E327" s="6"/>
      <c r="M327" s="6"/>
      <c r="P327" s="6"/>
    </row>
    <row r="328" ht="15.0" customHeight="1">
      <c r="B328" s="6"/>
      <c r="C328" s="6"/>
      <c r="E328" s="6"/>
      <c r="M328" s="6"/>
      <c r="P328" s="6"/>
    </row>
    <row r="329" ht="15.0" customHeight="1">
      <c r="B329" s="6"/>
      <c r="C329" s="6"/>
      <c r="E329" s="6"/>
      <c r="M329" s="6"/>
      <c r="P329" s="6"/>
    </row>
    <row r="330" ht="15.0" customHeight="1">
      <c r="B330" s="6"/>
      <c r="C330" s="6"/>
      <c r="E330" s="6"/>
      <c r="M330" s="6"/>
      <c r="P330" s="6"/>
    </row>
    <row r="331" ht="15.75" customHeight="1">
      <c r="B331" s="6"/>
      <c r="C331" s="6"/>
      <c r="E331" s="6"/>
      <c r="M331" s="6"/>
      <c r="P331" s="6"/>
    </row>
    <row r="332" ht="15.75" customHeight="1">
      <c r="B332" s="6"/>
      <c r="C332" s="6"/>
      <c r="E332" s="6"/>
      <c r="M332" s="6"/>
      <c r="P332" s="6"/>
    </row>
    <row r="333" ht="15.75" customHeight="1">
      <c r="B333" s="6"/>
      <c r="C333" s="6"/>
      <c r="E333" s="6"/>
      <c r="M333" s="6"/>
      <c r="P333" s="6"/>
    </row>
    <row r="334" ht="15.75" customHeight="1">
      <c r="B334" s="6"/>
      <c r="C334" s="6"/>
      <c r="E334" s="6"/>
      <c r="M334" s="6"/>
      <c r="P334" s="6"/>
    </row>
    <row r="335" ht="15.75" customHeight="1">
      <c r="B335" s="6"/>
      <c r="C335" s="6"/>
      <c r="E335" s="6"/>
      <c r="M335" s="6"/>
      <c r="P335" s="6"/>
    </row>
    <row r="336" ht="15.75" customHeight="1">
      <c r="B336" s="6"/>
      <c r="C336" s="6"/>
      <c r="E336" s="6"/>
      <c r="M336" s="6"/>
      <c r="P336" s="6"/>
    </row>
    <row r="337" ht="15.75" customHeight="1">
      <c r="B337" s="6"/>
      <c r="C337" s="6"/>
      <c r="E337" s="6"/>
      <c r="M337" s="6"/>
      <c r="P337" s="6"/>
    </row>
    <row r="338" ht="15.75" customHeight="1">
      <c r="B338" s="6"/>
      <c r="C338" s="6"/>
      <c r="E338" s="6"/>
      <c r="M338" s="6"/>
      <c r="P338" s="6"/>
    </row>
    <row r="339" ht="15.75" customHeight="1">
      <c r="B339" s="6"/>
      <c r="C339" s="6"/>
      <c r="E339" s="6"/>
      <c r="M339" s="6"/>
      <c r="P339" s="6"/>
    </row>
    <row r="340" ht="15.75" customHeight="1">
      <c r="B340" s="6"/>
      <c r="C340" s="6"/>
      <c r="E340" s="6"/>
      <c r="M340" s="6"/>
      <c r="P340" s="6"/>
    </row>
    <row r="341" ht="15.75" customHeight="1">
      <c r="B341" s="6"/>
      <c r="C341" s="6"/>
      <c r="E341" s="6"/>
      <c r="M341" s="6"/>
      <c r="P341" s="6"/>
    </row>
    <row r="342" ht="15.75" customHeight="1">
      <c r="B342" s="6"/>
      <c r="C342" s="6"/>
      <c r="E342" s="6"/>
      <c r="M342" s="6"/>
      <c r="P342" s="6"/>
    </row>
    <row r="343" ht="15.75" customHeight="1">
      <c r="B343" s="6"/>
      <c r="C343" s="6"/>
      <c r="E343" s="6"/>
      <c r="M343" s="6"/>
      <c r="P343" s="6"/>
    </row>
    <row r="344" ht="15.75" customHeight="1">
      <c r="B344" s="6"/>
      <c r="C344" s="6"/>
      <c r="E344" s="6"/>
      <c r="M344" s="6"/>
      <c r="P344" s="6"/>
    </row>
    <row r="345" ht="15.75" customHeight="1">
      <c r="B345" s="6"/>
      <c r="C345" s="6"/>
      <c r="E345" s="6"/>
      <c r="M345" s="6"/>
      <c r="P345" s="6"/>
    </row>
    <row r="346" ht="15.75" customHeight="1">
      <c r="B346" s="6"/>
      <c r="C346" s="6"/>
      <c r="E346" s="6"/>
      <c r="M346" s="6"/>
      <c r="P346" s="6"/>
    </row>
    <row r="347" ht="15.75" customHeight="1">
      <c r="B347" s="6"/>
      <c r="C347" s="6"/>
      <c r="E347" s="6"/>
      <c r="M347" s="6"/>
      <c r="P347" s="6"/>
    </row>
    <row r="348" ht="15.75" customHeight="1">
      <c r="B348" s="6"/>
      <c r="C348" s="6"/>
      <c r="E348" s="6"/>
      <c r="M348" s="6"/>
      <c r="P348" s="6"/>
    </row>
    <row r="349" ht="15.75" customHeight="1">
      <c r="B349" s="6"/>
      <c r="C349" s="6"/>
      <c r="E349" s="6"/>
      <c r="M349" s="6"/>
      <c r="P349" s="6"/>
    </row>
    <row r="350" ht="15.75" customHeight="1">
      <c r="B350" s="6"/>
      <c r="C350" s="6"/>
      <c r="E350" s="6"/>
      <c r="M350" s="6"/>
      <c r="P350" s="6"/>
    </row>
    <row r="351" ht="15.75" customHeight="1">
      <c r="B351" s="6"/>
      <c r="C351" s="6"/>
      <c r="E351" s="6"/>
      <c r="M351" s="6"/>
      <c r="P351" s="6"/>
    </row>
    <row r="352" ht="15.75" customHeight="1">
      <c r="B352" s="6"/>
      <c r="C352" s="6"/>
      <c r="E352" s="6"/>
      <c r="M352" s="6"/>
      <c r="P352" s="6"/>
    </row>
    <row r="353" ht="15.75" customHeight="1">
      <c r="B353" s="6"/>
      <c r="C353" s="6"/>
      <c r="E353" s="6"/>
      <c r="M353" s="6"/>
      <c r="P353" s="6"/>
    </row>
    <row r="354" ht="15.75" customHeight="1">
      <c r="B354" s="6"/>
      <c r="C354" s="6"/>
      <c r="E354" s="6"/>
      <c r="M354" s="6"/>
      <c r="P354" s="6"/>
    </row>
    <row r="355" ht="15.75" customHeight="1">
      <c r="B355" s="6"/>
      <c r="C355" s="6"/>
      <c r="E355" s="6"/>
      <c r="M355" s="6"/>
      <c r="P355" s="6"/>
    </row>
    <row r="356" ht="15.75" customHeight="1">
      <c r="B356" s="6"/>
      <c r="C356" s="6"/>
      <c r="E356" s="6"/>
      <c r="M356" s="6"/>
      <c r="P356" s="6"/>
    </row>
    <row r="357" ht="15.75" customHeight="1">
      <c r="B357" s="6"/>
      <c r="C357" s="6"/>
      <c r="E357" s="6"/>
      <c r="M357" s="6"/>
      <c r="P357" s="6"/>
    </row>
    <row r="358" ht="15.75" customHeight="1">
      <c r="B358" s="6"/>
      <c r="C358" s="6"/>
      <c r="E358" s="6"/>
      <c r="M358" s="6"/>
      <c r="P358" s="6"/>
    </row>
    <row r="359" ht="15.75" customHeight="1">
      <c r="B359" s="6"/>
      <c r="C359" s="6"/>
      <c r="E359" s="6"/>
      <c r="M359" s="6"/>
      <c r="P359" s="6"/>
    </row>
    <row r="360" ht="15.75" customHeight="1">
      <c r="B360" s="6"/>
      <c r="C360" s="6"/>
      <c r="E360" s="6"/>
      <c r="M360" s="6"/>
      <c r="P360" s="6"/>
    </row>
    <row r="361" ht="15.75" customHeight="1">
      <c r="B361" s="6"/>
      <c r="C361" s="6"/>
      <c r="E361" s="6"/>
      <c r="M361" s="6"/>
      <c r="P361" s="6"/>
    </row>
    <row r="362" ht="15.75" customHeight="1">
      <c r="B362" s="6"/>
      <c r="C362" s="6"/>
      <c r="E362" s="6"/>
      <c r="M362" s="6"/>
      <c r="P362" s="6"/>
    </row>
    <row r="363" ht="15.75" customHeight="1">
      <c r="B363" s="6"/>
      <c r="C363" s="6"/>
      <c r="E363" s="6"/>
      <c r="M363" s="6"/>
      <c r="P363" s="6"/>
    </row>
    <row r="364" ht="15.75" customHeight="1">
      <c r="B364" s="6"/>
      <c r="C364" s="6"/>
      <c r="E364" s="6"/>
      <c r="M364" s="6"/>
      <c r="P364" s="6"/>
    </row>
    <row r="365" ht="15.75" customHeight="1">
      <c r="B365" s="6"/>
      <c r="C365" s="6"/>
      <c r="E365" s="6"/>
      <c r="M365" s="6"/>
      <c r="P365" s="6"/>
    </row>
    <row r="366" ht="15.75" customHeight="1">
      <c r="B366" s="6"/>
      <c r="C366" s="6"/>
      <c r="E366" s="6"/>
      <c r="M366" s="6"/>
      <c r="P366" s="6"/>
    </row>
    <row r="367" ht="15.75" customHeight="1">
      <c r="B367" s="6"/>
      <c r="C367" s="6"/>
      <c r="E367" s="6"/>
      <c r="M367" s="6"/>
      <c r="P367" s="6"/>
    </row>
    <row r="368" ht="15.75" customHeight="1">
      <c r="B368" s="6"/>
      <c r="C368" s="6"/>
      <c r="E368" s="6"/>
      <c r="M368" s="6"/>
      <c r="P368" s="6"/>
    </row>
    <row r="369" ht="15.75" customHeight="1">
      <c r="B369" s="6"/>
      <c r="C369" s="6"/>
      <c r="E369" s="6"/>
      <c r="M369" s="6"/>
      <c r="P369" s="6"/>
    </row>
    <row r="370" ht="15.75" customHeight="1">
      <c r="B370" s="6"/>
      <c r="C370" s="6"/>
      <c r="E370" s="6"/>
      <c r="M370" s="6"/>
      <c r="P370" s="6"/>
    </row>
    <row r="371" ht="15.75" customHeight="1">
      <c r="B371" s="6"/>
      <c r="C371" s="6"/>
      <c r="E371" s="6"/>
      <c r="M371" s="6"/>
      <c r="P371" s="6"/>
    </row>
    <row r="372" ht="15.75" customHeight="1">
      <c r="B372" s="6"/>
      <c r="C372" s="6"/>
      <c r="E372" s="6"/>
      <c r="M372" s="6"/>
      <c r="P372" s="6"/>
    </row>
    <row r="373" ht="15.75" customHeight="1">
      <c r="B373" s="6"/>
      <c r="C373" s="6"/>
      <c r="E373" s="6"/>
      <c r="M373" s="6"/>
      <c r="P373" s="6"/>
    </row>
    <row r="374" ht="15.75" customHeight="1">
      <c r="B374" s="6"/>
      <c r="C374" s="6"/>
      <c r="E374" s="6"/>
      <c r="M374" s="6"/>
      <c r="P374" s="6"/>
    </row>
    <row r="375" ht="15.75" customHeight="1">
      <c r="B375" s="6"/>
      <c r="C375" s="6"/>
      <c r="E375" s="6"/>
      <c r="M375" s="6"/>
      <c r="P375" s="6"/>
    </row>
    <row r="376" ht="15.75" customHeight="1">
      <c r="B376" s="6"/>
      <c r="C376" s="6"/>
      <c r="E376" s="6"/>
      <c r="M376" s="6"/>
      <c r="P376" s="6"/>
    </row>
    <row r="377" ht="15.75" customHeight="1">
      <c r="B377" s="6"/>
      <c r="C377" s="6"/>
      <c r="E377" s="6"/>
      <c r="M377" s="6"/>
      <c r="P377" s="6"/>
    </row>
    <row r="378" ht="15.75" customHeight="1">
      <c r="B378" s="6"/>
      <c r="C378" s="6"/>
      <c r="E378" s="6"/>
      <c r="M378" s="6"/>
      <c r="P378" s="6"/>
    </row>
    <row r="379" ht="15.75" customHeight="1">
      <c r="B379" s="6"/>
      <c r="C379" s="6"/>
      <c r="E379" s="6"/>
      <c r="M379" s="6"/>
      <c r="P379" s="6"/>
    </row>
    <row r="380" ht="15.75" customHeight="1">
      <c r="B380" s="6"/>
      <c r="C380" s="6"/>
      <c r="E380" s="6"/>
      <c r="M380" s="6"/>
      <c r="P380" s="6"/>
    </row>
    <row r="381" ht="15.75" customHeight="1">
      <c r="B381" s="6"/>
      <c r="C381" s="6"/>
      <c r="E381" s="6"/>
      <c r="M381" s="6"/>
      <c r="P381" s="6"/>
    </row>
    <row r="382" ht="15.75" customHeight="1">
      <c r="B382" s="6"/>
      <c r="C382" s="6"/>
      <c r="E382" s="6"/>
      <c r="M382" s="6"/>
      <c r="P382" s="6"/>
    </row>
    <row r="383" ht="15.75" customHeight="1">
      <c r="B383" s="6"/>
      <c r="C383" s="6"/>
      <c r="E383" s="6"/>
      <c r="M383" s="6"/>
      <c r="P383" s="6"/>
    </row>
    <row r="384" ht="15.75" customHeight="1">
      <c r="B384" s="6"/>
      <c r="C384" s="6"/>
      <c r="E384" s="6"/>
      <c r="M384" s="6"/>
      <c r="P384" s="6"/>
    </row>
    <row r="385" ht="15.75" customHeight="1">
      <c r="B385" s="6"/>
      <c r="C385" s="6"/>
      <c r="E385" s="6"/>
      <c r="M385" s="6"/>
      <c r="P385" s="6"/>
    </row>
    <row r="386" ht="15.75" customHeight="1">
      <c r="B386" s="6"/>
      <c r="C386" s="6"/>
      <c r="E386" s="6"/>
      <c r="M386" s="6"/>
      <c r="P386" s="6"/>
    </row>
    <row r="387" ht="15.75" customHeight="1">
      <c r="B387" s="6"/>
      <c r="C387" s="6"/>
      <c r="E387" s="6"/>
      <c r="M387" s="6"/>
      <c r="P387" s="6"/>
    </row>
    <row r="388" ht="15.75" customHeight="1">
      <c r="B388" s="6"/>
      <c r="C388" s="6"/>
      <c r="E388" s="6"/>
      <c r="M388" s="6"/>
      <c r="P388" s="6"/>
    </row>
    <row r="389" ht="15.75" customHeight="1">
      <c r="B389" s="6"/>
      <c r="C389" s="6"/>
      <c r="E389" s="6"/>
      <c r="M389" s="6"/>
      <c r="P389" s="6"/>
    </row>
    <row r="390" ht="15.75" customHeight="1">
      <c r="B390" s="6"/>
      <c r="C390" s="6"/>
      <c r="E390" s="6"/>
      <c r="M390" s="6"/>
      <c r="P390" s="6"/>
    </row>
    <row r="391" ht="15.75" customHeight="1">
      <c r="B391" s="6"/>
      <c r="C391" s="6"/>
      <c r="E391" s="6"/>
      <c r="M391" s="6"/>
      <c r="P391" s="6"/>
    </row>
    <row r="392" ht="15.75" customHeight="1">
      <c r="B392" s="6"/>
      <c r="C392" s="6"/>
      <c r="E392" s="6"/>
      <c r="M392" s="6"/>
      <c r="P392" s="6"/>
    </row>
    <row r="393" ht="15.75" customHeight="1">
      <c r="B393" s="6"/>
      <c r="C393" s="6"/>
      <c r="E393" s="6"/>
      <c r="M393" s="6"/>
      <c r="P393" s="6"/>
    </row>
    <row r="394" ht="15.75" customHeight="1">
      <c r="B394" s="6"/>
      <c r="C394" s="6"/>
      <c r="E394" s="6"/>
      <c r="M394" s="6"/>
      <c r="P394" s="6"/>
    </row>
    <row r="395" ht="15.75" customHeight="1">
      <c r="B395" s="6"/>
      <c r="C395" s="6"/>
      <c r="E395" s="6"/>
      <c r="M395" s="6"/>
      <c r="P395" s="6"/>
    </row>
    <row r="396" ht="15.75" customHeight="1">
      <c r="B396" s="6"/>
      <c r="C396" s="6"/>
      <c r="E396" s="6"/>
      <c r="M396" s="6"/>
      <c r="P396" s="6"/>
    </row>
    <row r="397" ht="15.75" customHeight="1">
      <c r="B397" s="6"/>
      <c r="C397" s="6"/>
      <c r="E397" s="6"/>
      <c r="M397" s="6"/>
      <c r="P397" s="6"/>
    </row>
    <row r="398" ht="15.75" customHeight="1">
      <c r="B398" s="6"/>
      <c r="C398" s="6"/>
      <c r="E398" s="6"/>
      <c r="M398" s="6"/>
      <c r="P398" s="6"/>
    </row>
    <row r="399" ht="15.75" customHeight="1">
      <c r="B399" s="6"/>
      <c r="C399" s="6"/>
      <c r="E399" s="6"/>
      <c r="M399" s="6"/>
      <c r="P399" s="6"/>
    </row>
    <row r="400" ht="15.75" customHeight="1">
      <c r="B400" s="6"/>
      <c r="C400" s="6"/>
      <c r="E400" s="6"/>
      <c r="M400" s="6"/>
      <c r="P400" s="6"/>
    </row>
    <row r="401" ht="15.75" customHeight="1">
      <c r="B401" s="6"/>
      <c r="C401" s="6"/>
      <c r="E401" s="6"/>
      <c r="M401" s="6"/>
      <c r="P401" s="6"/>
    </row>
    <row r="402" ht="15.75" customHeight="1">
      <c r="B402" s="6"/>
      <c r="C402" s="6"/>
      <c r="E402" s="6"/>
      <c r="M402" s="6"/>
      <c r="P402" s="6"/>
    </row>
    <row r="403" ht="15.75" customHeight="1">
      <c r="B403" s="6"/>
      <c r="C403" s="6"/>
      <c r="E403" s="6"/>
      <c r="M403" s="6"/>
      <c r="P403" s="6"/>
    </row>
    <row r="404" ht="15.75" customHeight="1">
      <c r="B404" s="6"/>
      <c r="C404" s="6"/>
      <c r="E404" s="6"/>
      <c r="M404" s="6"/>
      <c r="P404" s="6"/>
    </row>
    <row r="405" ht="15.75" customHeight="1">
      <c r="B405" s="6"/>
      <c r="C405" s="6"/>
      <c r="E405" s="6"/>
      <c r="M405" s="6"/>
      <c r="P405" s="6"/>
    </row>
    <row r="406" ht="15.75" customHeight="1">
      <c r="B406" s="6"/>
      <c r="C406" s="6"/>
      <c r="E406" s="6"/>
      <c r="M406" s="6"/>
      <c r="P406" s="6"/>
    </row>
    <row r="407" ht="15.75" customHeight="1">
      <c r="B407" s="6"/>
      <c r="C407" s="6"/>
      <c r="E407" s="6"/>
      <c r="M407" s="6"/>
      <c r="P407" s="6"/>
    </row>
    <row r="408" ht="15.75" customHeight="1">
      <c r="B408" s="6"/>
      <c r="C408" s="6"/>
      <c r="E408" s="6"/>
      <c r="M408" s="6"/>
      <c r="P408" s="6"/>
    </row>
    <row r="409" ht="15.75" customHeight="1">
      <c r="B409" s="6"/>
      <c r="C409" s="6"/>
      <c r="E409" s="6"/>
      <c r="M409" s="6"/>
      <c r="P409" s="6"/>
    </row>
    <row r="410" ht="15.75" customHeight="1">
      <c r="B410" s="6"/>
      <c r="C410" s="6"/>
      <c r="E410" s="6"/>
      <c r="M410" s="6"/>
      <c r="P410" s="6"/>
    </row>
    <row r="411" ht="15.75" customHeight="1">
      <c r="B411" s="6"/>
      <c r="C411" s="6"/>
      <c r="E411" s="6"/>
      <c r="M411" s="6"/>
      <c r="P411" s="6"/>
    </row>
    <row r="412" ht="15.75" customHeight="1">
      <c r="B412" s="6"/>
      <c r="C412" s="6"/>
      <c r="E412" s="6"/>
      <c r="M412" s="6"/>
      <c r="P412" s="6"/>
    </row>
    <row r="413" ht="15.75" customHeight="1">
      <c r="B413" s="6"/>
      <c r="C413" s="6"/>
      <c r="E413" s="6"/>
      <c r="M413" s="6"/>
      <c r="P413" s="6"/>
    </row>
    <row r="414" ht="15.75" customHeight="1">
      <c r="B414" s="6"/>
      <c r="C414" s="6"/>
      <c r="E414" s="6"/>
      <c r="M414" s="6"/>
      <c r="P414" s="6"/>
    </row>
    <row r="415" ht="15.75" customHeight="1">
      <c r="B415" s="6"/>
      <c r="C415" s="6"/>
      <c r="E415" s="6"/>
      <c r="M415" s="6"/>
      <c r="P415" s="6"/>
    </row>
    <row r="416" ht="15.75" customHeight="1">
      <c r="B416" s="6"/>
      <c r="C416" s="6"/>
      <c r="E416" s="6"/>
      <c r="M416" s="6"/>
      <c r="P416" s="6"/>
    </row>
    <row r="417" ht="15.75" customHeight="1">
      <c r="B417" s="6"/>
      <c r="C417" s="6"/>
      <c r="E417" s="6"/>
      <c r="M417" s="6"/>
      <c r="P417" s="6"/>
    </row>
    <row r="418" ht="15.75" customHeight="1">
      <c r="B418" s="6"/>
      <c r="C418" s="6"/>
      <c r="E418" s="6"/>
      <c r="M418" s="6"/>
      <c r="P418" s="6"/>
    </row>
    <row r="419" ht="15.75" customHeight="1">
      <c r="B419" s="6"/>
      <c r="C419" s="6"/>
      <c r="E419" s="6"/>
      <c r="M419" s="6"/>
      <c r="P419" s="6"/>
    </row>
    <row r="420" ht="15.75" customHeight="1">
      <c r="B420" s="6"/>
      <c r="C420" s="6"/>
      <c r="E420" s="6"/>
      <c r="M420" s="6"/>
      <c r="P420" s="6"/>
    </row>
    <row r="421" ht="15.75" customHeight="1">
      <c r="B421" s="6"/>
      <c r="C421" s="6"/>
      <c r="E421" s="6"/>
      <c r="M421" s="6"/>
      <c r="P421" s="6"/>
    </row>
    <row r="422" ht="15.75" customHeight="1">
      <c r="B422" s="6"/>
      <c r="C422" s="6"/>
      <c r="E422" s="6"/>
      <c r="M422" s="6"/>
      <c r="P422" s="6"/>
    </row>
    <row r="423" ht="15.75" customHeight="1">
      <c r="B423" s="6"/>
      <c r="C423" s="6"/>
      <c r="E423" s="6"/>
      <c r="M423" s="6"/>
      <c r="P423" s="6"/>
    </row>
    <row r="424" ht="15.75" customHeight="1">
      <c r="B424" s="6"/>
      <c r="C424" s="6"/>
      <c r="E424" s="6"/>
      <c r="M424" s="6"/>
      <c r="P424" s="6"/>
    </row>
    <row r="425" ht="15.75" customHeight="1">
      <c r="B425" s="6"/>
      <c r="C425" s="6"/>
      <c r="E425" s="6"/>
      <c r="M425" s="6"/>
      <c r="P425" s="6"/>
    </row>
    <row r="426" ht="15.75" customHeight="1">
      <c r="B426" s="6"/>
      <c r="C426" s="6"/>
      <c r="E426" s="6"/>
      <c r="M426" s="6"/>
      <c r="P426" s="6"/>
    </row>
    <row r="427" ht="15.75" customHeight="1">
      <c r="B427" s="6"/>
      <c r="C427" s="6"/>
      <c r="E427" s="6"/>
      <c r="M427" s="6"/>
      <c r="P427" s="6"/>
    </row>
    <row r="428" ht="15.75" customHeight="1">
      <c r="B428" s="6"/>
      <c r="C428" s="6"/>
      <c r="E428" s="6"/>
      <c r="M428" s="6"/>
      <c r="P428" s="6"/>
    </row>
    <row r="429" ht="15.75" customHeight="1">
      <c r="B429" s="6"/>
      <c r="C429" s="6"/>
      <c r="E429" s="6"/>
      <c r="M429" s="6"/>
      <c r="P429" s="6"/>
    </row>
    <row r="430" ht="15.75" customHeight="1">
      <c r="B430" s="6"/>
      <c r="C430" s="6"/>
      <c r="E430" s="6"/>
      <c r="M430" s="6"/>
      <c r="P430" s="6"/>
    </row>
    <row r="431" ht="15.75" customHeight="1">
      <c r="B431" s="6"/>
      <c r="C431" s="6"/>
      <c r="E431" s="6"/>
      <c r="M431" s="6"/>
      <c r="P431" s="6"/>
    </row>
    <row r="432" ht="15.75" customHeight="1">
      <c r="B432" s="6"/>
      <c r="C432" s="6"/>
      <c r="E432" s="6"/>
      <c r="M432" s="6"/>
      <c r="P432" s="6"/>
    </row>
    <row r="433" ht="15.75" customHeight="1">
      <c r="B433" s="6"/>
      <c r="C433" s="6"/>
      <c r="E433" s="6"/>
      <c r="M433" s="6"/>
      <c r="P433" s="6"/>
    </row>
    <row r="434" ht="15.75" customHeight="1">
      <c r="B434" s="6"/>
      <c r="C434" s="6"/>
      <c r="E434" s="6"/>
      <c r="M434" s="6"/>
      <c r="P434" s="6"/>
    </row>
    <row r="435" ht="15.75" customHeight="1">
      <c r="B435" s="6"/>
      <c r="C435" s="6"/>
      <c r="E435" s="6"/>
      <c r="M435" s="6"/>
      <c r="P435" s="6"/>
    </row>
    <row r="436" ht="15.75" customHeight="1">
      <c r="B436" s="6"/>
      <c r="C436" s="6"/>
      <c r="E436" s="6"/>
      <c r="M436" s="6"/>
      <c r="P436" s="6"/>
    </row>
    <row r="437" ht="15.75" customHeight="1">
      <c r="B437" s="6"/>
      <c r="C437" s="6"/>
      <c r="E437" s="6"/>
      <c r="M437" s="6"/>
      <c r="P437" s="6"/>
    </row>
    <row r="438" ht="15.75" customHeight="1">
      <c r="B438" s="6"/>
      <c r="C438" s="6"/>
      <c r="E438" s="6"/>
      <c r="M438" s="6"/>
      <c r="P438" s="6"/>
    </row>
    <row r="439" ht="15.75" customHeight="1">
      <c r="B439" s="6"/>
      <c r="C439" s="6"/>
      <c r="E439" s="6"/>
      <c r="M439" s="6"/>
      <c r="P439" s="6"/>
    </row>
    <row r="440" ht="15.75" customHeight="1">
      <c r="B440" s="6"/>
      <c r="C440" s="6"/>
      <c r="E440" s="6"/>
      <c r="M440" s="6"/>
      <c r="P440" s="6"/>
    </row>
    <row r="441" ht="15.75" customHeight="1">
      <c r="B441" s="6"/>
      <c r="C441" s="6"/>
      <c r="E441" s="6"/>
      <c r="M441" s="6"/>
      <c r="P441" s="6"/>
    </row>
    <row r="442" ht="15.75" customHeight="1">
      <c r="B442" s="6"/>
      <c r="C442" s="6"/>
      <c r="E442" s="6"/>
      <c r="M442" s="6"/>
      <c r="P442" s="6"/>
    </row>
    <row r="443" ht="15.75" customHeight="1">
      <c r="B443" s="6"/>
      <c r="C443" s="6"/>
      <c r="E443" s="6"/>
      <c r="M443" s="6"/>
      <c r="P443" s="6"/>
    </row>
    <row r="444" ht="15.75" customHeight="1">
      <c r="B444" s="6"/>
      <c r="C444" s="6"/>
      <c r="E444" s="6"/>
      <c r="M444" s="6"/>
      <c r="P444" s="6"/>
    </row>
    <row r="445" ht="15.75" customHeight="1">
      <c r="B445" s="6"/>
      <c r="C445" s="6"/>
      <c r="E445" s="6"/>
      <c r="M445" s="6"/>
      <c r="P445" s="6"/>
    </row>
    <row r="446" ht="15.75" customHeight="1">
      <c r="B446" s="6"/>
      <c r="C446" s="6"/>
      <c r="E446" s="6"/>
      <c r="M446" s="6"/>
      <c r="P446" s="6"/>
    </row>
    <row r="447" ht="15.75" customHeight="1">
      <c r="B447" s="6"/>
      <c r="C447" s="6"/>
      <c r="E447" s="6"/>
      <c r="M447" s="6"/>
      <c r="P447" s="6"/>
    </row>
    <row r="448" ht="15.75" customHeight="1">
      <c r="B448" s="6"/>
      <c r="C448" s="6"/>
      <c r="E448" s="6"/>
      <c r="M448" s="6"/>
      <c r="P448" s="6"/>
    </row>
    <row r="449" ht="15.75" customHeight="1">
      <c r="B449" s="6"/>
      <c r="C449" s="6"/>
      <c r="E449" s="6"/>
      <c r="M449" s="6"/>
      <c r="P449" s="6"/>
    </row>
    <row r="450" ht="15.75" customHeight="1">
      <c r="B450" s="6"/>
      <c r="C450" s="6"/>
      <c r="E450" s="6"/>
      <c r="M450" s="6"/>
      <c r="P450" s="6"/>
    </row>
    <row r="451" ht="15.75" customHeight="1">
      <c r="B451" s="6"/>
      <c r="C451" s="6"/>
      <c r="E451" s="6"/>
      <c r="M451" s="6"/>
      <c r="P451" s="6"/>
    </row>
    <row r="452" ht="15.75" customHeight="1">
      <c r="B452" s="6"/>
      <c r="C452" s="6"/>
      <c r="E452" s="6"/>
      <c r="M452" s="6"/>
      <c r="P452" s="6"/>
    </row>
    <row r="453" ht="15.75" customHeight="1">
      <c r="B453" s="6"/>
      <c r="C453" s="6"/>
      <c r="E453" s="6"/>
      <c r="M453" s="6"/>
      <c r="P453" s="6"/>
    </row>
    <row r="454" ht="15.75" customHeight="1">
      <c r="B454" s="6"/>
      <c r="C454" s="6"/>
      <c r="E454" s="6"/>
      <c r="M454" s="6"/>
      <c r="P454" s="6"/>
    </row>
    <row r="455" ht="15.75" customHeight="1">
      <c r="B455" s="6"/>
      <c r="C455" s="6"/>
      <c r="E455" s="6"/>
      <c r="M455" s="6"/>
      <c r="P455" s="6"/>
    </row>
    <row r="456" ht="15.75" customHeight="1">
      <c r="B456" s="6"/>
      <c r="C456" s="6"/>
      <c r="E456" s="6"/>
      <c r="M456" s="6"/>
      <c r="P456" s="6"/>
    </row>
    <row r="457" ht="15.75" customHeight="1">
      <c r="B457" s="6"/>
      <c r="C457" s="6"/>
      <c r="E457" s="6"/>
      <c r="M457" s="6"/>
      <c r="P457" s="6"/>
    </row>
    <row r="458" ht="15.75" customHeight="1">
      <c r="B458" s="6"/>
      <c r="C458" s="6"/>
      <c r="E458" s="6"/>
      <c r="M458" s="6"/>
      <c r="P458" s="6"/>
    </row>
    <row r="459" ht="15.75" customHeight="1">
      <c r="B459" s="6"/>
      <c r="C459" s="6"/>
      <c r="E459" s="6"/>
      <c r="M459" s="6"/>
      <c r="P459" s="6"/>
    </row>
    <row r="460" ht="15.75" customHeight="1">
      <c r="B460" s="6"/>
      <c r="C460" s="6"/>
      <c r="E460" s="6"/>
      <c r="M460" s="6"/>
      <c r="P460" s="6"/>
    </row>
    <row r="461" ht="15.75" customHeight="1">
      <c r="B461" s="6"/>
      <c r="C461" s="6"/>
      <c r="E461" s="6"/>
      <c r="M461" s="6"/>
      <c r="P461" s="6"/>
    </row>
    <row r="462" ht="15.75" customHeight="1">
      <c r="B462" s="6"/>
      <c r="C462" s="6"/>
      <c r="E462" s="6"/>
      <c r="M462" s="6"/>
      <c r="P462" s="6"/>
    </row>
    <row r="463" ht="15.75" customHeight="1">
      <c r="B463" s="6"/>
      <c r="C463" s="6"/>
      <c r="E463" s="6"/>
      <c r="M463" s="6"/>
      <c r="P463" s="6"/>
    </row>
    <row r="464" ht="15.75" customHeight="1">
      <c r="B464" s="6"/>
      <c r="C464" s="6"/>
      <c r="E464" s="6"/>
      <c r="M464" s="6"/>
      <c r="P464" s="6"/>
    </row>
    <row r="465" ht="15.75" customHeight="1">
      <c r="B465" s="6"/>
      <c r="C465" s="6"/>
      <c r="E465" s="6"/>
      <c r="M465" s="6"/>
      <c r="P465" s="6"/>
    </row>
    <row r="466" ht="15.75" customHeight="1">
      <c r="B466" s="6"/>
      <c r="C466" s="6"/>
      <c r="E466" s="6"/>
      <c r="M466" s="6"/>
      <c r="P466" s="6"/>
    </row>
    <row r="467" ht="15.75" customHeight="1">
      <c r="B467" s="6"/>
      <c r="C467" s="6"/>
      <c r="E467" s="6"/>
      <c r="M467" s="6"/>
      <c r="P467" s="6"/>
    </row>
    <row r="468" ht="15.75" customHeight="1">
      <c r="B468" s="6"/>
      <c r="C468" s="6"/>
      <c r="E468" s="6"/>
      <c r="M468" s="6"/>
      <c r="P468" s="6"/>
    </row>
    <row r="469" ht="15.75" customHeight="1">
      <c r="B469" s="6"/>
      <c r="C469" s="6"/>
      <c r="E469" s="6"/>
      <c r="M469" s="6"/>
      <c r="P469" s="6"/>
    </row>
    <row r="470" ht="15.75" customHeight="1">
      <c r="B470" s="6"/>
      <c r="C470" s="6"/>
      <c r="E470" s="6"/>
      <c r="M470" s="6"/>
      <c r="P470" s="6"/>
    </row>
    <row r="471" ht="15.75" customHeight="1">
      <c r="B471" s="6"/>
      <c r="C471" s="6"/>
      <c r="E471" s="6"/>
      <c r="M471" s="6"/>
      <c r="P471" s="6"/>
    </row>
    <row r="472" ht="15.75" customHeight="1">
      <c r="B472" s="6"/>
      <c r="C472" s="6"/>
      <c r="E472" s="6"/>
      <c r="M472" s="6"/>
      <c r="P472" s="6"/>
    </row>
    <row r="473" ht="15.75" customHeight="1">
      <c r="B473" s="6"/>
      <c r="C473" s="6"/>
      <c r="E473" s="6"/>
      <c r="M473" s="6"/>
      <c r="P473" s="6"/>
    </row>
    <row r="474" ht="15.75" customHeight="1">
      <c r="B474" s="6"/>
      <c r="C474" s="6"/>
      <c r="E474" s="6"/>
      <c r="M474" s="6"/>
      <c r="P474" s="6"/>
    </row>
    <row r="475" ht="15.75" customHeight="1">
      <c r="B475" s="6"/>
      <c r="C475" s="6"/>
      <c r="E475" s="6"/>
      <c r="M475" s="6"/>
      <c r="P475" s="6"/>
    </row>
    <row r="476" ht="15.75" customHeight="1">
      <c r="B476" s="6"/>
      <c r="C476" s="6"/>
      <c r="E476" s="6"/>
      <c r="M476" s="6"/>
      <c r="P476" s="6"/>
    </row>
    <row r="477" ht="15.75" customHeight="1">
      <c r="B477" s="6"/>
      <c r="C477" s="6"/>
      <c r="E477" s="6"/>
      <c r="M477" s="6"/>
      <c r="P477" s="6"/>
    </row>
    <row r="478" ht="15.75" customHeight="1">
      <c r="B478" s="6"/>
      <c r="C478" s="6"/>
      <c r="E478" s="6"/>
      <c r="M478" s="6"/>
      <c r="P478" s="6"/>
    </row>
    <row r="479" ht="15.75" customHeight="1">
      <c r="B479" s="6"/>
      <c r="C479" s="6"/>
      <c r="E479" s="6"/>
      <c r="M479" s="6"/>
      <c r="P479" s="6"/>
    </row>
    <row r="480" ht="15.75" customHeight="1">
      <c r="B480" s="6"/>
      <c r="C480" s="6"/>
      <c r="E480" s="6"/>
      <c r="M480" s="6"/>
      <c r="P480" s="6"/>
    </row>
    <row r="481" ht="15.75" customHeight="1">
      <c r="B481" s="6"/>
      <c r="C481" s="6"/>
      <c r="E481" s="6"/>
      <c r="M481" s="6"/>
      <c r="P481" s="6"/>
    </row>
    <row r="482" ht="15.75" customHeight="1">
      <c r="B482" s="6"/>
      <c r="C482" s="6"/>
      <c r="E482" s="6"/>
      <c r="M482" s="6"/>
      <c r="P482" s="6"/>
    </row>
    <row r="483" ht="15.75" customHeight="1">
      <c r="B483" s="6"/>
      <c r="C483" s="6"/>
      <c r="E483" s="6"/>
      <c r="M483" s="6"/>
      <c r="P483" s="6"/>
    </row>
    <row r="484" ht="15.75" customHeight="1">
      <c r="B484" s="6"/>
      <c r="C484" s="6"/>
      <c r="E484" s="6"/>
      <c r="M484" s="6"/>
      <c r="P484" s="6"/>
    </row>
    <row r="485" ht="15.75" customHeight="1">
      <c r="B485" s="6"/>
      <c r="C485" s="6"/>
      <c r="E485" s="6"/>
      <c r="M485" s="6"/>
      <c r="P485" s="6"/>
    </row>
    <row r="486" ht="15.75" customHeight="1">
      <c r="B486" s="6"/>
      <c r="C486" s="6"/>
      <c r="E486" s="6"/>
      <c r="M486" s="6"/>
      <c r="P486" s="6"/>
    </row>
    <row r="487" ht="15.75" customHeight="1">
      <c r="B487" s="6"/>
      <c r="C487" s="6"/>
      <c r="E487" s="6"/>
      <c r="M487" s="6"/>
      <c r="P487" s="6"/>
    </row>
    <row r="488" ht="15.75" customHeight="1">
      <c r="B488" s="6"/>
      <c r="C488" s="6"/>
      <c r="E488" s="6"/>
      <c r="M488" s="6"/>
      <c r="P488" s="6"/>
    </row>
    <row r="489" ht="15.75" customHeight="1">
      <c r="B489" s="6"/>
      <c r="C489" s="6"/>
      <c r="E489" s="6"/>
      <c r="M489" s="6"/>
      <c r="P489" s="6"/>
    </row>
    <row r="490" ht="15.75" customHeight="1">
      <c r="B490" s="6"/>
      <c r="C490" s="6"/>
      <c r="E490" s="6"/>
      <c r="M490" s="6"/>
      <c r="P490" s="6"/>
    </row>
    <row r="491" ht="15.75" customHeight="1">
      <c r="B491" s="6"/>
      <c r="C491" s="6"/>
      <c r="E491" s="6"/>
      <c r="M491" s="6"/>
      <c r="P491" s="6"/>
    </row>
    <row r="492" ht="15.75" customHeight="1">
      <c r="B492" s="6"/>
      <c r="C492" s="6"/>
      <c r="E492" s="6"/>
      <c r="M492" s="6"/>
      <c r="P492" s="6"/>
    </row>
    <row r="493" ht="15.75" customHeight="1">
      <c r="B493" s="6"/>
      <c r="C493" s="6"/>
      <c r="E493" s="6"/>
      <c r="M493" s="6"/>
      <c r="P493" s="6"/>
    </row>
    <row r="494" ht="15.75" customHeight="1">
      <c r="B494" s="6"/>
      <c r="C494" s="6"/>
      <c r="E494" s="6"/>
      <c r="M494" s="6"/>
      <c r="P494" s="6"/>
    </row>
    <row r="495" ht="15.75" customHeight="1">
      <c r="B495" s="6"/>
      <c r="C495" s="6"/>
      <c r="E495" s="6"/>
      <c r="M495" s="6"/>
      <c r="P495" s="6"/>
    </row>
    <row r="496" ht="15.75" customHeight="1">
      <c r="B496" s="6"/>
      <c r="C496" s="6"/>
      <c r="E496" s="6"/>
      <c r="M496" s="6"/>
      <c r="P496" s="6"/>
    </row>
    <row r="497" ht="15.75" customHeight="1">
      <c r="B497" s="6"/>
      <c r="C497" s="6"/>
      <c r="E497" s="6"/>
      <c r="M497" s="6"/>
      <c r="P497" s="6"/>
    </row>
    <row r="498" ht="15.75" customHeight="1">
      <c r="B498" s="6"/>
      <c r="C498" s="6"/>
      <c r="E498" s="6"/>
      <c r="M498" s="6"/>
      <c r="P498" s="6"/>
    </row>
    <row r="499" ht="15.75" customHeight="1">
      <c r="B499" s="6"/>
      <c r="C499" s="6"/>
      <c r="E499" s="6"/>
      <c r="M499" s="6"/>
      <c r="P499" s="6"/>
    </row>
    <row r="500" ht="15.75" customHeight="1">
      <c r="B500" s="6"/>
      <c r="C500" s="6"/>
      <c r="E500" s="6"/>
      <c r="M500" s="6"/>
      <c r="P500" s="6"/>
    </row>
    <row r="501" ht="15.75" customHeight="1">
      <c r="B501" s="6"/>
      <c r="C501" s="6"/>
      <c r="E501" s="6"/>
      <c r="M501" s="6"/>
      <c r="P501" s="6"/>
    </row>
    <row r="502" ht="15.75" customHeight="1">
      <c r="B502" s="6"/>
      <c r="C502" s="6"/>
      <c r="E502" s="6"/>
      <c r="M502" s="6"/>
      <c r="P502" s="6"/>
    </row>
    <row r="503" ht="15.75" customHeight="1">
      <c r="B503" s="6"/>
      <c r="C503" s="6"/>
      <c r="E503" s="6"/>
      <c r="M503" s="6"/>
      <c r="P503" s="6"/>
    </row>
    <row r="504" ht="15.75" customHeight="1">
      <c r="B504" s="6"/>
      <c r="C504" s="6"/>
      <c r="E504" s="6"/>
      <c r="M504" s="6"/>
      <c r="P504" s="6"/>
    </row>
    <row r="505" ht="15.75" customHeight="1">
      <c r="B505" s="6"/>
      <c r="C505" s="6"/>
      <c r="E505" s="6"/>
      <c r="M505" s="6"/>
      <c r="P505" s="6"/>
    </row>
    <row r="506" ht="15.75" customHeight="1">
      <c r="B506" s="6"/>
      <c r="C506" s="6"/>
      <c r="E506" s="6"/>
      <c r="M506" s="6"/>
      <c r="P506" s="6"/>
    </row>
    <row r="507" ht="15.75" customHeight="1">
      <c r="B507" s="6"/>
      <c r="C507" s="6"/>
      <c r="E507" s="6"/>
      <c r="M507" s="6"/>
      <c r="P507" s="6"/>
    </row>
    <row r="508" ht="15.75" customHeight="1">
      <c r="B508" s="6"/>
      <c r="C508" s="6"/>
      <c r="E508" s="6"/>
      <c r="M508" s="6"/>
      <c r="P508" s="6"/>
    </row>
    <row r="509" ht="15.75" customHeight="1">
      <c r="B509" s="6"/>
      <c r="C509" s="6"/>
      <c r="E509" s="6"/>
      <c r="M509" s="6"/>
      <c r="P509" s="6"/>
    </row>
    <row r="510" ht="15.75" customHeight="1">
      <c r="B510" s="6"/>
      <c r="C510" s="6"/>
      <c r="E510" s="6"/>
      <c r="M510" s="6"/>
      <c r="P510" s="6"/>
    </row>
    <row r="511" ht="15.75" customHeight="1">
      <c r="B511" s="6"/>
      <c r="C511" s="6"/>
      <c r="E511" s="6"/>
      <c r="M511" s="6"/>
      <c r="P511" s="6"/>
    </row>
    <row r="512" ht="15.75" customHeight="1">
      <c r="B512" s="6"/>
      <c r="C512" s="6"/>
      <c r="E512" s="6"/>
      <c r="M512" s="6"/>
      <c r="P512" s="6"/>
    </row>
    <row r="513" ht="15.75" customHeight="1">
      <c r="B513" s="6"/>
      <c r="C513" s="6"/>
      <c r="E513" s="6"/>
      <c r="M513" s="6"/>
      <c r="P513" s="6"/>
    </row>
    <row r="514" ht="15.75" customHeight="1">
      <c r="B514" s="6"/>
      <c r="C514" s="6"/>
      <c r="E514" s="6"/>
      <c r="M514" s="6"/>
      <c r="P514" s="6"/>
    </row>
    <row r="515" ht="15.75" customHeight="1">
      <c r="B515" s="6"/>
      <c r="C515" s="6"/>
      <c r="E515" s="6"/>
      <c r="M515" s="6"/>
      <c r="P515" s="6"/>
    </row>
    <row r="516" ht="15.75" customHeight="1">
      <c r="B516" s="6"/>
      <c r="C516" s="6"/>
      <c r="E516" s="6"/>
      <c r="M516" s="6"/>
      <c r="P516" s="6"/>
    </row>
    <row r="517" ht="15.75" customHeight="1">
      <c r="B517" s="6"/>
      <c r="C517" s="6"/>
      <c r="E517" s="6"/>
      <c r="M517" s="6"/>
      <c r="P517" s="6"/>
    </row>
    <row r="518" ht="15.75" customHeight="1">
      <c r="B518" s="6"/>
      <c r="C518" s="6"/>
      <c r="E518" s="6"/>
      <c r="M518" s="6"/>
      <c r="P518" s="6"/>
    </row>
    <row r="519" ht="15.75" customHeight="1">
      <c r="B519" s="6"/>
      <c r="C519" s="6"/>
      <c r="E519" s="6"/>
      <c r="M519" s="6"/>
      <c r="P519" s="6"/>
    </row>
    <row r="520" ht="15.75" customHeight="1">
      <c r="B520" s="6"/>
      <c r="C520" s="6"/>
      <c r="E520" s="6"/>
      <c r="M520" s="6"/>
      <c r="P520" s="6"/>
    </row>
    <row r="521" ht="15.75" customHeight="1">
      <c r="B521" s="6"/>
      <c r="C521" s="6"/>
      <c r="E521" s="6"/>
      <c r="M521" s="6"/>
      <c r="P521" s="6"/>
    </row>
    <row r="522" ht="15.75" customHeight="1">
      <c r="B522" s="6"/>
      <c r="C522" s="6"/>
      <c r="E522" s="6"/>
      <c r="M522" s="6"/>
      <c r="P522" s="6"/>
    </row>
    <row r="523" ht="15.75" customHeight="1">
      <c r="B523" s="6"/>
      <c r="C523" s="6"/>
      <c r="E523" s="6"/>
      <c r="M523" s="6"/>
      <c r="P523" s="6"/>
    </row>
    <row r="524" ht="15.75" customHeight="1">
      <c r="B524" s="6"/>
      <c r="C524" s="6"/>
      <c r="E524" s="6"/>
      <c r="M524" s="6"/>
      <c r="P524" s="6"/>
    </row>
    <row r="525" ht="15.75" customHeight="1">
      <c r="B525" s="6"/>
      <c r="C525" s="6"/>
      <c r="E525" s="6"/>
      <c r="M525" s="6"/>
      <c r="P525" s="6"/>
    </row>
    <row r="526" ht="15.75" customHeight="1">
      <c r="B526" s="6"/>
      <c r="C526" s="6"/>
      <c r="E526" s="6"/>
      <c r="M526" s="6"/>
      <c r="P526" s="6"/>
    </row>
    <row r="527" ht="15.75" customHeight="1">
      <c r="B527" s="6"/>
      <c r="C527" s="6"/>
      <c r="E527" s="6"/>
      <c r="M527" s="6"/>
      <c r="P527" s="6"/>
    </row>
    <row r="528" ht="15.75" customHeight="1">
      <c r="B528" s="6"/>
      <c r="C528" s="6"/>
      <c r="E528" s="6"/>
      <c r="M528" s="6"/>
      <c r="P528" s="6"/>
    </row>
    <row r="529" ht="15.75" customHeight="1">
      <c r="B529" s="6"/>
      <c r="C529" s="6"/>
      <c r="E529" s="6"/>
      <c r="M529" s="6"/>
      <c r="P529" s="6"/>
    </row>
    <row r="530" ht="15.75" customHeight="1">
      <c r="B530" s="6"/>
      <c r="C530" s="6"/>
      <c r="E530" s="6"/>
      <c r="M530" s="6"/>
      <c r="P530" s="6"/>
    </row>
    <row r="531" ht="15.75" customHeight="1">
      <c r="B531" s="6"/>
      <c r="C531" s="6"/>
      <c r="E531" s="6"/>
      <c r="M531" s="6"/>
      <c r="P531" s="6"/>
    </row>
    <row r="532" ht="15.75" customHeight="1">
      <c r="B532" s="6"/>
      <c r="C532" s="6"/>
      <c r="E532" s="6"/>
      <c r="M532" s="6"/>
      <c r="P532" s="6"/>
    </row>
    <row r="533" ht="15.75" customHeight="1">
      <c r="B533" s="6"/>
      <c r="C533" s="6"/>
      <c r="E533" s="6"/>
      <c r="M533" s="6"/>
      <c r="P533" s="6"/>
    </row>
    <row r="534" ht="15.75" customHeight="1">
      <c r="B534" s="6"/>
      <c r="C534" s="6"/>
      <c r="E534" s="6"/>
      <c r="M534" s="6"/>
      <c r="P534" s="6"/>
    </row>
    <row r="535" ht="15.75" customHeight="1">
      <c r="B535" s="6"/>
      <c r="C535" s="6"/>
      <c r="E535" s="6"/>
      <c r="M535" s="6"/>
      <c r="P535" s="6"/>
    </row>
    <row r="536" ht="15.75" customHeight="1">
      <c r="B536" s="6"/>
      <c r="C536" s="6"/>
      <c r="E536" s="6"/>
      <c r="M536" s="6"/>
      <c r="P536" s="6"/>
    </row>
    <row r="537" ht="15.75" customHeight="1">
      <c r="B537" s="6"/>
      <c r="C537" s="6"/>
      <c r="E537" s="6"/>
      <c r="M537" s="6"/>
      <c r="P537" s="6"/>
    </row>
    <row r="538" ht="15.75" customHeight="1">
      <c r="B538" s="6"/>
      <c r="C538" s="6"/>
      <c r="E538" s="6"/>
      <c r="M538" s="6"/>
      <c r="P538" s="6"/>
    </row>
    <row r="539" ht="15.75" customHeight="1">
      <c r="B539" s="6"/>
      <c r="C539" s="6"/>
      <c r="E539" s="6"/>
      <c r="M539" s="6"/>
      <c r="P539" s="6"/>
    </row>
    <row r="540" ht="15.75" customHeight="1">
      <c r="B540" s="6"/>
      <c r="C540" s="6"/>
      <c r="E540" s="6"/>
      <c r="M540" s="6"/>
      <c r="P540" s="6"/>
    </row>
    <row r="541" ht="15.75" customHeight="1">
      <c r="B541" s="6"/>
      <c r="C541" s="6"/>
      <c r="E541" s="6"/>
      <c r="M541" s="6"/>
      <c r="P541" s="6"/>
    </row>
    <row r="542" ht="15.75" customHeight="1">
      <c r="B542" s="6"/>
      <c r="C542" s="6"/>
      <c r="E542" s="6"/>
      <c r="M542" s="6"/>
      <c r="P542" s="6"/>
    </row>
    <row r="543" ht="15.75" customHeight="1">
      <c r="B543" s="6"/>
      <c r="C543" s="6"/>
      <c r="E543" s="6"/>
      <c r="M543" s="6"/>
      <c r="P543" s="6"/>
    </row>
    <row r="544" ht="15.75" customHeight="1">
      <c r="B544" s="6"/>
      <c r="C544" s="6"/>
      <c r="E544" s="6"/>
      <c r="M544" s="6"/>
      <c r="P544" s="6"/>
    </row>
    <row r="545" ht="15.75" customHeight="1">
      <c r="B545" s="6"/>
      <c r="C545" s="6"/>
      <c r="E545" s="6"/>
      <c r="M545" s="6"/>
      <c r="P545" s="6"/>
    </row>
    <row r="546" ht="15.75" customHeight="1">
      <c r="B546" s="6"/>
      <c r="C546" s="6"/>
      <c r="E546" s="6"/>
      <c r="M546" s="6"/>
      <c r="P546" s="6"/>
    </row>
    <row r="547" ht="15.75" customHeight="1">
      <c r="B547" s="6"/>
      <c r="C547" s="6"/>
      <c r="E547" s="6"/>
      <c r="M547" s="6"/>
      <c r="P547" s="6"/>
    </row>
    <row r="548" ht="15.75" customHeight="1">
      <c r="B548" s="6"/>
      <c r="C548" s="6"/>
      <c r="E548" s="6"/>
      <c r="M548" s="6"/>
      <c r="P548" s="6"/>
    </row>
    <row r="549" ht="15.75" customHeight="1">
      <c r="B549" s="6"/>
      <c r="C549" s="6"/>
      <c r="E549" s="6"/>
      <c r="M549" s="6"/>
      <c r="P549" s="6"/>
    </row>
    <row r="550" ht="15.75" customHeight="1">
      <c r="B550" s="6"/>
      <c r="C550" s="6"/>
      <c r="E550" s="6"/>
      <c r="M550" s="6"/>
      <c r="P550" s="6"/>
    </row>
    <row r="551" ht="15.75" customHeight="1">
      <c r="B551" s="6"/>
      <c r="C551" s="6"/>
      <c r="E551" s="6"/>
      <c r="M551" s="6"/>
      <c r="P551" s="6"/>
    </row>
    <row r="552" ht="15.75" customHeight="1">
      <c r="B552" s="6"/>
      <c r="C552" s="6"/>
      <c r="E552" s="6"/>
      <c r="M552" s="6"/>
      <c r="P552" s="6"/>
    </row>
    <row r="553" ht="15.75" customHeight="1">
      <c r="B553" s="6"/>
      <c r="C553" s="6"/>
      <c r="E553" s="6"/>
      <c r="M553" s="6"/>
      <c r="P553" s="6"/>
    </row>
    <row r="554" ht="15.75" customHeight="1">
      <c r="B554" s="6"/>
      <c r="C554" s="6"/>
      <c r="E554" s="6"/>
      <c r="M554" s="6"/>
      <c r="P554" s="6"/>
    </row>
    <row r="555" ht="15.75" customHeight="1">
      <c r="B555" s="6"/>
      <c r="C555" s="6"/>
      <c r="E555" s="6"/>
      <c r="M555" s="6"/>
      <c r="P555" s="6"/>
    </row>
    <row r="556" ht="15.75" customHeight="1">
      <c r="B556" s="6"/>
      <c r="C556" s="6"/>
      <c r="E556" s="6"/>
      <c r="M556" s="6"/>
      <c r="P556" s="6"/>
    </row>
    <row r="557" ht="15.75" customHeight="1">
      <c r="B557" s="6"/>
      <c r="C557" s="6"/>
      <c r="E557" s="6"/>
      <c r="M557" s="6"/>
      <c r="P557" s="6"/>
    </row>
    <row r="558" ht="15.75" customHeight="1">
      <c r="B558" s="6"/>
      <c r="C558" s="6"/>
      <c r="E558" s="6"/>
      <c r="M558" s="6"/>
      <c r="P558" s="6"/>
    </row>
    <row r="559" ht="15.75" customHeight="1">
      <c r="B559" s="6"/>
      <c r="C559" s="6"/>
      <c r="E559" s="6"/>
      <c r="M559" s="6"/>
      <c r="P559" s="6"/>
    </row>
    <row r="560" ht="15.75" customHeight="1">
      <c r="B560" s="6"/>
      <c r="C560" s="6"/>
      <c r="E560" s="6"/>
      <c r="M560" s="6"/>
      <c r="P560" s="6"/>
    </row>
    <row r="561" ht="15.75" customHeight="1">
      <c r="B561" s="6"/>
      <c r="C561" s="6"/>
      <c r="E561" s="6"/>
      <c r="M561" s="6"/>
      <c r="P561" s="6"/>
    </row>
    <row r="562" ht="15.75" customHeight="1">
      <c r="B562" s="6"/>
      <c r="C562" s="6"/>
      <c r="E562" s="6"/>
      <c r="M562" s="6"/>
      <c r="P562" s="6"/>
    </row>
    <row r="563" ht="15.75" customHeight="1">
      <c r="B563" s="6"/>
      <c r="C563" s="6"/>
      <c r="E563" s="6"/>
      <c r="M563" s="6"/>
      <c r="P563" s="6"/>
    </row>
    <row r="564" ht="15.75" customHeight="1">
      <c r="B564" s="6"/>
      <c r="C564" s="6"/>
      <c r="E564" s="6"/>
      <c r="M564" s="6"/>
      <c r="P564" s="6"/>
    </row>
    <row r="565" ht="15.75" customHeight="1">
      <c r="B565" s="6"/>
      <c r="C565" s="6"/>
      <c r="E565" s="6"/>
      <c r="M565" s="6"/>
      <c r="P565" s="6"/>
    </row>
    <row r="566" ht="15.75" customHeight="1">
      <c r="B566" s="6"/>
      <c r="C566" s="6"/>
      <c r="E566" s="6"/>
      <c r="M566" s="6"/>
      <c r="P566" s="6"/>
    </row>
    <row r="567" ht="15.75" customHeight="1">
      <c r="B567" s="6"/>
      <c r="C567" s="6"/>
      <c r="E567" s="6"/>
      <c r="M567" s="6"/>
      <c r="P567" s="6"/>
    </row>
    <row r="568" ht="15.75" customHeight="1">
      <c r="B568" s="6"/>
      <c r="C568" s="6"/>
      <c r="E568" s="6"/>
      <c r="M568" s="6"/>
      <c r="P568" s="6"/>
    </row>
    <row r="569" ht="15.75" customHeight="1">
      <c r="B569" s="6"/>
      <c r="C569" s="6"/>
      <c r="E569" s="6"/>
      <c r="M569" s="6"/>
      <c r="P569" s="6"/>
    </row>
    <row r="570" ht="15.75" customHeight="1">
      <c r="B570" s="6"/>
      <c r="C570" s="6"/>
      <c r="E570" s="6"/>
      <c r="M570" s="6"/>
      <c r="P570" s="6"/>
    </row>
    <row r="571" ht="15.75" customHeight="1">
      <c r="B571" s="6"/>
      <c r="C571" s="6"/>
      <c r="E571" s="6"/>
      <c r="M571" s="6"/>
      <c r="P571" s="6"/>
    </row>
    <row r="572" ht="15.75" customHeight="1">
      <c r="B572" s="6"/>
      <c r="C572" s="6"/>
      <c r="E572" s="6"/>
      <c r="M572" s="6"/>
      <c r="P572" s="6"/>
    </row>
    <row r="573" ht="15.75" customHeight="1">
      <c r="B573" s="6"/>
      <c r="C573" s="6"/>
      <c r="E573" s="6"/>
      <c r="M573" s="6"/>
      <c r="P573" s="6"/>
    </row>
    <row r="574" ht="15.75" customHeight="1">
      <c r="B574" s="6"/>
      <c r="C574" s="6"/>
      <c r="E574" s="6"/>
      <c r="M574" s="6"/>
      <c r="P574" s="6"/>
    </row>
    <row r="575" ht="15.75" customHeight="1">
      <c r="B575" s="6"/>
      <c r="C575" s="6"/>
      <c r="E575" s="6"/>
      <c r="M575" s="6"/>
      <c r="P575" s="6"/>
    </row>
    <row r="576" ht="15.75" customHeight="1">
      <c r="B576" s="6"/>
      <c r="C576" s="6"/>
      <c r="E576" s="6"/>
      <c r="M576" s="6"/>
      <c r="P576" s="6"/>
    </row>
    <row r="577" ht="15.75" customHeight="1">
      <c r="B577" s="6"/>
      <c r="C577" s="6"/>
      <c r="E577" s="6"/>
      <c r="M577" s="6"/>
      <c r="P577" s="6"/>
    </row>
    <row r="578" ht="15.75" customHeight="1">
      <c r="B578" s="6"/>
      <c r="C578" s="6"/>
      <c r="E578" s="6"/>
      <c r="M578" s="6"/>
      <c r="P578" s="6"/>
    </row>
    <row r="579" ht="15.75" customHeight="1">
      <c r="B579" s="6"/>
      <c r="C579" s="6"/>
      <c r="E579" s="6"/>
      <c r="M579" s="6"/>
      <c r="P579" s="6"/>
    </row>
    <row r="580" ht="15.75" customHeight="1">
      <c r="B580" s="6"/>
      <c r="C580" s="6"/>
      <c r="E580" s="6"/>
      <c r="M580" s="6"/>
      <c r="P580" s="6"/>
    </row>
    <row r="581" ht="15.75" customHeight="1">
      <c r="B581" s="6"/>
      <c r="C581" s="6"/>
      <c r="E581" s="6"/>
      <c r="M581" s="6"/>
      <c r="P581" s="6"/>
    </row>
    <row r="582" ht="15.75" customHeight="1">
      <c r="B582" s="6"/>
      <c r="C582" s="6"/>
      <c r="E582" s="6"/>
      <c r="M582" s="6"/>
      <c r="P582" s="6"/>
    </row>
    <row r="583" ht="15.75" customHeight="1">
      <c r="B583" s="6"/>
      <c r="C583" s="6"/>
      <c r="E583" s="6"/>
      <c r="M583" s="6"/>
      <c r="P583" s="6"/>
    </row>
    <row r="584" ht="15.75" customHeight="1">
      <c r="B584" s="6"/>
      <c r="C584" s="6"/>
      <c r="E584" s="6"/>
      <c r="M584" s="6"/>
      <c r="P584" s="6"/>
    </row>
    <row r="585" ht="15.75" customHeight="1">
      <c r="B585" s="6"/>
      <c r="C585" s="6"/>
      <c r="E585" s="6"/>
      <c r="M585" s="6"/>
      <c r="P585" s="6"/>
    </row>
    <row r="586" ht="15.75" customHeight="1">
      <c r="B586" s="6"/>
      <c r="C586" s="6"/>
      <c r="E586" s="6"/>
      <c r="M586" s="6"/>
      <c r="P586" s="6"/>
    </row>
    <row r="587" ht="15.75" customHeight="1">
      <c r="B587" s="6"/>
      <c r="C587" s="6"/>
      <c r="E587" s="6"/>
      <c r="M587" s="6"/>
      <c r="P587" s="6"/>
    </row>
    <row r="588" ht="15.75" customHeight="1">
      <c r="B588" s="6"/>
      <c r="C588" s="6"/>
      <c r="E588" s="6"/>
      <c r="M588" s="6"/>
      <c r="P588" s="6"/>
    </row>
    <row r="589" ht="15.75" customHeight="1">
      <c r="B589" s="6"/>
      <c r="C589" s="6"/>
      <c r="E589" s="6"/>
      <c r="M589" s="6"/>
      <c r="P589" s="6"/>
    </row>
    <row r="590" ht="15.75" customHeight="1">
      <c r="B590" s="6"/>
      <c r="C590" s="6"/>
      <c r="E590" s="6"/>
      <c r="M590" s="6"/>
      <c r="P590" s="6"/>
    </row>
    <row r="591" ht="15.75" customHeight="1">
      <c r="B591" s="6"/>
      <c r="C591" s="6"/>
      <c r="E591" s="6"/>
      <c r="M591" s="6"/>
      <c r="P591" s="6"/>
    </row>
    <row r="592" ht="15.75" customHeight="1">
      <c r="B592" s="6"/>
      <c r="C592" s="6"/>
      <c r="E592" s="6"/>
      <c r="M592" s="6"/>
      <c r="P592" s="6"/>
    </row>
    <row r="593" ht="15.75" customHeight="1">
      <c r="B593" s="6"/>
      <c r="C593" s="6"/>
      <c r="E593" s="6"/>
      <c r="M593" s="6"/>
      <c r="P593" s="6"/>
    </row>
    <row r="594" ht="15.75" customHeight="1">
      <c r="B594" s="6"/>
      <c r="C594" s="6"/>
      <c r="E594" s="6"/>
      <c r="M594" s="6"/>
      <c r="P594" s="6"/>
    </row>
    <row r="595" ht="15.75" customHeight="1">
      <c r="B595" s="6"/>
      <c r="C595" s="6"/>
      <c r="E595" s="6"/>
      <c r="M595" s="6"/>
      <c r="P595" s="6"/>
    </row>
    <row r="596" ht="15.75" customHeight="1">
      <c r="B596" s="6"/>
      <c r="C596" s="6"/>
      <c r="E596" s="6"/>
      <c r="M596" s="6"/>
      <c r="P596" s="6"/>
    </row>
    <row r="597" ht="15.75" customHeight="1">
      <c r="B597" s="6"/>
      <c r="C597" s="6"/>
      <c r="E597" s="6"/>
      <c r="M597" s="6"/>
      <c r="P597" s="6"/>
    </row>
    <row r="598" ht="15.75" customHeight="1">
      <c r="B598" s="6"/>
      <c r="C598" s="6"/>
      <c r="E598" s="6"/>
      <c r="M598" s="6"/>
      <c r="P598" s="6"/>
    </row>
    <row r="599" ht="15.75" customHeight="1">
      <c r="B599" s="6"/>
      <c r="C599" s="6"/>
      <c r="E599" s="6"/>
      <c r="M599" s="6"/>
      <c r="P599" s="6"/>
    </row>
    <row r="600" ht="15.75" customHeight="1">
      <c r="B600" s="6"/>
      <c r="C600" s="6"/>
      <c r="E600" s="6"/>
      <c r="M600" s="6"/>
      <c r="P600" s="6"/>
    </row>
    <row r="601" ht="15.75" customHeight="1">
      <c r="B601" s="6"/>
      <c r="C601" s="6"/>
      <c r="E601" s="6"/>
      <c r="M601" s="6"/>
      <c r="P601" s="6"/>
    </row>
    <row r="602" ht="15.75" customHeight="1">
      <c r="B602" s="6"/>
      <c r="C602" s="6"/>
      <c r="E602" s="6"/>
      <c r="M602" s="6"/>
      <c r="P602" s="6"/>
    </row>
    <row r="603" ht="15.75" customHeight="1">
      <c r="B603" s="6"/>
      <c r="C603" s="6"/>
      <c r="E603" s="6"/>
      <c r="M603" s="6"/>
      <c r="P603" s="6"/>
    </row>
    <row r="604" ht="15.75" customHeight="1">
      <c r="B604" s="6"/>
      <c r="C604" s="6"/>
      <c r="E604" s="6"/>
      <c r="M604" s="6"/>
      <c r="P604" s="6"/>
    </row>
    <row r="605" ht="15.75" customHeight="1">
      <c r="B605" s="6"/>
      <c r="C605" s="6"/>
      <c r="E605" s="6"/>
      <c r="M605" s="6"/>
      <c r="P605" s="6"/>
    </row>
    <row r="606" ht="15.75" customHeight="1">
      <c r="B606" s="6"/>
      <c r="C606" s="6"/>
      <c r="E606" s="6"/>
      <c r="M606" s="6"/>
      <c r="P606" s="6"/>
    </row>
    <row r="607" ht="15.75" customHeight="1">
      <c r="B607" s="6"/>
      <c r="C607" s="6"/>
      <c r="E607" s="6"/>
      <c r="M607" s="6"/>
      <c r="P607" s="6"/>
    </row>
    <row r="608" ht="15.75" customHeight="1">
      <c r="B608" s="6"/>
      <c r="C608" s="6"/>
      <c r="E608" s="6"/>
      <c r="M608" s="6"/>
      <c r="P608" s="6"/>
    </row>
    <row r="609" ht="15.75" customHeight="1">
      <c r="B609" s="6"/>
      <c r="C609" s="6"/>
      <c r="E609" s="6"/>
      <c r="M609" s="6"/>
      <c r="P609" s="6"/>
    </row>
    <row r="610" ht="15.75" customHeight="1">
      <c r="B610" s="6"/>
      <c r="C610" s="6"/>
      <c r="E610" s="6"/>
      <c r="M610" s="6"/>
      <c r="P610" s="6"/>
    </row>
    <row r="611" ht="15.75" customHeight="1">
      <c r="B611" s="6"/>
      <c r="C611" s="6"/>
      <c r="E611" s="6"/>
      <c r="M611" s="6"/>
      <c r="P611" s="6"/>
    </row>
    <row r="612" ht="15.75" customHeight="1">
      <c r="B612" s="6"/>
      <c r="C612" s="6"/>
      <c r="E612" s="6"/>
      <c r="M612" s="6"/>
      <c r="P612" s="6"/>
    </row>
    <row r="613" ht="15.75" customHeight="1">
      <c r="B613" s="6"/>
      <c r="C613" s="6"/>
      <c r="E613" s="6"/>
      <c r="M613" s="6"/>
      <c r="P613" s="6"/>
    </row>
    <row r="614" ht="15.75" customHeight="1">
      <c r="B614" s="6"/>
      <c r="C614" s="6"/>
      <c r="E614" s="6"/>
      <c r="M614" s="6"/>
      <c r="P614" s="6"/>
    </row>
    <row r="615" ht="15.75" customHeight="1">
      <c r="B615" s="6"/>
      <c r="C615" s="6"/>
      <c r="E615" s="6"/>
      <c r="M615" s="6"/>
      <c r="P615" s="6"/>
    </row>
    <row r="616" ht="15.75" customHeight="1">
      <c r="B616" s="6"/>
      <c r="C616" s="6"/>
      <c r="E616" s="6"/>
      <c r="M616" s="6"/>
      <c r="P616" s="6"/>
    </row>
    <row r="617" ht="15.75" customHeight="1">
      <c r="B617" s="6"/>
      <c r="C617" s="6"/>
      <c r="E617" s="6"/>
      <c r="M617" s="6"/>
      <c r="P617" s="6"/>
    </row>
    <row r="618" ht="15.75" customHeight="1">
      <c r="B618" s="6"/>
      <c r="C618" s="6"/>
      <c r="E618" s="6"/>
      <c r="M618" s="6"/>
      <c r="P618" s="6"/>
    </row>
    <row r="619" ht="15.75" customHeight="1">
      <c r="B619" s="6"/>
      <c r="C619" s="6"/>
      <c r="E619" s="6"/>
      <c r="M619" s="6"/>
      <c r="P619" s="6"/>
    </row>
    <row r="620" ht="15.75" customHeight="1">
      <c r="B620" s="6"/>
      <c r="C620" s="6"/>
      <c r="E620" s="6"/>
      <c r="M620" s="6"/>
      <c r="P620" s="6"/>
    </row>
    <row r="621" ht="15.75" customHeight="1">
      <c r="B621" s="6"/>
      <c r="C621" s="6"/>
      <c r="E621" s="6"/>
      <c r="M621" s="6"/>
      <c r="P621" s="6"/>
    </row>
    <row r="622" ht="15.75" customHeight="1">
      <c r="B622" s="6"/>
      <c r="C622" s="6"/>
      <c r="E622" s="6"/>
      <c r="M622" s="6"/>
      <c r="P622" s="6"/>
    </row>
    <row r="623" ht="15.75" customHeight="1">
      <c r="B623" s="6"/>
      <c r="C623" s="6"/>
      <c r="E623" s="6"/>
      <c r="M623" s="6"/>
      <c r="P623" s="6"/>
    </row>
    <row r="624" ht="15.75" customHeight="1">
      <c r="B624" s="6"/>
      <c r="C624" s="6"/>
      <c r="E624" s="6"/>
      <c r="M624" s="6"/>
      <c r="P624" s="6"/>
    </row>
    <row r="625" ht="15.75" customHeight="1">
      <c r="B625" s="6"/>
      <c r="C625" s="6"/>
      <c r="E625" s="6"/>
      <c r="M625" s="6"/>
      <c r="P625" s="6"/>
    </row>
    <row r="626" ht="15.75" customHeight="1">
      <c r="B626" s="6"/>
      <c r="C626" s="6"/>
      <c r="E626" s="6"/>
      <c r="M626" s="6"/>
      <c r="P626" s="6"/>
    </row>
    <row r="627" ht="15.75" customHeight="1">
      <c r="B627" s="6"/>
      <c r="C627" s="6"/>
      <c r="E627" s="6"/>
      <c r="M627" s="6"/>
      <c r="P627" s="6"/>
    </row>
    <row r="628" ht="15.75" customHeight="1">
      <c r="B628" s="6"/>
      <c r="C628" s="6"/>
      <c r="E628" s="6"/>
      <c r="M628" s="6"/>
      <c r="P628" s="6"/>
    </row>
    <row r="629" ht="15.75" customHeight="1">
      <c r="B629" s="6"/>
      <c r="C629" s="6"/>
      <c r="E629" s="6"/>
      <c r="M629" s="6"/>
      <c r="P629" s="6"/>
    </row>
    <row r="630" ht="15.75" customHeight="1">
      <c r="B630" s="6"/>
      <c r="C630" s="6"/>
      <c r="E630" s="6"/>
      <c r="M630" s="6"/>
      <c r="P630" s="6"/>
    </row>
    <row r="631" ht="15.75" customHeight="1">
      <c r="B631" s="6"/>
      <c r="C631" s="6"/>
      <c r="E631" s="6"/>
      <c r="M631" s="6"/>
      <c r="P631" s="6"/>
    </row>
    <row r="632" ht="15.75" customHeight="1">
      <c r="B632" s="6"/>
      <c r="C632" s="6"/>
      <c r="E632" s="6"/>
      <c r="M632" s="6"/>
      <c r="P632" s="6"/>
    </row>
    <row r="633" ht="15.75" customHeight="1">
      <c r="B633" s="6"/>
      <c r="C633" s="6"/>
      <c r="E633" s="6"/>
      <c r="M633" s="6"/>
      <c r="P633" s="6"/>
    </row>
    <row r="634" ht="15.75" customHeight="1">
      <c r="B634" s="6"/>
      <c r="C634" s="6"/>
      <c r="E634" s="6"/>
      <c r="M634" s="6"/>
      <c r="P634" s="6"/>
    </row>
    <row r="635" ht="15.75" customHeight="1">
      <c r="B635" s="6"/>
      <c r="C635" s="6"/>
      <c r="E635" s="6"/>
      <c r="M635" s="6"/>
      <c r="P635" s="6"/>
    </row>
    <row r="636" ht="15.75" customHeight="1">
      <c r="B636" s="6"/>
      <c r="C636" s="6"/>
      <c r="E636" s="6"/>
      <c r="M636" s="6"/>
      <c r="P636" s="6"/>
    </row>
    <row r="637" ht="15.75" customHeight="1">
      <c r="B637" s="6"/>
      <c r="C637" s="6"/>
      <c r="E637" s="6"/>
      <c r="M637" s="6"/>
      <c r="P637" s="6"/>
    </row>
    <row r="638" ht="15.75" customHeight="1">
      <c r="B638" s="6"/>
      <c r="C638" s="6"/>
      <c r="E638" s="6"/>
      <c r="M638" s="6"/>
      <c r="P638" s="6"/>
    </row>
    <row r="639" ht="15.75" customHeight="1">
      <c r="B639" s="6"/>
      <c r="C639" s="6"/>
      <c r="E639" s="6"/>
      <c r="M639" s="6"/>
      <c r="P639" s="6"/>
    </row>
    <row r="640" ht="15.75" customHeight="1">
      <c r="B640" s="6"/>
      <c r="C640" s="6"/>
      <c r="E640" s="6"/>
      <c r="M640" s="6"/>
      <c r="P640" s="6"/>
    </row>
    <row r="641" ht="15.75" customHeight="1">
      <c r="B641" s="6"/>
      <c r="C641" s="6"/>
      <c r="E641" s="6"/>
      <c r="M641" s="6"/>
      <c r="P641" s="6"/>
    </row>
    <row r="642" ht="15.75" customHeight="1">
      <c r="B642" s="6"/>
      <c r="C642" s="6"/>
      <c r="E642" s="6"/>
      <c r="M642" s="6"/>
      <c r="P642" s="6"/>
    </row>
    <row r="643" ht="15.75" customHeight="1">
      <c r="B643" s="6"/>
      <c r="C643" s="6"/>
      <c r="E643" s="6"/>
      <c r="M643" s="6"/>
      <c r="P643" s="6"/>
    </row>
    <row r="644" ht="15.75" customHeight="1">
      <c r="B644" s="6"/>
      <c r="C644" s="6"/>
      <c r="E644" s="6"/>
      <c r="M644" s="6"/>
      <c r="P644" s="6"/>
    </row>
    <row r="645" ht="15.75" customHeight="1">
      <c r="B645" s="6"/>
      <c r="C645" s="6"/>
      <c r="E645" s="6"/>
      <c r="M645" s="6"/>
      <c r="P645" s="6"/>
    </row>
    <row r="646" ht="15.75" customHeight="1">
      <c r="B646" s="6"/>
      <c r="C646" s="6"/>
      <c r="E646" s="6"/>
      <c r="M646" s="6"/>
      <c r="P646" s="6"/>
    </row>
    <row r="647" ht="15.75" customHeight="1">
      <c r="B647" s="6"/>
      <c r="C647" s="6"/>
      <c r="E647" s="6"/>
      <c r="M647" s="6"/>
      <c r="P647" s="6"/>
    </row>
    <row r="648" ht="15.75" customHeight="1">
      <c r="B648" s="6"/>
      <c r="C648" s="6"/>
      <c r="E648" s="6"/>
      <c r="M648" s="6"/>
      <c r="P648" s="6"/>
    </row>
    <row r="649" ht="15.75" customHeight="1">
      <c r="B649" s="6"/>
      <c r="C649" s="6"/>
      <c r="E649" s="6"/>
      <c r="M649" s="6"/>
      <c r="P649" s="6"/>
    </row>
    <row r="650" ht="15.75" customHeight="1">
      <c r="B650" s="6"/>
      <c r="C650" s="6"/>
      <c r="E650" s="6"/>
      <c r="M650" s="6"/>
      <c r="P650" s="6"/>
    </row>
    <row r="651" ht="15.75" customHeight="1">
      <c r="B651" s="6"/>
      <c r="C651" s="6"/>
      <c r="E651" s="6"/>
      <c r="M651" s="6"/>
      <c r="P651" s="6"/>
    </row>
    <row r="652" ht="15.75" customHeight="1">
      <c r="B652" s="6"/>
      <c r="C652" s="6"/>
      <c r="E652" s="6"/>
      <c r="M652" s="6"/>
      <c r="P652" s="6"/>
    </row>
    <row r="653" ht="15.75" customHeight="1">
      <c r="B653" s="6"/>
      <c r="C653" s="6"/>
      <c r="E653" s="6"/>
      <c r="M653" s="6"/>
      <c r="P653" s="6"/>
    </row>
    <row r="654" ht="15.75" customHeight="1">
      <c r="B654" s="6"/>
      <c r="C654" s="6"/>
      <c r="E654" s="6"/>
      <c r="M654" s="6"/>
      <c r="P654" s="6"/>
    </row>
    <row r="655" ht="15.75" customHeight="1">
      <c r="B655" s="6"/>
      <c r="C655" s="6"/>
      <c r="E655" s="6"/>
      <c r="M655" s="6"/>
      <c r="P655" s="6"/>
    </row>
    <row r="656" ht="15.75" customHeight="1">
      <c r="B656" s="6"/>
      <c r="C656" s="6"/>
      <c r="E656" s="6"/>
      <c r="M656" s="6"/>
      <c r="P656" s="6"/>
    </row>
    <row r="657" ht="15.75" customHeight="1">
      <c r="B657" s="6"/>
      <c r="C657" s="6"/>
      <c r="E657" s="6"/>
      <c r="M657" s="6"/>
      <c r="P657" s="6"/>
    </row>
    <row r="658" ht="15.75" customHeight="1">
      <c r="B658" s="6"/>
      <c r="C658" s="6"/>
      <c r="E658" s="6"/>
      <c r="M658" s="6"/>
      <c r="P658" s="6"/>
    </row>
    <row r="659" ht="15.75" customHeight="1">
      <c r="B659" s="6"/>
      <c r="C659" s="6"/>
      <c r="E659" s="6"/>
      <c r="M659" s="6"/>
      <c r="P659" s="6"/>
    </row>
    <row r="660" ht="15.75" customHeight="1">
      <c r="B660" s="6"/>
      <c r="C660" s="6"/>
      <c r="E660" s="6"/>
      <c r="M660" s="6"/>
      <c r="P660" s="6"/>
    </row>
    <row r="661" ht="15.75" customHeight="1">
      <c r="B661" s="6"/>
      <c r="C661" s="6"/>
      <c r="E661" s="6"/>
      <c r="M661" s="6"/>
      <c r="P661" s="6"/>
    </row>
    <row r="662" ht="15.75" customHeight="1">
      <c r="B662" s="6"/>
      <c r="C662" s="6"/>
      <c r="E662" s="6"/>
      <c r="M662" s="6"/>
      <c r="P662" s="6"/>
    </row>
    <row r="663" ht="15.75" customHeight="1">
      <c r="B663" s="6"/>
      <c r="C663" s="6"/>
      <c r="E663" s="6"/>
      <c r="M663" s="6"/>
      <c r="P663" s="6"/>
    </row>
    <row r="664" ht="15.75" customHeight="1">
      <c r="B664" s="6"/>
      <c r="C664" s="6"/>
      <c r="E664" s="6"/>
      <c r="M664" s="6"/>
      <c r="P664" s="6"/>
    </row>
    <row r="665" ht="15.75" customHeight="1">
      <c r="B665" s="6"/>
      <c r="C665" s="6"/>
      <c r="E665" s="6"/>
      <c r="M665" s="6"/>
      <c r="P665" s="6"/>
    </row>
    <row r="666" ht="15.75" customHeight="1">
      <c r="B666" s="6"/>
      <c r="C666" s="6"/>
      <c r="E666" s="6"/>
      <c r="M666" s="6"/>
      <c r="P666" s="6"/>
    </row>
    <row r="667" ht="15.75" customHeight="1">
      <c r="B667" s="6"/>
      <c r="C667" s="6"/>
      <c r="E667" s="6"/>
      <c r="M667" s="6"/>
      <c r="P667" s="6"/>
    </row>
    <row r="668" ht="15.75" customHeight="1">
      <c r="B668" s="6"/>
      <c r="C668" s="6"/>
      <c r="E668" s="6"/>
      <c r="M668" s="6"/>
      <c r="P668" s="6"/>
    </row>
    <row r="669" ht="15.75" customHeight="1">
      <c r="B669" s="6"/>
      <c r="C669" s="6"/>
      <c r="E669" s="6"/>
      <c r="M669" s="6"/>
      <c r="P669" s="6"/>
    </row>
    <row r="670" ht="15.75" customHeight="1">
      <c r="B670" s="6"/>
      <c r="C670" s="6"/>
      <c r="E670" s="6"/>
      <c r="M670" s="6"/>
      <c r="P670" s="6"/>
    </row>
    <row r="671" ht="15.75" customHeight="1">
      <c r="B671" s="6"/>
      <c r="C671" s="6"/>
      <c r="E671" s="6"/>
      <c r="M671" s="6"/>
      <c r="P671" s="6"/>
    </row>
    <row r="672" ht="15.75" customHeight="1">
      <c r="B672" s="6"/>
      <c r="C672" s="6"/>
      <c r="E672" s="6"/>
      <c r="M672" s="6"/>
      <c r="P672" s="6"/>
    </row>
    <row r="673" ht="15.75" customHeight="1">
      <c r="B673" s="6"/>
      <c r="C673" s="6"/>
      <c r="E673" s="6"/>
      <c r="M673" s="6"/>
      <c r="P673" s="6"/>
    </row>
    <row r="674" ht="15.75" customHeight="1">
      <c r="B674" s="6"/>
      <c r="C674" s="6"/>
      <c r="E674" s="6"/>
      <c r="M674" s="6"/>
      <c r="P674" s="6"/>
    </row>
    <row r="675" ht="15.75" customHeight="1">
      <c r="B675" s="6"/>
      <c r="C675" s="6"/>
      <c r="E675" s="6"/>
      <c r="M675" s="6"/>
      <c r="P675" s="6"/>
    </row>
    <row r="676" ht="15.75" customHeight="1">
      <c r="B676" s="6"/>
      <c r="C676" s="6"/>
      <c r="E676" s="6"/>
      <c r="M676" s="6"/>
      <c r="P676" s="6"/>
    </row>
    <row r="677" ht="15.75" customHeight="1">
      <c r="B677" s="6"/>
      <c r="C677" s="6"/>
      <c r="E677" s="6"/>
      <c r="M677" s="6"/>
      <c r="P677" s="6"/>
    </row>
    <row r="678" ht="15.75" customHeight="1">
      <c r="B678" s="6"/>
      <c r="C678" s="6"/>
      <c r="E678" s="6"/>
      <c r="M678" s="6"/>
      <c r="P678" s="6"/>
    </row>
    <row r="679" ht="15.75" customHeight="1">
      <c r="B679" s="6"/>
      <c r="C679" s="6"/>
      <c r="E679" s="6"/>
      <c r="M679" s="6"/>
      <c r="P679" s="6"/>
    </row>
    <row r="680" ht="15.75" customHeight="1">
      <c r="B680" s="6"/>
      <c r="C680" s="6"/>
      <c r="E680" s="6"/>
      <c r="M680" s="6"/>
      <c r="P680" s="6"/>
    </row>
    <row r="681" ht="15.75" customHeight="1">
      <c r="B681" s="6"/>
      <c r="C681" s="6"/>
      <c r="E681" s="6"/>
      <c r="M681" s="6"/>
      <c r="P681" s="6"/>
    </row>
    <row r="682" ht="15.75" customHeight="1">
      <c r="B682" s="6"/>
      <c r="C682" s="6"/>
      <c r="E682" s="6"/>
      <c r="M682" s="6"/>
      <c r="P682" s="6"/>
    </row>
    <row r="683" ht="15.75" customHeight="1">
      <c r="B683" s="6"/>
      <c r="C683" s="6"/>
      <c r="E683" s="6"/>
      <c r="M683" s="6"/>
      <c r="P683" s="6"/>
    </row>
    <row r="684" ht="15.75" customHeight="1">
      <c r="B684" s="6"/>
      <c r="C684" s="6"/>
      <c r="E684" s="6"/>
      <c r="M684" s="6"/>
      <c r="P684" s="6"/>
    </row>
    <row r="685" ht="15.75" customHeight="1">
      <c r="B685" s="6"/>
      <c r="C685" s="6"/>
      <c r="E685" s="6"/>
      <c r="M685" s="6"/>
      <c r="P685" s="6"/>
    </row>
    <row r="686" ht="15.75" customHeight="1">
      <c r="B686" s="6"/>
      <c r="C686" s="6"/>
      <c r="E686" s="6"/>
      <c r="M686" s="6"/>
      <c r="P686" s="6"/>
    </row>
    <row r="687" ht="15.75" customHeight="1">
      <c r="B687" s="6"/>
      <c r="C687" s="6"/>
      <c r="E687" s="6"/>
      <c r="M687" s="6"/>
      <c r="P687" s="6"/>
    </row>
    <row r="688" ht="15.75" customHeight="1">
      <c r="B688" s="6"/>
      <c r="C688" s="6"/>
      <c r="E688" s="6"/>
      <c r="M688" s="6"/>
      <c r="P688" s="6"/>
    </row>
    <row r="689" ht="15.75" customHeight="1">
      <c r="B689" s="6"/>
      <c r="C689" s="6"/>
      <c r="E689" s="6"/>
      <c r="M689" s="6"/>
      <c r="P689" s="6"/>
    </row>
    <row r="690" ht="15.75" customHeight="1">
      <c r="B690" s="6"/>
      <c r="C690" s="6"/>
      <c r="E690" s="6"/>
      <c r="M690" s="6"/>
      <c r="P690" s="6"/>
    </row>
    <row r="691" ht="15.75" customHeight="1">
      <c r="B691" s="6"/>
      <c r="C691" s="6"/>
      <c r="E691" s="6"/>
      <c r="M691" s="6"/>
      <c r="P691" s="6"/>
    </row>
    <row r="692" ht="15.75" customHeight="1">
      <c r="B692" s="6"/>
      <c r="C692" s="6"/>
      <c r="E692" s="6"/>
      <c r="M692" s="6"/>
      <c r="P692" s="6"/>
    </row>
    <row r="693" ht="15.75" customHeight="1">
      <c r="B693" s="6"/>
      <c r="C693" s="6"/>
      <c r="E693" s="6"/>
      <c r="M693" s="6"/>
      <c r="P693" s="6"/>
    </row>
    <row r="694" ht="15.75" customHeight="1">
      <c r="B694" s="6"/>
      <c r="C694" s="6"/>
      <c r="E694" s="6"/>
      <c r="M694" s="6"/>
      <c r="P694" s="6"/>
    </row>
    <row r="695" ht="15.75" customHeight="1">
      <c r="B695" s="6"/>
      <c r="C695" s="6"/>
      <c r="E695" s="6"/>
      <c r="M695" s="6"/>
      <c r="P695" s="6"/>
    </row>
    <row r="696" ht="15.75" customHeight="1">
      <c r="B696" s="6"/>
      <c r="C696" s="6"/>
      <c r="E696" s="6"/>
      <c r="M696" s="6"/>
      <c r="P696" s="6"/>
    </row>
    <row r="697" ht="15.75" customHeight="1">
      <c r="B697" s="6"/>
      <c r="C697" s="6"/>
      <c r="E697" s="6"/>
      <c r="M697" s="6"/>
      <c r="P697" s="6"/>
    </row>
    <row r="698" ht="15.75" customHeight="1">
      <c r="B698" s="6"/>
      <c r="C698" s="6"/>
      <c r="E698" s="6"/>
      <c r="M698" s="6"/>
      <c r="P698" s="6"/>
    </row>
    <row r="699" ht="15.75" customHeight="1">
      <c r="B699" s="6"/>
      <c r="C699" s="6"/>
      <c r="E699" s="6"/>
      <c r="M699" s="6"/>
      <c r="P699" s="6"/>
    </row>
    <row r="700" ht="15.75" customHeight="1">
      <c r="B700" s="6"/>
      <c r="C700" s="6"/>
      <c r="E700" s="6"/>
      <c r="M700" s="6"/>
      <c r="P700" s="6"/>
    </row>
    <row r="701" ht="15.75" customHeight="1">
      <c r="B701" s="6"/>
      <c r="C701" s="6"/>
      <c r="E701" s="6"/>
      <c r="M701" s="6"/>
      <c r="P701" s="6"/>
    </row>
    <row r="702" ht="15.75" customHeight="1">
      <c r="B702" s="6"/>
      <c r="C702" s="6"/>
      <c r="E702" s="6"/>
      <c r="M702" s="6"/>
      <c r="P702" s="6"/>
    </row>
    <row r="703" ht="15.75" customHeight="1">
      <c r="B703" s="6"/>
      <c r="C703" s="6"/>
      <c r="E703" s="6"/>
      <c r="M703" s="6"/>
      <c r="P703" s="6"/>
    </row>
    <row r="704" ht="15.75" customHeight="1">
      <c r="B704" s="6"/>
      <c r="C704" s="6"/>
      <c r="E704" s="6"/>
      <c r="M704" s="6"/>
      <c r="P704" s="6"/>
    </row>
    <row r="705" ht="15.75" customHeight="1">
      <c r="B705" s="6"/>
      <c r="C705" s="6"/>
      <c r="E705" s="6"/>
      <c r="M705" s="6"/>
      <c r="P705" s="6"/>
    </row>
    <row r="706" ht="15.75" customHeight="1">
      <c r="B706" s="6"/>
      <c r="C706" s="6"/>
      <c r="E706" s="6"/>
      <c r="M706" s="6"/>
      <c r="P706" s="6"/>
    </row>
    <row r="707" ht="15.75" customHeight="1">
      <c r="B707" s="6"/>
      <c r="C707" s="6"/>
      <c r="E707" s="6"/>
      <c r="M707" s="6"/>
      <c r="P707" s="6"/>
    </row>
    <row r="708" ht="15.75" customHeight="1">
      <c r="B708" s="6"/>
      <c r="C708" s="6"/>
      <c r="E708" s="6"/>
      <c r="M708" s="6"/>
      <c r="P708" s="6"/>
    </row>
    <row r="709" ht="15.75" customHeight="1">
      <c r="B709" s="6"/>
      <c r="C709" s="6"/>
      <c r="E709" s="6"/>
      <c r="M709" s="6"/>
      <c r="P709" s="6"/>
    </row>
    <row r="710" ht="15.75" customHeight="1">
      <c r="B710" s="6"/>
      <c r="C710" s="6"/>
      <c r="E710" s="6"/>
      <c r="M710" s="6"/>
      <c r="P710" s="6"/>
    </row>
    <row r="711" ht="15.75" customHeight="1">
      <c r="B711" s="6"/>
      <c r="C711" s="6"/>
      <c r="E711" s="6"/>
      <c r="M711" s="6"/>
      <c r="P711" s="6"/>
    </row>
    <row r="712" ht="15.75" customHeight="1">
      <c r="B712" s="6"/>
      <c r="C712" s="6"/>
      <c r="E712" s="6"/>
      <c r="M712" s="6"/>
      <c r="P712" s="6"/>
    </row>
    <row r="713" ht="15.75" customHeight="1">
      <c r="B713" s="6"/>
      <c r="C713" s="6"/>
      <c r="E713" s="6"/>
      <c r="M713" s="6"/>
      <c r="P713" s="6"/>
    </row>
    <row r="714" ht="15.75" customHeight="1">
      <c r="B714" s="6"/>
      <c r="C714" s="6"/>
      <c r="E714" s="6"/>
      <c r="M714" s="6"/>
      <c r="P714" s="6"/>
    </row>
    <row r="715" ht="15.75" customHeight="1">
      <c r="B715" s="6"/>
      <c r="C715" s="6"/>
      <c r="E715" s="6"/>
      <c r="M715" s="6"/>
      <c r="P715" s="6"/>
    </row>
    <row r="716" ht="15.75" customHeight="1">
      <c r="B716" s="6"/>
      <c r="C716" s="6"/>
      <c r="E716" s="6"/>
      <c r="M716" s="6"/>
      <c r="P716" s="6"/>
    </row>
    <row r="717" ht="15.75" customHeight="1">
      <c r="B717" s="6"/>
      <c r="C717" s="6"/>
      <c r="E717" s="6"/>
      <c r="M717" s="6"/>
      <c r="P717" s="6"/>
    </row>
    <row r="718" ht="15.75" customHeight="1">
      <c r="B718" s="6"/>
      <c r="C718" s="6"/>
      <c r="E718" s="6"/>
      <c r="M718" s="6"/>
      <c r="P718" s="6"/>
    </row>
    <row r="719" ht="15.75" customHeight="1">
      <c r="B719" s="6"/>
      <c r="C719" s="6"/>
      <c r="E719" s="6"/>
      <c r="M719" s="6"/>
      <c r="P719" s="6"/>
    </row>
    <row r="720" ht="15.75" customHeight="1">
      <c r="B720" s="6"/>
      <c r="C720" s="6"/>
      <c r="E720" s="6"/>
      <c r="M720" s="6"/>
      <c r="P720" s="6"/>
    </row>
    <row r="721" ht="15.75" customHeight="1">
      <c r="B721" s="6"/>
      <c r="C721" s="6"/>
      <c r="E721" s="6"/>
      <c r="M721" s="6"/>
      <c r="P721" s="6"/>
    </row>
    <row r="722" ht="15.75" customHeight="1">
      <c r="B722" s="6"/>
      <c r="C722" s="6"/>
      <c r="E722" s="6"/>
      <c r="M722" s="6"/>
      <c r="P722" s="6"/>
    </row>
    <row r="723" ht="15.75" customHeight="1">
      <c r="B723" s="6"/>
      <c r="C723" s="6"/>
      <c r="E723" s="6"/>
      <c r="M723" s="6"/>
      <c r="P723" s="6"/>
    </row>
    <row r="724" ht="15.75" customHeight="1">
      <c r="B724" s="6"/>
      <c r="C724" s="6"/>
      <c r="E724" s="6"/>
      <c r="M724" s="6"/>
      <c r="P724" s="6"/>
    </row>
    <row r="725" ht="15.75" customHeight="1">
      <c r="B725" s="6"/>
      <c r="C725" s="6"/>
      <c r="E725" s="6"/>
      <c r="M725" s="6"/>
      <c r="P725" s="6"/>
    </row>
    <row r="726" ht="15.75" customHeight="1">
      <c r="B726" s="6"/>
      <c r="C726" s="6"/>
      <c r="E726" s="6"/>
      <c r="M726" s="6"/>
      <c r="P726" s="6"/>
    </row>
    <row r="727" ht="15.75" customHeight="1">
      <c r="B727" s="6"/>
      <c r="C727" s="6"/>
      <c r="E727" s="6"/>
      <c r="M727" s="6"/>
      <c r="P727" s="6"/>
    </row>
    <row r="728" ht="15.75" customHeight="1">
      <c r="B728" s="6"/>
      <c r="C728" s="6"/>
      <c r="E728" s="6"/>
      <c r="M728" s="6"/>
      <c r="P728" s="6"/>
    </row>
    <row r="729" ht="15.75" customHeight="1">
      <c r="B729" s="6"/>
      <c r="C729" s="6"/>
      <c r="E729" s="6"/>
      <c r="M729" s="6"/>
      <c r="P729" s="6"/>
    </row>
    <row r="730" ht="15.75" customHeight="1">
      <c r="B730" s="6"/>
      <c r="C730" s="6"/>
      <c r="E730" s="6"/>
      <c r="M730" s="6"/>
      <c r="P730" s="6"/>
    </row>
    <row r="731" ht="15.75" customHeight="1">
      <c r="B731" s="6"/>
      <c r="C731" s="6"/>
      <c r="E731" s="6"/>
      <c r="M731" s="6"/>
      <c r="P731" s="6"/>
    </row>
    <row r="732" ht="15.75" customHeight="1">
      <c r="B732" s="6"/>
      <c r="C732" s="6"/>
      <c r="E732" s="6"/>
      <c r="M732" s="6"/>
      <c r="P732" s="6"/>
    </row>
    <row r="733" ht="15.75" customHeight="1">
      <c r="B733" s="6"/>
      <c r="C733" s="6"/>
      <c r="E733" s="6"/>
      <c r="M733" s="6"/>
      <c r="P733" s="6"/>
    </row>
    <row r="734" ht="15.75" customHeight="1">
      <c r="B734" s="6"/>
      <c r="C734" s="6"/>
      <c r="E734" s="6"/>
      <c r="M734" s="6"/>
      <c r="P734" s="6"/>
    </row>
    <row r="735" ht="15.75" customHeight="1">
      <c r="B735" s="6"/>
      <c r="C735" s="6"/>
      <c r="E735" s="6"/>
      <c r="M735" s="6"/>
      <c r="P735" s="6"/>
    </row>
    <row r="736" ht="15.75" customHeight="1">
      <c r="B736" s="6"/>
      <c r="C736" s="6"/>
      <c r="E736" s="6"/>
      <c r="M736" s="6"/>
      <c r="P736" s="6"/>
    </row>
    <row r="737" ht="15.75" customHeight="1">
      <c r="B737" s="6"/>
      <c r="C737" s="6"/>
      <c r="E737" s="6"/>
      <c r="M737" s="6"/>
      <c r="P737" s="6"/>
    </row>
    <row r="738" ht="15.75" customHeight="1">
      <c r="B738" s="6"/>
      <c r="C738" s="6"/>
      <c r="E738" s="6"/>
      <c r="M738" s="6"/>
      <c r="P738" s="6"/>
    </row>
    <row r="739" ht="15.75" customHeight="1">
      <c r="B739" s="6"/>
      <c r="C739" s="6"/>
      <c r="E739" s="6"/>
      <c r="M739" s="6"/>
      <c r="P739" s="6"/>
    </row>
    <row r="740" ht="15.75" customHeight="1">
      <c r="B740" s="6"/>
      <c r="C740" s="6"/>
      <c r="E740" s="6"/>
      <c r="M740" s="6"/>
      <c r="P740" s="6"/>
    </row>
    <row r="741" ht="15.75" customHeight="1">
      <c r="B741" s="6"/>
      <c r="C741" s="6"/>
      <c r="E741" s="6"/>
      <c r="M741" s="6"/>
      <c r="P741" s="6"/>
    </row>
    <row r="742" ht="15.75" customHeight="1">
      <c r="B742" s="6"/>
      <c r="C742" s="6"/>
      <c r="E742" s="6"/>
      <c r="M742" s="6"/>
      <c r="P742" s="6"/>
    </row>
    <row r="743" ht="15.75" customHeight="1">
      <c r="B743" s="6"/>
      <c r="C743" s="6"/>
      <c r="E743" s="6"/>
      <c r="M743" s="6"/>
      <c r="P743" s="6"/>
    </row>
    <row r="744" ht="15.75" customHeight="1">
      <c r="B744" s="6"/>
      <c r="C744" s="6"/>
      <c r="E744" s="6"/>
      <c r="M744" s="6"/>
      <c r="P744" s="6"/>
    </row>
    <row r="745" ht="15.75" customHeight="1">
      <c r="B745" s="6"/>
      <c r="C745" s="6"/>
      <c r="E745" s="6"/>
      <c r="M745" s="6"/>
      <c r="P745" s="6"/>
    </row>
    <row r="746" ht="15.75" customHeight="1">
      <c r="B746" s="6"/>
      <c r="C746" s="6"/>
      <c r="E746" s="6"/>
      <c r="M746" s="6"/>
      <c r="P746" s="6"/>
    </row>
    <row r="747" ht="15.75" customHeight="1">
      <c r="B747" s="6"/>
      <c r="C747" s="6"/>
      <c r="E747" s="6"/>
      <c r="M747" s="6"/>
      <c r="P747" s="6"/>
    </row>
    <row r="748" ht="15.75" customHeight="1">
      <c r="B748" s="6"/>
      <c r="C748" s="6"/>
      <c r="E748" s="6"/>
      <c r="M748" s="6"/>
      <c r="P748" s="6"/>
    </row>
    <row r="749" ht="15.75" customHeight="1">
      <c r="B749" s="6"/>
      <c r="C749" s="6"/>
      <c r="E749" s="6"/>
      <c r="M749" s="6"/>
      <c r="P749" s="6"/>
    </row>
    <row r="750" ht="15.75" customHeight="1">
      <c r="B750" s="6"/>
      <c r="C750" s="6"/>
      <c r="E750" s="6"/>
      <c r="M750" s="6"/>
      <c r="P750" s="6"/>
    </row>
    <row r="751" ht="15.75" customHeight="1">
      <c r="B751" s="6"/>
      <c r="C751" s="6"/>
      <c r="E751" s="6"/>
      <c r="M751" s="6"/>
      <c r="P751" s="6"/>
    </row>
    <row r="752" ht="15.75" customHeight="1">
      <c r="B752" s="6"/>
      <c r="C752" s="6"/>
      <c r="E752" s="6"/>
      <c r="M752" s="6"/>
      <c r="P752" s="6"/>
    </row>
    <row r="753" ht="15.75" customHeight="1">
      <c r="B753" s="6"/>
      <c r="C753" s="6"/>
      <c r="E753" s="6"/>
      <c r="M753" s="6"/>
      <c r="P753" s="6"/>
    </row>
    <row r="754" ht="15.75" customHeight="1">
      <c r="B754" s="6"/>
      <c r="C754" s="6"/>
      <c r="E754" s="6"/>
      <c r="M754" s="6"/>
      <c r="P754" s="6"/>
    </row>
    <row r="755" ht="15.75" customHeight="1">
      <c r="B755" s="6"/>
      <c r="C755" s="6"/>
      <c r="E755" s="6"/>
      <c r="M755" s="6"/>
      <c r="P755" s="6"/>
    </row>
    <row r="756" ht="15.75" customHeight="1">
      <c r="B756" s="6"/>
      <c r="C756" s="6"/>
      <c r="E756" s="6"/>
      <c r="M756" s="6"/>
      <c r="P756" s="6"/>
    </row>
    <row r="757" ht="15.75" customHeight="1">
      <c r="B757" s="6"/>
      <c r="C757" s="6"/>
      <c r="E757" s="6"/>
      <c r="M757" s="6"/>
      <c r="P757" s="6"/>
    </row>
    <row r="758" ht="15.75" customHeight="1">
      <c r="B758" s="6"/>
      <c r="C758" s="6"/>
      <c r="E758" s="6"/>
      <c r="M758" s="6"/>
      <c r="P758" s="6"/>
    </row>
    <row r="759" ht="15.75" customHeight="1">
      <c r="B759" s="6"/>
      <c r="C759" s="6"/>
      <c r="E759" s="6"/>
      <c r="M759" s="6"/>
      <c r="P759" s="6"/>
    </row>
    <row r="760" ht="15.75" customHeight="1">
      <c r="B760" s="6"/>
      <c r="C760" s="6"/>
      <c r="E760" s="6"/>
      <c r="M760" s="6"/>
      <c r="P760" s="6"/>
    </row>
    <row r="761" ht="15.75" customHeight="1">
      <c r="B761" s="6"/>
      <c r="C761" s="6"/>
      <c r="E761" s="6"/>
      <c r="M761" s="6"/>
      <c r="P761" s="6"/>
    </row>
    <row r="762" ht="15.75" customHeight="1">
      <c r="B762" s="6"/>
      <c r="C762" s="6"/>
      <c r="E762" s="6"/>
      <c r="M762" s="6"/>
      <c r="P762" s="6"/>
    </row>
    <row r="763" ht="15.75" customHeight="1">
      <c r="B763" s="6"/>
      <c r="C763" s="6"/>
      <c r="E763" s="6"/>
      <c r="M763" s="6"/>
      <c r="P763" s="6"/>
    </row>
    <row r="764" ht="15.75" customHeight="1">
      <c r="B764" s="6"/>
      <c r="C764" s="6"/>
      <c r="E764" s="6"/>
      <c r="M764" s="6"/>
      <c r="P764" s="6"/>
    </row>
    <row r="765" ht="15.75" customHeight="1">
      <c r="B765" s="6"/>
      <c r="C765" s="6"/>
      <c r="E765" s="6"/>
      <c r="M765" s="6"/>
      <c r="P765" s="6"/>
    </row>
    <row r="766" ht="15.75" customHeight="1">
      <c r="B766" s="6"/>
      <c r="C766" s="6"/>
      <c r="E766" s="6"/>
      <c r="M766" s="6"/>
      <c r="P766" s="6"/>
    </row>
    <row r="767" ht="15.75" customHeight="1">
      <c r="B767" s="6"/>
      <c r="C767" s="6"/>
      <c r="E767" s="6"/>
      <c r="M767" s="6"/>
      <c r="P767" s="6"/>
    </row>
    <row r="768" ht="15.75" customHeight="1">
      <c r="B768" s="6"/>
      <c r="C768" s="6"/>
      <c r="E768" s="6"/>
      <c r="M768" s="6"/>
      <c r="P768" s="6"/>
    </row>
    <row r="769" ht="15.75" customHeight="1">
      <c r="B769" s="6"/>
      <c r="C769" s="6"/>
      <c r="E769" s="6"/>
      <c r="M769" s="6"/>
      <c r="P769" s="6"/>
    </row>
    <row r="770" ht="15.75" customHeight="1">
      <c r="B770" s="6"/>
      <c r="C770" s="6"/>
      <c r="E770" s="6"/>
      <c r="M770" s="6"/>
      <c r="P770" s="6"/>
    </row>
    <row r="771" ht="15.75" customHeight="1">
      <c r="B771" s="6"/>
      <c r="C771" s="6"/>
      <c r="E771" s="6"/>
      <c r="M771" s="6"/>
      <c r="P771" s="6"/>
    </row>
    <row r="772" ht="15.75" customHeight="1">
      <c r="B772" s="6"/>
      <c r="C772" s="6"/>
      <c r="E772" s="6"/>
      <c r="M772" s="6"/>
      <c r="P772" s="6"/>
    </row>
    <row r="773" ht="15.75" customHeight="1">
      <c r="B773" s="6"/>
      <c r="C773" s="6"/>
      <c r="E773" s="6"/>
      <c r="M773" s="6"/>
      <c r="P773" s="6"/>
    </row>
    <row r="774" ht="15.75" customHeight="1">
      <c r="B774" s="6"/>
      <c r="C774" s="6"/>
      <c r="E774" s="6"/>
      <c r="M774" s="6"/>
      <c r="P774" s="6"/>
    </row>
    <row r="775" ht="15.75" customHeight="1">
      <c r="B775" s="6"/>
      <c r="C775" s="6"/>
      <c r="E775" s="6"/>
      <c r="M775" s="6"/>
      <c r="P775" s="6"/>
    </row>
    <row r="776" ht="15.75" customHeight="1">
      <c r="B776" s="6"/>
      <c r="C776" s="6"/>
      <c r="E776" s="6"/>
      <c r="M776" s="6"/>
      <c r="P776" s="6"/>
    </row>
    <row r="777" ht="15.75" customHeight="1">
      <c r="B777" s="6"/>
      <c r="C777" s="6"/>
      <c r="E777" s="6"/>
      <c r="M777" s="6"/>
      <c r="P777" s="6"/>
    </row>
    <row r="778" ht="15.75" customHeight="1">
      <c r="B778" s="6"/>
      <c r="C778" s="6"/>
      <c r="E778" s="6"/>
      <c r="M778" s="6"/>
      <c r="P778" s="6"/>
    </row>
    <row r="779" ht="15.75" customHeight="1">
      <c r="B779" s="6"/>
      <c r="C779" s="6"/>
      <c r="E779" s="6"/>
      <c r="M779" s="6"/>
      <c r="P779" s="6"/>
    </row>
    <row r="780" ht="15.75" customHeight="1">
      <c r="B780" s="6"/>
      <c r="C780" s="6"/>
      <c r="E780" s="6"/>
      <c r="M780" s="6"/>
      <c r="P780" s="6"/>
    </row>
    <row r="781" ht="15.75" customHeight="1">
      <c r="B781" s="6"/>
      <c r="C781" s="6"/>
      <c r="E781" s="6"/>
      <c r="M781" s="6"/>
      <c r="P781" s="6"/>
    </row>
    <row r="782" ht="15.75" customHeight="1">
      <c r="B782" s="6"/>
      <c r="C782" s="6"/>
      <c r="E782" s="6"/>
      <c r="M782" s="6"/>
      <c r="P782" s="6"/>
    </row>
    <row r="783" ht="15.75" customHeight="1">
      <c r="B783" s="6"/>
      <c r="C783" s="6"/>
      <c r="E783" s="6"/>
      <c r="M783" s="6"/>
      <c r="P783" s="6"/>
    </row>
    <row r="784" ht="15.75" customHeight="1">
      <c r="B784" s="6"/>
      <c r="C784" s="6"/>
      <c r="E784" s="6"/>
      <c r="M784" s="6"/>
      <c r="P784" s="6"/>
    </row>
    <row r="785" ht="15.75" customHeight="1">
      <c r="B785" s="6"/>
      <c r="C785" s="6"/>
      <c r="E785" s="6"/>
      <c r="M785" s="6"/>
      <c r="P785" s="6"/>
    </row>
    <row r="786" ht="15.75" customHeight="1">
      <c r="B786" s="6"/>
      <c r="C786" s="6"/>
      <c r="E786" s="6"/>
      <c r="M786" s="6"/>
      <c r="P786" s="6"/>
    </row>
    <row r="787" ht="15.75" customHeight="1">
      <c r="B787" s="6"/>
      <c r="C787" s="6"/>
      <c r="E787" s="6"/>
      <c r="M787" s="6"/>
      <c r="P787" s="6"/>
    </row>
    <row r="788" ht="15.75" customHeight="1">
      <c r="B788" s="6"/>
      <c r="C788" s="6"/>
      <c r="E788" s="6"/>
      <c r="M788" s="6"/>
      <c r="P788" s="6"/>
    </row>
    <row r="789" ht="15.75" customHeight="1">
      <c r="B789" s="6"/>
      <c r="C789" s="6"/>
      <c r="E789" s="6"/>
      <c r="M789" s="6"/>
      <c r="P789" s="6"/>
    </row>
    <row r="790" ht="15.75" customHeight="1">
      <c r="B790" s="6"/>
      <c r="C790" s="6"/>
      <c r="E790" s="6"/>
      <c r="M790" s="6"/>
      <c r="P790" s="6"/>
    </row>
    <row r="791" ht="15.75" customHeight="1">
      <c r="B791" s="6"/>
      <c r="C791" s="6"/>
      <c r="E791" s="6"/>
      <c r="M791" s="6"/>
      <c r="P791" s="6"/>
    </row>
    <row r="792" ht="15.75" customHeight="1">
      <c r="B792" s="6"/>
      <c r="C792" s="6"/>
      <c r="E792" s="6"/>
      <c r="M792" s="6"/>
      <c r="P792" s="6"/>
    </row>
    <row r="793" ht="15.75" customHeight="1">
      <c r="B793" s="6"/>
      <c r="C793" s="6"/>
      <c r="E793" s="6"/>
      <c r="M793" s="6"/>
      <c r="P793" s="6"/>
    </row>
    <row r="794" ht="15.75" customHeight="1">
      <c r="B794" s="6"/>
      <c r="C794" s="6"/>
      <c r="E794" s="6"/>
      <c r="M794" s="6"/>
      <c r="P794" s="6"/>
    </row>
    <row r="795" ht="15.75" customHeight="1">
      <c r="B795" s="6"/>
      <c r="C795" s="6"/>
      <c r="E795" s="6"/>
      <c r="M795" s="6"/>
      <c r="P795" s="6"/>
    </row>
    <row r="796" ht="15.75" customHeight="1">
      <c r="B796" s="6"/>
      <c r="C796" s="6"/>
      <c r="E796" s="6"/>
      <c r="M796" s="6"/>
      <c r="P796" s="6"/>
    </row>
    <row r="797" ht="15.75" customHeight="1">
      <c r="B797" s="6"/>
      <c r="C797" s="6"/>
      <c r="E797" s="6"/>
      <c r="M797" s="6"/>
      <c r="P797" s="6"/>
    </row>
    <row r="798" ht="15.75" customHeight="1">
      <c r="B798" s="6"/>
      <c r="C798" s="6"/>
      <c r="E798" s="6"/>
      <c r="M798" s="6"/>
      <c r="P798" s="6"/>
    </row>
    <row r="799" ht="15.75" customHeight="1">
      <c r="B799" s="6"/>
      <c r="C799" s="6"/>
      <c r="E799" s="6"/>
      <c r="M799" s="6"/>
      <c r="P799" s="6"/>
    </row>
    <row r="800" ht="15.75" customHeight="1">
      <c r="B800" s="6"/>
      <c r="C800" s="6"/>
      <c r="E800" s="6"/>
      <c r="M800" s="6"/>
      <c r="P800" s="6"/>
    </row>
    <row r="801" ht="15.75" customHeight="1">
      <c r="B801" s="6"/>
      <c r="C801" s="6"/>
      <c r="E801" s="6"/>
      <c r="M801" s="6"/>
      <c r="P801" s="6"/>
    </row>
    <row r="802" ht="15.75" customHeight="1">
      <c r="B802" s="6"/>
      <c r="C802" s="6"/>
      <c r="E802" s="6"/>
      <c r="M802" s="6"/>
      <c r="P802" s="6"/>
    </row>
    <row r="803" ht="15.75" customHeight="1">
      <c r="B803" s="6"/>
      <c r="C803" s="6"/>
      <c r="E803" s="6"/>
      <c r="M803" s="6"/>
      <c r="P803" s="6"/>
    </row>
    <row r="804" ht="15.75" customHeight="1">
      <c r="B804" s="6"/>
      <c r="C804" s="6"/>
      <c r="E804" s="6"/>
      <c r="M804" s="6"/>
      <c r="P804" s="6"/>
    </row>
    <row r="805" ht="15.75" customHeight="1">
      <c r="B805" s="6"/>
      <c r="C805" s="6"/>
      <c r="E805" s="6"/>
      <c r="M805" s="6"/>
      <c r="P805" s="6"/>
    </row>
    <row r="806" ht="15.75" customHeight="1">
      <c r="B806" s="6"/>
      <c r="C806" s="6"/>
      <c r="E806" s="6"/>
      <c r="M806" s="6"/>
      <c r="P806" s="6"/>
    </row>
    <row r="807" ht="15.75" customHeight="1">
      <c r="B807" s="6"/>
      <c r="C807" s="6"/>
      <c r="E807" s="6"/>
      <c r="M807" s="6"/>
      <c r="P807" s="6"/>
    </row>
    <row r="808" ht="15.75" customHeight="1">
      <c r="B808" s="6"/>
      <c r="C808" s="6"/>
      <c r="E808" s="6"/>
      <c r="M808" s="6"/>
      <c r="P808" s="6"/>
    </row>
    <row r="809" ht="15.75" customHeight="1">
      <c r="B809" s="6"/>
      <c r="C809" s="6"/>
      <c r="E809" s="6"/>
      <c r="M809" s="6"/>
      <c r="P809" s="6"/>
    </row>
    <row r="810" ht="15.75" customHeight="1">
      <c r="B810" s="6"/>
      <c r="C810" s="6"/>
      <c r="E810" s="6"/>
      <c r="M810" s="6"/>
      <c r="P810" s="6"/>
    </row>
    <row r="811" ht="15.75" customHeight="1">
      <c r="B811" s="6"/>
      <c r="C811" s="6"/>
      <c r="E811" s="6"/>
      <c r="M811" s="6"/>
      <c r="P811" s="6"/>
    </row>
    <row r="812" ht="15.75" customHeight="1">
      <c r="B812" s="6"/>
      <c r="C812" s="6"/>
      <c r="E812" s="6"/>
      <c r="M812" s="6"/>
      <c r="P812" s="6"/>
    </row>
    <row r="813" ht="15.75" customHeight="1">
      <c r="B813" s="6"/>
      <c r="C813" s="6"/>
      <c r="E813" s="6"/>
      <c r="M813" s="6"/>
      <c r="P813" s="6"/>
    </row>
    <row r="814" ht="15.75" customHeight="1">
      <c r="B814" s="6"/>
      <c r="C814" s="6"/>
      <c r="E814" s="6"/>
      <c r="M814" s="6"/>
      <c r="P814" s="6"/>
    </row>
    <row r="815" ht="15.75" customHeight="1">
      <c r="B815" s="6"/>
      <c r="C815" s="6"/>
      <c r="E815" s="6"/>
      <c r="M815" s="6"/>
      <c r="P815" s="6"/>
    </row>
    <row r="816" ht="15.75" customHeight="1">
      <c r="B816" s="6"/>
      <c r="C816" s="6"/>
      <c r="E816" s="6"/>
      <c r="M816" s="6"/>
      <c r="P816" s="6"/>
    </row>
    <row r="817" ht="15.75" customHeight="1">
      <c r="B817" s="6"/>
      <c r="C817" s="6"/>
      <c r="E817" s="6"/>
      <c r="M817" s="6"/>
      <c r="P817" s="6"/>
    </row>
    <row r="818" ht="15.75" customHeight="1">
      <c r="B818" s="6"/>
      <c r="C818" s="6"/>
      <c r="E818" s="6"/>
      <c r="M818" s="6"/>
      <c r="P818" s="6"/>
    </row>
    <row r="819" ht="15.75" customHeight="1">
      <c r="B819" s="6"/>
      <c r="C819" s="6"/>
      <c r="E819" s="6"/>
      <c r="M819" s="6"/>
      <c r="P819" s="6"/>
    </row>
    <row r="820" ht="15.75" customHeight="1">
      <c r="B820" s="6"/>
      <c r="C820" s="6"/>
      <c r="E820" s="6"/>
      <c r="M820" s="6"/>
      <c r="P820" s="6"/>
    </row>
    <row r="821" ht="15.75" customHeight="1">
      <c r="B821" s="6"/>
      <c r="C821" s="6"/>
      <c r="E821" s="6"/>
      <c r="M821" s="6"/>
      <c r="P821" s="6"/>
    </row>
    <row r="822" ht="15.75" customHeight="1">
      <c r="B822" s="6"/>
      <c r="C822" s="6"/>
      <c r="E822" s="6"/>
      <c r="M822" s="6"/>
      <c r="P822" s="6"/>
    </row>
    <row r="823" ht="15.75" customHeight="1">
      <c r="B823" s="6"/>
      <c r="C823" s="6"/>
      <c r="E823" s="6"/>
      <c r="M823" s="6"/>
      <c r="P823" s="6"/>
    </row>
    <row r="824" ht="15.75" customHeight="1">
      <c r="B824" s="6"/>
      <c r="C824" s="6"/>
      <c r="E824" s="6"/>
      <c r="M824" s="6"/>
      <c r="P824" s="6"/>
    </row>
    <row r="825" ht="15.75" customHeight="1">
      <c r="B825" s="6"/>
      <c r="C825" s="6"/>
      <c r="E825" s="6"/>
      <c r="M825" s="6"/>
      <c r="P825" s="6"/>
    </row>
    <row r="826" ht="15.75" customHeight="1">
      <c r="B826" s="6"/>
      <c r="C826" s="6"/>
      <c r="E826" s="6"/>
      <c r="M826" s="6"/>
      <c r="P826" s="6"/>
    </row>
    <row r="827" ht="15.75" customHeight="1">
      <c r="B827" s="6"/>
      <c r="C827" s="6"/>
      <c r="E827" s="6"/>
      <c r="M827" s="6"/>
      <c r="P827" s="6"/>
    </row>
    <row r="828" ht="15.75" customHeight="1">
      <c r="B828" s="6"/>
      <c r="C828" s="6"/>
      <c r="E828" s="6"/>
      <c r="M828" s="6"/>
      <c r="P828" s="6"/>
    </row>
    <row r="829" ht="15.75" customHeight="1">
      <c r="B829" s="6"/>
      <c r="C829" s="6"/>
      <c r="E829" s="6"/>
      <c r="M829" s="6"/>
      <c r="P829" s="6"/>
    </row>
    <row r="830" ht="15.75" customHeight="1">
      <c r="B830" s="6"/>
      <c r="C830" s="6"/>
      <c r="E830" s="6"/>
      <c r="M830" s="6"/>
      <c r="P830" s="6"/>
    </row>
    <row r="831" ht="15.75" customHeight="1">
      <c r="B831" s="6"/>
      <c r="C831" s="6"/>
      <c r="E831" s="6"/>
      <c r="M831" s="6"/>
      <c r="P831" s="6"/>
    </row>
    <row r="832" ht="15.75" customHeight="1">
      <c r="B832" s="6"/>
      <c r="C832" s="6"/>
      <c r="E832" s="6"/>
      <c r="M832" s="6"/>
      <c r="P832" s="6"/>
    </row>
    <row r="833" ht="15.75" customHeight="1">
      <c r="B833" s="6"/>
      <c r="C833" s="6"/>
      <c r="E833" s="6"/>
      <c r="M833" s="6"/>
      <c r="P833" s="6"/>
    </row>
    <row r="834" ht="15.75" customHeight="1">
      <c r="B834" s="6"/>
      <c r="C834" s="6"/>
      <c r="E834" s="6"/>
      <c r="M834" s="6"/>
      <c r="P834" s="6"/>
    </row>
    <row r="835" ht="15.75" customHeight="1">
      <c r="B835" s="6"/>
      <c r="C835" s="6"/>
      <c r="E835" s="6"/>
      <c r="M835" s="6"/>
      <c r="P835" s="6"/>
    </row>
    <row r="836" ht="15.75" customHeight="1">
      <c r="B836" s="6"/>
      <c r="C836" s="6"/>
      <c r="E836" s="6"/>
      <c r="M836" s="6"/>
      <c r="P836" s="6"/>
    </row>
    <row r="837" ht="15.75" customHeight="1">
      <c r="B837" s="6"/>
      <c r="C837" s="6"/>
      <c r="E837" s="6"/>
      <c r="M837" s="6"/>
      <c r="P837" s="6"/>
    </row>
    <row r="838" ht="15.75" customHeight="1">
      <c r="B838" s="6"/>
      <c r="C838" s="6"/>
      <c r="E838" s="6"/>
      <c r="M838" s="6"/>
      <c r="P838" s="6"/>
    </row>
    <row r="839" ht="15.75" customHeight="1">
      <c r="B839" s="6"/>
      <c r="C839" s="6"/>
      <c r="E839" s="6"/>
      <c r="M839" s="6"/>
      <c r="P839" s="6"/>
    </row>
    <row r="840" ht="15.75" customHeight="1">
      <c r="B840" s="6"/>
      <c r="C840" s="6"/>
      <c r="E840" s="6"/>
      <c r="M840" s="6"/>
      <c r="P840" s="6"/>
    </row>
    <row r="841" ht="15.75" customHeight="1">
      <c r="B841" s="6"/>
      <c r="C841" s="6"/>
      <c r="E841" s="6"/>
      <c r="M841" s="6"/>
      <c r="P841" s="6"/>
    </row>
    <row r="842" ht="15.75" customHeight="1">
      <c r="B842" s="6"/>
      <c r="C842" s="6"/>
      <c r="E842" s="6"/>
      <c r="M842" s="6"/>
      <c r="P842" s="6"/>
    </row>
    <row r="843" ht="15.75" customHeight="1">
      <c r="B843" s="6"/>
      <c r="C843" s="6"/>
      <c r="E843" s="6"/>
      <c r="M843" s="6"/>
      <c r="P843" s="6"/>
    </row>
    <row r="844" ht="15.75" customHeight="1">
      <c r="B844" s="6"/>
      <c r="C844" s="6"/>
      <c r="E844" s="6"/>
      <c r="M844" s="6"/>
      <c r="P844" s="6"/>
    </row>
    <row r="845" ht="15.75" customHeight="1">
      <c r="B845" s="6"/>
      <c r="C845" s="6"/>
      <c r="E845" s="6"/>
      <c r="M845" s="6"/>
      <c r="P845" s="6"/>
    </row>
    <row r="846" ht="15.75" customHeight="1">
      <c r="B846" s="6"/>
      <c r="C846" s="6"/>
      <c r="E846" s="6"/>
      <c r="M846" s="6"/>
      <c r="P846" s="6"/>
    </row>
    <row r="847" ht="15.75" customHeight="1">
      <c r="B847" s="6"/>
      <c r="C847" s="6"/>
      <c r="E847" s="6"/>
      <c r="M847" s="6"/>
      <c r="P847" s="6"/>
    </row>
    <row r="848" ht="15.75" customHeight="1">
      <c r="B848" s="6"/>
      <c r="C848" s="6"/>
      <c r="E848" s="6"/>
      <c r="M848" s="6"/>
      <c r="P848" s="6"/>
    </row>
    <row r="849" ht="15.75" customHeight="1">
      <c r="B849" s="6"/>
      <c r="C849" s="6"/>
      <c r="E849" s="6"/>
      <c r="M849" s="6"/>
      <c r="P849" s="6"/>
    </row>
    <row r="850" ht="15.75" customHeight="1">
      <c r="B850" s="6"/>
      <c r="C850" s="6"/>
      <c r="E850" s="6"/>
      <c r="M850" s="6"/>
      <c r="P850" s="6"/>
    </row>
    <row r="851" ht="15.75" customHeight="1">
      <c r="B851" s="6"/>
      <c r="C851" s="6"/>
      <c r="E851" s="6"/>
      <c r="M851" s="6"/>
      <c r="P851" s="6"/>
    </row>
    <row r="852" ht="15.75" customHeight="1">
      <c r="B852" s="6"/>
      <c r="C852" s="6"/>
      <c r="E852" s="6"/>
      <c r="M852" s="6"/>
      <c r="P852" s="6"/>
    </row>
    <row r="853" ht="15.75" customHeight="1">
      <c r="B853" s="6"/>
      <c r="C853" s="6"/>
      <c r="E853" s="6"/>
      <c r="M853" s="6"/>
      <c r="P853" s="6"/>
    </row>
    <row r="854" ht="15.75" customHeight="1">
      <c r="B854" s="6"/>
      <c r="C854" s="6"/>
      <c r="E854" s="6"/>
      <c r="M854" s="6"/>
      <c r="P854" s="6"/>
    </row>
    <row r="855" ht="15.75" customHeight="1">
      <c r="B855" s="6"/>
      <c r="C855" s="6"/>
      <c r="E855" s="6"/>
      <c r="M855" s="6"/>
      <c r="P855" s="6"/>
    </row>
    <row r="856" ht="15.75" customHeight="1">
      <c r="B856" s="6"/>
      <c r="C856" s="6"/>
      <c r="E856" s="6"/>
      <c r="M856" s="6"/>
      <c r="P856" s="6"/>
    </row>
    <row r="857" ht="15.75" customHeight="1">
      <c r="B857" s="6"/>
      <c r="C857" s="6"/>
      <c r="E857" s="6"/>
      <c r="M857" s="6"/>
      <c r="P857" s="6"/>
    </row>
    <row r="858" ht="15.75" customHeight="1">
      <c r="B858" s="6"/>
      <c r="C858" s="6"/>
      <c r="E858" s="6"/>
      <c r="M858" s="6"/>
      <c r="P858" s="6"/>
    </row>
    <row r="859" ht="15.75" customHeight="1">
      <c r="B859" s="6"/>
      <c r="C859" s="6"/>
      <c r="E859" s="6"/>
      <c r="M859" s="6"/>
      <c r="P859" s="6"/>
    </row>
    <row r="860" ht="15.75" customHeight="1">
      <c r="B860" s="6"/>
      <c r="C860" s="6"/>
      <c r="E860" s="6"/>
      <c r="M860" s="6"/>
      <c r="P860" s="6"/>
    </row>
    <row r="861" ht="15.75" customHeight="1">
      <c r="B861" s="6"/>
      <c r="C861" s="6"/>
      <c r="E861" s="6"/>
      <c r="M861" s="6"/>
      <c r="P861" s="6"/>
    </row>
    <row r="862" ht="15.75" customHeight="1">
      <c r="B862" s="6"/>
      <c r="C862" s="6"/>
      <c r="E862" s="6"/>
      <c r="M862" s="6"/>
      <c r="P862" s="6"/>
    </row>
    <row r="863" ht="15.75" customHeight="1">
      <c r="B863" s="6"/>
      <c r="C863" s="6"/>
      <c r="E863" s="6"/>
      <c r="M863" s="6"/>
      <c r="P863" s="6"/>
    </row>
    <row r="864" ht="15.75" customHeight="1">
      <c r="B864" s="6"/>
      <c r="C864" s="6"/>
      <c r="E864" s="6"/>
      <c r="M864" s="6"/>
      <c r="P864" s="6"/>
    </row>
    <row r="865" ht="15.75" customHeight="1">
      <c r="B865" s="6"/>
      <c r="C865" s="6"/>
      <c r="E865" s="6"/>
      <c r="M865" s="6"/>
      <c r="P865" s="6"/>
    </row>
    <row r="866" ht="15.75" customHeight="1">
      <c r="B866" s="6"/>
      <c r="C866" s="6"/>
      <c r="E866" s="6"/>
      <c r="M866" s="6"/>
      <c r="P866" s="6"/>
    </row>
    <row r="867" ht="15.75" customHeight="1">
      <c r="B867" s="6"/>
      <c r="C867" s="6"/>
      <c r="E867" s="6"/>
      <c r="M867" s="6"/>
      <c r="P867" s="6"/>
    </row>
    <row r="868" ht="15.75" customHeight="1">
      <c r="B868" s="6"/>
      <c r="C868" s="6"/>
      <c r="E868" s="6"/>
      <c r="M868" s="6"/>
      <c r="P868" s="6"/>
    </row>
    <row r="869" ht="15.75" customHeight="1">
      <c r="B869" s="6"/>
      <c r="C869" s="6"/>
      <c r="E869" s="6"/>
      <c r="M869" s="6"/>
      <c r="P869" s="6"/>
    </row>
    <row r="870" ht="15.75" customHeight="1">
      <c r="B870" s="6"/>
      <c r="C870" s="6"/>
      <c r="E870" s="6"/>
      <c r="M870" s="6"/>
      <c r="P870" s="6"/>
    </row>
    <row r="871" ht="15.75" customHeight="1">
      <c r="B871" s="6"/>
      <c r="C871" s="6"/>
      <c r="E871" s="6"/>
      <c r="M871" s="6"/>
      <c r="P871" s="6"/>
    </row>
    <row r="872" ht="15.75" customHeight="1">
      <c r="B872" s="6"/>
      <c r="C872" s="6"/>
      <c r="E872" s="6"/>
      <c r="M872" s="6"/>
      <c r="P872" s="6"/>
    </row>
    <row r="873" ht="15.75" customHeight="1">
      <c r="B873" s="6"/>
      <c r="C873" s="6"/>
      <c r="E873" s="6"/>
      <c r="M873" s="6"/>
      <c r="P873" s="6"/>
    </row>
    <row r="874" ht="15.75" customHeight="1">
      <c r="B874" s="6"/>
      <c r="C874" s="6"/>
      <c r="E874" s="6"/>
      <c r="M874" s="6"/>
      <c r="P874" s="6"/>
    </row>
    <row r="875" ht="15.75" customHeight="1">
      <c r="B875" s="6"/>
      <c r="C875" s="6"/>
      <c r="E875" s="6"/>
      <c r="M875" s="6"/>
      <c r="P875" s="6"/>
    </row>
    <row r="876" ht="15.75" customHeight="1">
      <c r="B876" s="6"/>
      <c r="C876" s="6"/>
      <c r="E876" s="6"/>
      <c r="M876" s="6"/>
      <c r="P876" s="6"/>
    </row>
    <row r="877" ht="15.75" customHeight="1">
      <c r="B877" s="6"/>
      <c r="C877" s="6"/>
      <c r="E877" s="6"/>
      <c r="M877" s="6"/>
      <c r="P877" s="6"/>
    </row>
    <row r="878" ht="15.75" customHeight="1">
      <c r="B878" s="6"/>
      <c r="C878" s="6"/>
      <c r="E878" s="6"/>
      <c r="M878" s="6"/>
      <c r="P878" s="6"/>
    </row>
    <row r="879" ht="15.75" customHeight="1">
      <c r="B879" s="6"/>
      <c r="C879" s="6"/>
      <c r="E879" s="6"/>
      <c r="M879" s="6"/>
      <c r="P879" s="6"/>
    </row>
    <row r="880" ht="15.75" customHeight="1">
      <c r="B880" s="6"/>
      <c r="C880" s="6"/>
      <c r="E880" s="6"/>
      <c r="M880" s="6"/>
      <c r="P880" s="6"/>
    </row>
    <row r="881" ht="15.75" customHeight="1">
      <c r="B881" s="6"/>
      <c r="C881" s="6"/>
      <c r="E881" s="6"/>
      <c r="M881" s="6"/>
      <c r="P881" s="6"/>
    </row>
    <row r="882" ht="15.75" customHeight="1">
      <c r="B882" s="6"/>
      <c r="C882" s="6"/>
      <c r="E882" s="6"/>
      <c r="M882" s="6"/>
      <c r="P882" s="6"/>
    </row>
    <row r="883" ht="15.75" customHeight="1">
      <c r="B883" s="6"/>
      <c r="C883" s="6"/>
      <c r="E883" s="6"/>
      <c r="M883" s="6"/>
      <c r="P883" s="6"/>
    </row>
    <row r="884" ht="15.75" customHeight="1">
      <c r="B884" s="6"/>
      <c r="C884" s="6"/>
      <c r="E884" s="6"/>
      <c r="M884" s="6"/>
      <c r="P884" s="6"/>
    </row>
    <row r="885" ht="15.75" customHeight="1">
      <c r="B885" s="6"/>
      <c r="C885" s="6"/>
      <c r="E885" s="6"/>
      <c r="M885" s="6"/>
      <c r="P885" s="6"/>
    </row>
    <row r="886" ht="15.75" customHeight="1">
      <c r="B886" s="6"/>
      <c r="C886" s="6"/>
      <c r="E886" s="6"/>
      <c r="M886" s="6"/>
      <c r="P886" s="6"/>
    </row>
    <row r="887" ht="15.75" customHeight="1">
      <c r="B887" s="6"/>
      <c r="C887" s="6"/>
      <c r="E887" s="6"/>
      <c r="M887" s="6"/>
      <c r="P887" s="6"/>
    </row>
    <row r="888" ht="15.75" customHeight="1">
      <c r="B888" s="6"/>
      <c r="C888" s="6"/>
      <c r="E888" s="6"/>
      <c r="M888" s="6"/>
      <c r="P888" s="6"/>
    </row>
    <row r="889" ht="15.75" customHeight="1">
      <c r="B889" s="6"/>
      <c r="C889" s="6"/>
      <c r="E889" s="6"/>
      <c r="M889" s="6"/>
      <c r="P889" s="6"/>
    </row>
    <row r="890" ht="15.75" customHeight="1">
      <c r="B890" s="6"/>
      <c r="C890" s="6"/>
      <c r="E890" s="6"/>
      <c r="M890" s="6"/>
      <c r="P890" s="6"/>
    </row>
    <row r="891" ht="15.75" customHeight="1">
      <c r="B891" s="6"/>
      <c r="C891" s="6"/>
      <c r="E891" s="6"/>
      <c r="M891" s="6"/>
      <c r="P891" s="6"/>
    </row>
    <row r="892" ht="15.75" customHeight="1">
      <c r="B892" s="6"/>
      <c r="C892" s="6"/>
      <c r="E892" s="6"/>
      <c r="M892" s="6"/>
      <c r="P892" s="6"/>
    </row>
    <row r="893" ht="15.75" customHeight="1">
      <c r="B893" s="6"/>
      <c r="C893" s="6"/>
      <c r="E893" s="6"/>
      <c r="M893" s="6"/>
      <c r="P893" s="6"/>
    </row>
    <row r="894" ht="15.75" customHeight="1">
      <c r="B894" s="6"/>
      <c r="C894" s="6"/>
      <c r="E894" s="6"/>
      <c r="M894" s="6"/>
      <c r="P894" s="6"/>
    </row>
    <row r="895" ht="15.75" customHeight="1">
      <c r="B895" s="6"/>
      <c r="C895" s="6"/>
      <c r="E895" s="6"/>
      <c r="M895" s="6"/>
      <c r="P895" s="6"/>
    </row>
    <row r="896" ht="15.75" customHeight="1">
      <c r="B896" s="6"/>
      <c r="C896" s="6"/>
      <c r="E896" s="6"/>
      <c r="M896" s="6"/>
      <c r="P896" s="6"/>
    </row>
    <row r="897" ht="15.75" customHeight="1">
      <c r="B897" s="6"/>
      <c r="C897" s="6"/>
      <c r="E897" s="6"/>
      <c r="M897" s="6"/>
      <c r="P897" s="6"/>
    </row>
    <row r="898" ht="15.75" customHeight="1">
      <c r="B898" s="6"/>
      <c r="C898" s="6"/>
      <c r="E898" s="6"/>
      <c r="M898" s="6"/>
      <c r="P898" s="6"/>
    </row>
    <row r="899" ht="15.75" customHeight="1">
      <c r="B899" s="6"/>
      <c r="C899" s="6"/>
      <c r="E899" s="6"/>
      <c r="M899" s="6"/>
      <c r="P899" s="6"/>
    </row>
    <row r="900" ht="15.75" customHeight="1">
      <c r="B900" s="6"/>
      <c r="C900" s="6"/>
      <c r="E900" s="6"/>
      <c r="M900" s="6"/>
      <c r="P900" s="6"/>
    </row>
    <row r="901" ht="15.75" customHeight="1">
      <c r="B901" s="6"/>
      <c r="C901" s="6"/>
      <c r="E901" s="6"/>
      <c r="M901" s="6"/>
      <c r="P901" s="6"/>
    </row>
    <row r="902" ht="15.75" customHeight="1">
      <c r="B902" s="6"/>
      <c r="C902" s="6"/>
      <c r="E902" s="6"/>
      <c r="M902" s="6"/>
      <c r="P902" s="6"/>
    </row>
    <row r="903" ht="15.75" customHeight="1">
      <c r="B903" s="6"/>
      <c r="C903" s="6"/>
      <c r="E903" s="6"/>
      <c r="M903" s="6"/>
      <c r="P903" s="6"/>
    </row>
    <row r="904" ht="15.75" customHeight="1">
      <c r="B904" s="6"/>
      <c r="C904" s="6"/>
      <c r="E904" s="6"/>
      <c r="M904" s="6"/>
      <c r="P904" s="6"/>
    </row>
    <row r="905" ht="15.75" customHeight="1">
      <c r="B905" s="6"/>
      <c r="C905" s="6"/>
      <c r="E905" s="6"/>
      <c r="M905" s="6"/>
      <c r="P905" s="6"/>
    </row>
    <row r="906" ht="15.75" customHeight="1">
      <c r="B906" s="6"/>
      <c r="C906" s="6"/>
      <c r="E906" s="6"/>
      <c r="M906" s="6"/>
      <c r="P906" s="6"/>
    </row>
    <row r="907" ht="15.75" customHeight="1">
      <c r="B907" s="6"/>
      <c r="C907" s="6"/>
      <c r="E907" s="6"/>
      <c r="M907" s="6"/>
      <c r="P907" s="6"/>
    </row>
    <row r="908" ht="15.75" customHeight="1">
      <c r="B908" s="6"/>
      <c r="C908" s="6"/>
      <c r="E908" s="6"/>
      <c r="M908" s="6"/>
      <c r="P908" s="6"/>
    </row>
    <row r="909" ht="15.75" customHeight="1">
      <c r="B909" s="6"/>
      <c r="C909" s="6"/>
      <c r="E909" s="6"/>
      <c r="M909" s="6"/>
      <c r="P909" s="6"/>
    </row>
    <row r="910" ht="15.75" customHeight="1">
      <c r="B910" s="6"/>
      <c r="C910" s="6"/>
      <c r="E910" s="6"/>
      <c r="M910" s="6"/>
      <c r="P910" s="6"/>
    </row>
    <row r="911" ht="15.75" customHeight="1">
      <c r="B911" s="6"/>
      <c r="C911" s="6"/>
      <c r="E911" s="6"/>
      <c r="M911" s="6"/>
      <c r="P911" s="6"/>
    </row>
    <row r="912" ht="15.75" customHeight="1">
      <c r="B912" s="6"/>
      <c r="C912" s="6"/>
      <c r="E912" s="6"/>
      <c r="M912" s="6"/>
      <c r="P912" s="6"/>
    </row>
    <row r="913" ht="15.75" customHeight="1">
      <c r="B913" s="6"/>
      <c r="C913" s="6"/>
      <c r="E913" s="6"/>
      <c r="M913" s="6"/>
      <c r="P913" s="6"/>
    </row>
    <row r="914" ht="15.75" customHeight="1">
      <c r="B914" s="6"/>
      <c r="C914" s="6"/>
      <c r="E914" s="6"/>
      <c r="M914" s="6"/>
      <c r="P914" s="6"/>
    </row>
    <row r="915" ht="15.75" customHeight="1">
      <c r="B915" s="6"/>
      <c r="C915" s="6"/>
      <c r="E915" s="6"/>
      <c r="M915" s="6"/>
      <c r="P915" s="6"/>
    </row>
    <row r="916" ht="15.75" customHeight="1">
      <c r="B916" s="6"/>
      <c r="C916" s="6"/>
      <c r="E916" s="6"/>
      <c r="M916" s="6"/>
      <c r="P916" s="6"/>
    </row>
    <row r="917" ht="15.75" customHeight="1">
      <c r="B917" s="6"/>
      <c r="C917" s="6"/>
      <c r="E917" s="6"/>
      <c r="M917" s="6"/>
      <c r="P917" s="6"/>
    </row>
    <row r="918" ht="15.75" customHeight="1">
      <c r="B918" s="6"/>
      <c r="C918" s="6"/>
      <c r="E918" s="6"/>
      <c r="M918" s="6"/>
      <c r="P918" s="6"/>
    </row>
    <row r="919" ht="15.75" customHeight="1">
      <c r="B919" s="6"/>
      <c r="C919" s="6"/>
      <c r="E919" s="6"/>
      <c r="M919" s="6"/>
      <c r="P919" s="6"/>
    </row>
    <row r="920" ht="15.75" customHeight="1">
      <c r="B920" s="6"/>
      <c r="C920" s="6"/>
      <c r="E920" s="6"/>
      <c r="M920" s="6"/>
      <c r="P920" s="6"/>
    </row>
    <row r="921" ht="15.75" customHeight="1">
      <c r="B921" s="6"/>
      <c r="C921" s="6"/>
      <c r="E921" s="6"/>
      <c r="M921" s="6"/>
      <c r="P921" s="6"/>
    </row>
    <row r="922" ht="15.75" customHeight="1">
      <c r="B922" s="6"/>
      <c r="C922" s="6"/>
      <c r="E922" s="6"/>
      <c r="M922" s="6"/>
      <c r="P922" s="6"/>
    </row>
    <row r="923" ht="15.75" customHeight="1">
      <c r="B923" s="6"/>
      <c r="C923" s="6"/>
      <c r="E923" s="6"/>
      <c r="M923" s="6"/>
      <c r="P923" s="6"/>
    </row>
    <row r="924" ht="15.75" customHeight="1">
      <c r="B924" s="6"/>
      <c r="C924" s="6"/>
      <c r="E924" s="6"/>
      <c r="M924" s="6"/>
      <c r="P924" s="6"/>
    </row>
    <row r="925" ht="15.75" customHeight="1">
      <c r="B925" s="6"/>
      <c r="C925" s="6"/>
      <c r="E925" s="6"/>
      <c r="M925" s="6"/>
      <c r="P925" s="6"/>
    </row>
    <row r="926" ht="15.75" customHeight="1">
      <c r="B926" s="6"/>
      <c r="C926" s="6"/>
      <c r="E926" s="6"/>
      <c r="M926" s="6"/>
      <c r="P926" s="6"/>
    </row>
    <row r="927" ht="15.75" customHeight="1">
      <c r="B927" s="6"/>
      <c r="C927" s="6"/>
      <c r="E927" s="6"/>
      <c r="M927" s="6"/>
      <c r="P927" s="6"/>
    </row>
    <row r="928" ht="15.75" customHeight="1">
      <c r="B928" s="6"/>
      <c r="C928" s="6"/>
      <c r="E928" s="6"/>
      <c r="M928" s="6"/>
      <c r="P928" s="6"/>
    </row>
    <row r="929" ht="15.75" customHeight="1">
      <c r="B929" s="6"/>
      <c r="C929" s="6"/>
      <c r="E929" s="6"/>
      <c r="M929" s="6"/>
      <c r="P929" s="6"/>
    </row>
    <row r="930" ht="15.75" customHeight="1">
      <c r="B930" s="6"/>
      <c r="C930" s="6"/>
      <c r="E930" s="6"/>
      <c r="M930" s="6"/>
      <c r="P930" s="6"/>
    </row>
    <row r="931" ht="15.75" customHeight="1">
      <c r="B931" s="6"/>
      <c r="C931" s="6"/>
      <c r="E931" s="6"/>
      <c r="M931" s="6"/>
      <c r="P931" s="6"/>
    </row>
    <row r="932" ht="15.75" customHeight="1">
      <c r="B932" s="6"/>
      <c r="C932" s="6"/>
      <c r="E932" s="6"/>
      <c r="M932" s="6"/>
      <c r="P932" s="6"/>
    </row>
    <row r="933" ht="15.75" customHeight="1">
      <c r="B933" s="6"/>
      <c r="C933" s="6"/>
      <c r="E933" s="6"/>
      <c r="M933" s="6"/>
      <c r="P933" s="6"/>
    </row>
    <row r="934" ht="15.75" customHeight="1">
      <c r="B934" s="6"/>
      <c r="C934" s="6"/>
      <c r="E934" s="6"/>
      <c r="M934" s="6"/>
      <c r="P934" s="6"/>
    </row>
    <row r="935" ht="15.75" customHeight="1">
      <c r="B935" s="6"/>
      <c r="C935" s="6"/>
      <c r="E935" s="6"/>
      <c r="M935" s="6"/>
      <c r="P935" s="6"/>
    </row>
    <row r="936" ht="15.75" customHeight="1">
      <c r="B936" s="6"/>
      <c r="C936" s="6"/>
      <c r="E936" s="6"/>
      <c r="M936" s="6"/>
      <c r="P936" s="6"/>
    </row>
    <row r="937" ht="15.75" customHeight="1">
      <c r="B937" s="6"/>
      <c r="C937" s="6"/>
      <c r="E937" s="6"/>
      <c r="M937" s="6"/>
      <c r="P937" s="6"/>
    </row>
    <row r="938" ht="15.75" customHeight="1">
      <c r="B938" s="6"/>
      <c r="C938" s="6"/>
      <c r="E938" s="6"/>
      <c r="M938" s="6"/>
      <c r="P938" s="6"/>
    </row>
    <row r="939" ht="15.75" customHeight="1">
      <c r="B939" s="6"/>
      <c r="C939" s="6"/>
      <c r="E939" s="6"/>
      <c r="M939" s="6"/>
      <c r="P939" s="6"/>
    </row>
    <row r="940" ht="15.75" customHeight="1">
      <c r="B940" s="6"/>
      <c r="C940" s="6"/>
      <c r="E940" s="6"/>
      <c r="M940" s="6"/>
      <c r="P940" s="6"/>
    </row>
    <row r="941" ht="15.75" customHeight="1">
      <c r="B941" s="6"/>
      <c r="C941" s="6"/>
      <c r="E941" s="6"/>
      <c r="M941" s="6"/>
      <c r="P941" s="6"/>
    </row>
    <row r="942" ht="15.75" customHeight="1">
      <c r="B942" s="6"/>
      <c r="C942" s="6"/>
      <c r="E942" s="6"/>
      <c r="M942" s="6"/>
      <c r="P942" s="6"/>
    </row>
    <row r="943" ht="15.75" customHeight="1">
      <c r="B943" s="6"/>
      <c r="C943" s="6"/>
      <c r="E943" s="6"/>
      <c r="M943" s="6"/>
      <c r="P943" s="6"/>
    </row>
    <row r="944" ht="15.75" customHeight="1">
      <c r="B944" s="6"/>
      <c r="C944" s="6"/>
      <c r="E944" s="6"/>
      <c r="M944" s="6"/>
      <c r="P944" s="6"/>
    </row>
    <row r="945" ht="15.75" customHeight="1">
      <c r="B945" s="6"/>
      <c r="C945" s="6"/>
      <c r="E945" s="6"/>
      <c r="M945" s="6"/>
      <c r="P945" s="6"/>
    </row>
    <row r="946" ht="15.75" customHeight="1">
      <c r="B946" s="6"/>
      <c r="C946" s="6"/>
      <c r="E946" s="6"/>
      <c r="M946" s="6"/>
      <c r="P946" s="6"/>
    </row>
    <row r="947" ht="15.75" customHeight="1">
      <c r="B947" s="6"/>
      <c r="C947" s="6"/>
      <c r="E947" s="6"/>
      <c r="M947" s="6"/>
      <c r="P947" s="6"/>
    </row>
    <row r="948" ht="15.75" customHeight="1">
      <c r="B948" s="6"/>
      <c r="C948" s="6"/>
      <c r="E948" s="6"/>
      <c r="M948" s="6"/>
      <c r="P948" s="6"/>
    </row>
    <row r="949" ht="15.75" customHeight="1">
      <c r="B949" s="6"/>
      <c r="C949" s="6"/>
      <c r="E949" s="6"/>
      <c r="M949" s="6"/>
      <c r="P949" s="6"/>
    </row>
    <row r="950" ht="15.75" customHeight="1">
      <c r="B950" s="6"/>
      <c r="C950" s="6"/>
      <c r="E950" s="6"/>
      <c r="M950" s="6"/>
      <c r="P950" s="6"/>
    </row>
    <row r="951" ht="15.75" customHeight="1">
      <c r="B951" s="6"/>
      <c r="C951" s="6"/>
      <c r="E951" s="6"/>
      <c r="M951" s="6"/>
      <c r="P951" s="6"/>
    </row>
    <row r="952" ht="15.75" customHeight="1">
      <c r="B952" s="6"/>
      <c r="C952" s="6"/>
      <c r="E952" s="6"/>
      <c r="M952" s="6"/>
      <c r="P952" s="6"/>
    </row>
    <row r="953" ht="15.75" customHeight="1">
      <c r="B953" s="6"/>
      <c r="C953" s="6"/>
      <c r="E953" s="6"/>
      <c r="M953" s="6"/>
      <c r="P953" s="6"/>
    </row>
    <row r="954" ht="15.75" customHeight="1">
      <c r="B954" s="6"/>
      <c r="C954" s="6"/>
      <c r="E954" s="6"/>
      <c r="M954" s="6"/>
      <c r="P954" s="6"/>
    </row>
    <row r="955" ht="15.75" customHeight="1">
      <c r="B955" s="6"/>
      <c r="C955" s="6"/>
      <c r="E955" s="6"/>
      <c r="M955" s="6"/>
      <c r="P955" s="6"/>
    </row>
    <row r="956" ht="15.75" customHeight="1">
      <c r="B956" s="6"/>
      <c r="C956" s="6"/>
      <c r="E956" s="6"/>
      <c r="M956" s="6"/>
      <c r="P956" s="6"/>
    </row>
    <row r="957" ht="15.75" customHeight="1">
      <c r="B957" s="6"/>
      <c r="C957" s="6"/>
      <c r="E957" s="6"/>
      <c r="M957" s="6"/>
      <c r="P957" s="6"/>
    </row>
    <row r="958" ht="15.75" customHeight="1">
      <c r="B958" s="6"/>
      <c r="C958" s="6"/>
      <c r="E958" s="6"/>
      <c r="M958" s="6"/>
      <c r="P958" s="6"/>
    </row>
    <row r="959" ht="15.75" customHeight="1">
      <c r="B959" s="6"/>
      <c r="C959" s="6"/>
      <c r="E959" s="6"/>
      <c r="M959" s="6"/>
      <c r="P959" s="6"/>
    </row>
    <row r="960" ht="15.75" customHeight="1">
      <c r="B960" s="6"/>
      <c r="C960" s="6"/>
      <c r="E960" s="6"/>
      <c r="M960" s="6"/>
      <c r="P960" s="6"/>
    </row>
    <row r="961" ht="15.75" customHeight="1">
      <c r="B961" s="6"/>
      <c r="C961" s="6"/>
      <c r="E961" s="6"/>
      <c r="M961" s="6"/>
      <c r="P961" s="6"/>
    </row>
    <row r="962" ht="15.75" customHeight="1">
      <c r="B962" s="6"/>
      <c r="C962" s="6"/>
      <c r="E962" s="6"/>
      <c r="M962" s="6"/>
      <c r="P962" s="6"/>
    </row>
    <row r="963" ht="15.75" customHeight="1">
      <c r="B963" s="6"/>
      <c r="C963" s="6"/>
      <c r="E963" s="6"/>
      <c r="M963" s="6"/>
      <c r="P963" s="6"/>
    </row>
    <row r="964" ht="15.75" customHeight="1">
      <c r="B964" s="6"/>
      <c r="C964" s="6"/>
      <c r="E964" s="6"/>
      <c r="M964" s="6"/>
      <c r="P964" s="6"/>
    </row>
    <row r="965" ht="15.75" customHeight="1">
      <c r="B965" s="6"/>
      <c r="C965" s="6"/>
      <c r="E965" s="6"/>
      <c r="M965" s="6"/>
      <c r="P965" s="6"/>
    </row>
    <row r="966" ht="15.75" customHeight="1">
      <c r="B966" s="6"/>
      <c r="C966" s="6"/>
      <c r="E966" s="6"/>
      <c r="M966" s="6"/>
      <c r="P966" s="6"/>
    </row>
    <row r="967" ht="15.75" customHeight="1">
      <c r="B967" s="6"/>
      <c r="C967" s="6"/>
      <c r="E967" s="6"/>
      <c r="M967" s="6"/>
      <c r="P967" s="6"/>
    </row>
    <row r="968" ht="15.75" customHeight="1">
      <c r="B968" s="6"/>
      <c r="C968" s="6"/>
      <c r="E968" s="6"/>
      <c r="M968" s="6"/>
      <c r="P968" s="6"/>
    </row>
    <row r="969" ht="15.75" customHeight="1">
      <c r="B969" s="6"/>
      <c r="C969" s="6"/>
      <c r="E969" s="6"/>
      <c r="M969" s="6"/>
      <c r="P969" s="6"/>
    </row>
    <row r="970" ht="15.75" customHeight="1">
      <c r="B970" s="6"/>
      <c r="C970" s="6"/>
      <c r="E970" s="6"/>
      <c r="M970" s="6"/>
      <c r="P970" s="6"/>
    </row>
    <row r="971" ht="15.75" customHeight="1">
      <c r="B971" s="6"/>
      <c r="C971" s="6"/>
      <c r="E971" s="6"/>
      <c r="M971" s="6"/>
      <c r="P971" s="6"/>
    </row>
    <row r="972" ht="15.75" customHeight="1">
      <c r="B972" s="6"/>
      <c r="C972" s="6"/>
      <c r="E972" s="6"/>
      <c r="M972" s="6"/>
      <c r="P972" s="6"/>
    </row>
    <row r="973" ht="15.75" customHeight="1">
      <c r="B973" s="6"/>
      <c r="C973" s="6"/>
      <c r="E973" s="6"/>
      <c r="M973" s="6"/>
      <c r="P973" s="6"/>
    </row>
    <row r="974" ht="15.75" customHeight="1">
      <c r="B974" s="6"/>
      <c r="C974" s="6"/>
      <c r="E974" s="6"/>
      <c r="M974" s="6"/>
      <c r="P974" s="6"/>
    </row>
    <row r="975" ht="15.75" customHeight="1">
      <c r="B975" s="6"/>
      <c r="C975" s="6"/>
      <c r="E975" s="6"/>
      <c r="M975" s="6"/>
      <c r="P975" s="6"/>
    </row>
    <row r="976" ht="15.75" customHeight="1">
      <c r="B976" s="6"/>
      <c r="C976" s="6"/>
      <c r="E976" s="6"/>
      <c r="M976" s="6"/>
      <c r="P976" s="6"/>
    </row>
    <row r="977" ht="15.75" customHeight="1">
      <c r="B977" s="6"/>
      <c r="C977" s="6"/>
      <c r="E977" s="6"/>
      <c r="M977" s="6"/>
      <c r="P977" s="6"/>
    </row>
    <row r="978" ht="15.75" customHeight="1">
      <c r="B978" s="6"/>
      <c r="C978" s="6"/>
      <c r="E978" s="6"/>
      <c r="M978" s="6"/>
      <c r="P978" s="6"/>
    </row>
    <row r="979" ht="15.75" customHeight="1">
      <c r="B979" s="6"/>
      <c r="C979" s="6"/>
      <c r="E979" s="6"/>
      <c r="M979" s="6"/>
      <c r="P979" s="6"/>
    </row>
    <row r="980" ht="15.75" customHeight="1">
      <c r="B980" s="6"/>
      <c r="C980" s="6"/>
      <c r="E980" s="6"/>
      <c r="M980" s="6"/>
      <c r="P980" s="6"/>
    </row>
    <row r="981" ht="15.75" customHeight="1">
      <c r="B981" s="6"/>
      <c r="C981" s="6"/>
      <c r="E981" s="6"/>
      <c r="M981" s="6"/>
      <c r="P981" s="6"/>
    </row>
    <row r="982" ht="15.75" customHeight="1">
      <c r="B982" s="6"/>
      <c r="C982" s="6"/>
      <c r="E982" s="6"/>
      <c r="M982" s="6"/>
      <c r="P982" s="6"/>
    </row>
    <row r="983" ht="15.75" customHeight="1">
      <c r="B983" s="6"/>
      <c r="C983" s="6"/>
      <c r="E983" s="6"/>
      <c r="M983" s="6"/>
      <c r="P983" s="6"/>
    </row>
    <row r="984" ht="15.75" customHeight="1">
      <c r="B984" s="6"/>
      <c r="C984" s="6"/>
      <c r="E984" s="6"/>
      <c r="M984" s="6"/>
      <c r="P984" s="6"/>
    </row>
    <row r="985" ht="15.75" customHeight="1">
      <c r="B985" s="6"/>
      <c r="C985" s="6"/>
      <c r="E985" s="6"/>
      <c r="M985" s="6"/>
      <c r="P985" s="6"/>
    </row>
    <row r="986" ht="15.75" customHeight="1">
      <c r="B986" s="6"/>
      <c r="C986" s="6"/>
      <c r="E986" s="6"/>
      <c r="M986" s="6"/>
      <c r="P986" s="6"/>
    </row>
    <row r="987" ht="15.75" customHeight="1">
      <c r="B987" s="6"/>
      <c r="C987" s="6"/>
      <c r="E987" s="6"/>
      <c r="M987" s="6"/>
      <c r="P987" s="6"/>
    </row>
    <row r="988" ht="15.75" customHeight="1">
      <c r="B988" s="6"/>
      <c r="C988" s="6"/>
      <c r="E988" s="6"/>
      <c r="M988" s="6"/>
      <c r="P988" s="6"/>
    </row>
    <row r="989" ht="15.75" customHeight="1">
      <c r="B989" s="6"/>
      <c r="C989" s="6"/>
      <c r="E989" s="6"/>
      <c r="M989" s="6"/>
      <c r="P989" s="6"/>
    </row>
    <row r="990" ht="15.75" customHeight="1">
      <c r="B990" s="6"/>
      <c r="C990" s="6"/>
      <c r="E990" s="6"/>
      <c r="M990" s="6"/>
      <c r="P990" s="6"/>
    </row>
    <row r="991" ht="15.75" customHeight="1">
      <c r="B991" s="6"/>
      <c r="C991" s="6"/>
      <c r="E991" s="6"/>
      <c r="M991" s="6"/>
      <c r="P991" s="6"/>
    </row>
    <row r="992" ht="15.75" customHeight="1">
      <c r="B992" s="6"/>
      <c r="C992" s="6"/>
      <c r="E992" s="6"/>
      <c r="M992" s="6"/>
      <c r="P992" s="6"/>
    </row>
    <row r="993" ht="15.75" customHeight="1">
      <c r="B993" s="6"/>
      <c r="C993" s="6"/>
      <c r="E993" s="6"/>
      <c r="M993" s="6"/>
      <c r="P993" s="6"/>
    </row>
    <row r="994" ht="15.75" customHeight="1">
      <c r="B994" s="6"/>
      <c r="C994" s="6"/>
      <c r="E994" s="6"/>
      <c r="M994" s="6"/>
      <c r="P994" s="6"/>
    </row>
    <row r="995" ht="15.75" customHeight="1">
      <c r="B995" s="6"/>
      <c r="C995" s="6"/>
      <c r="E995" s="6"/>
      <c r="M995" s="6"/>
      <c r="P995" s="6"/>
    </row>
    <row r="996" ht="15.75" customHeight="1">
      <c r="B996" s="6"/>
      <c r="C996" s="6"/>
      <c r="E996" s="6"/>
      <c r="M996" s="6"/>
      <c r="P996" s="6"/>
    </row>
    <row r="997" ht="15.75" customHeight="1">
      <c r="B997" s="6"/>
      <c r="C997" s="6"/>
      <c r="E997" s="6"/>
      <c r="M997" s="6"/>
      <c r="P997" s="6"/>
    </row>
    <row r="998" ht="15.75" customHeight="1">
      <c r="B998" s="6"/>
      <c r="C998" s="6"/>
      <c r="E998" s="6"/>
      <c r="M998" s="6"/>
      <c r="P998" s="6"/>
    </row>
    <row r="999" ht="15.75" customHeight="1">
      <c r="B999" s="6"/>
      <c r="C999" s="6"/>
      <c r="E999" s="6"/>
      <c r="M999" s="6"/>
      <c r="P999" s="6"/>
    </row>
    <row r="1000" ht="15.75" customHeight="1">
      <c r="B1000" s="6"/>
      <c r="C1000" s="6"/>
      <c r="E1000" s="6"/>
      <c r="M1000" s="6"/>
      <c r="P1000" s="6"/>
    </row>
  </sheetData>
  <autoFilter ref="$A$1:$P$399"/>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92.0"/>
    <col customWidth="1" min="3" max="3" width="22.0"/>
    <col customWidth="1" min="4" max="26" width="8.71"/>
  </cols>
  <sheetData>
    <row r="1" ht="33.75" customHeight="1">
      <c r="A1" s="2" t="s">
        <v>652</v>
      </c>
      <c r="B1" s="2" t="s">
        <v>653</v>
      </c>
      <c r="C1" s="2" t="s">
        <v>654</v>
      </c>
    </row>
    <row r="2" ht="15.0" customHeight="1">
      <c r="A2" s="8" t="s">
        <v>1</v>
      </c>
      <c r="B2" s="10" t="s">
        <v>655</v>
      </c>
      <c r="C2" s="8" t="s">
        <v>656</v>
      </c>
    </row>
    <row r="3" ht="15.0" customHeight="1">
      <c r="A3" s="8" t="s">
        <v>3</v>
      </c>
      <c r="B3" s="10" t="s">
        <v>657</v>
      </c>
      <c r="C3" s="8" t="s">
        <v>658</v>
      </c>
    </row>
    <row r="4" ht="15.0" customHeight="1">
      <c r="A4" s="8" t="s">
        <v>30</v>
      </c>
      <c r="B4" s="10" t="s">
        <v>659</v>
      </c>
      <c r="C4" s="8" t="s">
        <v>660</v>
      </c>
    </row>
    <row r="5" ht="15.0" customHeight="1">
      <c r="A5" s="8" t="s">
        <v>33</v>
      </c>
      <c r="B5" s="10" t="s">
        <v>661</v>
      </c>
      <c r="C5" s="8" t="s">
        <v>662</v>
      </c>
    </row>
    <row r="6" ht="15.0" customHeight="1">
      <c r="A6" s="8" t="s">
        <v>9</v>
      </c>
      <c r="B6" s="10" t="s">
        <v>663</v>
      </c>
      <c r="C6" s="8" t="s">
        <v>658</v>
      </c>
    </row>
    <row r="7" ht="15.0" customHeight="1">
      <c r="A7" s="8" t="s">
        <v>664</v>
      </c>
      <c r="B7" s="10" t="s">
        <v>665</v>
      </c>
      <c r="C7" s="8" t="s">
        <v>658</v>
      </c>
    </row>
    <row r="8" ht="15.0" customHeight="1">
      <c r="A8" s="8" t="s">
        <v>4</v>
      </c>
      <c r="B8" s="10" t="s">
        <v>667</v>
      </c>
      <c r="C8" s="8" t="s">
        <v>658</v>
      </c>
    </row>
    <row r="9" ht="15.0" customHeight="1">
      <c r="A9" s="8" t="s">
        <v>10</v>
      </c>
      <c r="B9" s="10" t="s">
        <v>668</v>
      </c>
      <c r="C9" s="8" t="s">
        <v>658</v>
      </c>
    </row>
    <row r="10" ht="15.0" customHeight="1">
      <c r="A10" s="8" t="s">
        <v>40</v>
      </c>
      <c r="B10" s="10" t="s">
        <v>670</v>
      </c>
      <c r="C10" s="8" t="s">
        <v>658</v>
      </c>
    </row>
    <row r="11" ht="15.0" customHeight="1">
      <c r="A11" s="8" t="s">
        <v>42</v>
      </c>
      <c r="B11" s="10" t="s">
        <v>671</v>
      </c>
      <c r="C11" s="8" t="s">
        <v>658</v>
      </c>
    </row>
    <row r="12" ht="15.0" customHeight="1">
      <c r="A12" s="8" t="s">
        <v>673</v>
      </c>
      <c r="B12" s="10" t="s">
        <v>674</v>
      </c>
      <c r="C12" s="8" t="s">
        <v>658</v>
      </c>
    </row>
    <row r="13" ht="15.0" customHeight="1">
      <c r="A13" s="8" t="s">
        <v>59</v>
      </c>
      <c r="B13" s="10" t="s">
        <v>675</v>
      </c>
      <c r="C13" s="8" t="s">
        <v>658</v>
      </c>
    </row>
    <row r="14" ht="15.0" customHeight="1">
      <c r="A14" s="8" t="s">
        <v>16</v>
      </c>
      <c r="B14" s="10" t="s">
        <v>676</v>
      </c>
      <c r="C14" s="8" t="s">
        <v>677</v>
      </c>
    </row>
    <row r="15" ht="15.0" customHeight="1">
      <c r="A15" s="8" t="s">
        <v>64</v>
      </c>
      <c r="B15" s="10" t="s">
        <v>678</v>
      </c>
      <c r="C15" s="8" t="s">
        <v>656</v>
      </c>
    </row>
    <row r="16" ht="15.0" customHeight="1">
      <c r="A16" s="8" t="s">
        <v>67</v>
      </c>
      <c r="B16" s="10" t="s">
        <v>679</v>
      </c>
      <c r="C16" s="8" t="s">
        <v>658</v>
      </c>
    </row>
    <row r="17" ht="15.0" customHeight="1">
      <c r="A17" s="8" t="s">
        <v>14</v>
      </c>
      <c r="B17" s="10" t="s">
        <v>680</v>
      </c>
      <c r="C17" s="8" t="s">
        <v>660</v>
      </c>
    </row>
    <row r="18" ht="15.0" customHeight="1">
      <c r="A18" s="8" t="s">
        <v>15</v>
      </c>
      <c r="B18" s="10" t="s">
        <v>681</v>
      </c>
      <c r="C18" s="8" t="s">
        <v>660</v>
      </c>
    </row>
    <row r="19" ht="15.0" customHeight="1">
      <c r="A19" s="8" t="s">
        <v>682</v>
      </c>
      <c r="B19" s="10" t="s">
        <v>683</v>
      </c>
      <c r="C19" s="8" t="s">
        <v>660</v>
      </c>
    </row>
    <row r="20" ht="15.0" customHeight="1">
      <c r="A20" s="8" t="s">
        <v>82</v>
      </c>
      <c r="B20" s="10" t="s">
        <v>684</v>
      </c>
      <c r="C20" s="8" t="s">
        <v>656</v>
      </c>
    </row>
    <row r="21" ht="15.0" customHeight="1">
      <c r="A21" s="8" t="s">
        <v>23</v>
      </c>
      <c r="B21" s="10" t="s">
        <v>685</v>
      </c>
      <c r="C21" s="8" t="s">
        <v>204</v>
      </c>
    </row>
    <row r="22" ht="15.0" customHeight="1">
      <c r="A22" s="8" t="s">
        <v>686</v>
      </c>
      <c r="B22" s="10" t="s">
        <v>687</v>
      </c>
      <c r="C22" s="8" t="s">
        <v>204</v>
      </c>
    </row>
    <row r="23" ht="15.0" customHeight="1">
      <c r="A23" s="8" t="s">
        <v>688</v>
      </c>
      <c r="B23" s="10" t="s">
        <v>689</v>
      </c>
      <c r="C23" s="8" t="s">
        <v>204</v>
      </c>
    </row>
    <row r="24" ht="15.0" customHeight="1">
      <c r="A24" s="8" t="s">
        <v>100</v>
      </c>
      <c r="B24" s="10" t="s">
        <v>691</v>
      </c>
      <c r="C24" s="8" t="s">
        <v>656</v>
      </c>
    </row>
    <row r="25" ht="15.0" customHeight="1">
      <c r="A25" s="8" t="s">
        <v>104</v>
      </c>
      <c r="B25" s="10" t="s">
        <v>693</v>
      </c>
      <c r="C25" s="8" t="s">
        <v>656</v>
      </c>
    </row>
    <row r="26" ht="15.0" customHeight="1">
      <c r="A26" s="8" t="s">
        <v>118</v>
      </c>
      <c r="B26" s="10" t="s">
        <v>694</v>
      </c>
      <c r="C26" s="8" t="s">
        <v>658</v>
      </c>
    </row>
    <row r="27" ht="15.0" customHeight="1">
      <c r="A27" s="8" t="s">
        <v>695</v>
      </c>
      <c r="B27" s="10" t="s">
        <v>696</v>
      </c>
      <c r="C27" s="8" t="s">
        <v>697</v>
      </c>
    </row>
    <row r="28" ht="15.0" customHeight="1">
      <c r="A28" s="8" t="s">
        <v>126</v>
      </c>
      <c r="B28" s="10" t="s">
        <v>698</v>
      </c>
      <c r="C28" s="8" t="s">
        <v>656</v>
      </c>
    </row>
    <row r="29" ht="15.0" customHeight="1">
      <c r="A29" s="8" t="s">
        <v>699</v>
      </c>
      <c r="B29" s="10" t="s">
        <v>700</v>
      </c>
      <c r="C29" s="8" t="s">
        <v>656</v>
      </c>
    </row>
    <row r="30" ht="15.75" customHeight="1">
      <c r="A30" s="6"/>
      <c r="B30" s="6"/>
      <c r="C30" s="6"/>
    </row>
    <row r="31" ht="15.75" customHeight="1">
      <c r="A31" s="6"/>
      <c r="B31" s="6"/>
      <c r="C31" s="6"/>
    </row>
    <row r="32" ht="15.75" customHeight="1">
      <c r="A32" s="6"/>
      <c r="B32" s="6"/>
      <c r="C32" s="6"/>
    </row>
    <row r="33" ht="15.75" customHeight="1">
      <c r="A33" s="6"/>
      <c r="B33" s="6"/>
      <c r="C33" s="6"/>
    </row>
    <row r="34" ht="15.75" customHeight="1">
      <c r="A34" s="6"/>
      <c r="B34" s="6"/>
      <c r="C34" s="6"/>
    </row>
    <row r="35" ht="15.75" customHeight="1">
      <c r="A35" s="6"/>
      <c r="B35" s="6"/>
      <c r="C35" s="6"/>
    </row>
    <row r="36" ht="15.75" customHeight="1">
      <c r="A36" s="6"/>
      <c r="B36" s="6"/>
      <c r="C36" s="6"/>
    </row>
    <row r="37" ht="15.75" customHeight="1">
      <c r="A37" s="6"/>
      <c r="B37" s="6"/>
      <c r="C37" s="6"/>
    </row>
    <row r="38" ht="15.75" customHeight="1">
      <c r="A38" s="6"/>
      <c r="B38" s="6"/>
      <c r="C38" s="6"/>
    </row>
    <row r="39" ht="15.75" customHeight="1">
      <c r="A39" s="6"/>
      <c r="B39" s="6"/>
      <c r="C39" s="6"/>
    </row>
    <row r="40" ht="15.75" customHeight="1">
      <c r="A40" s="6"/>
      <c r="B40" s="6"/>
      <c r="C40" s="6"/>
    </row>
    <row r="41" ht="15.75" customHeight="1">
      <c r="A41" s="6"/>
      <c r="B41" s="6"/>
      <c r="C41" s="6"/>
    </row>
    <row r="42" ht="15.75" customHeight="1">
      <c r="A42" s="6"/>
      <c r="B42" s="6"/>
      <c r="C42" s="6"/>
    </row>
    <row r="43" ht="15.75" customHeight="1">
      <c r="A43" s="6"/>
      <c r="B43" s="6"/>
      <c r="C43" s="6"/>
    </row>
    <row r="44" ht="15.75" customHeight="1">
      <c r="A44" s="6"/>
      <c r="B44" s="6"/>
      <c r="C44" s="6"/>
    </row>
    <row r="45" ht="15.75" customHeight="1">
      <c r="A45" s="6"/>
      <c r="B45" s="6"/>
      <c r="C45" s="6"/>
    </row>
    <row r="46" ht="15.75" customHeight="1">
      <c r="A46" s="6"/>
      <c r="B46" s="6"/>
      <c r="C46" s="6"/>
    </row>
    <row r="47" ht="15.75" customHeight="1">
      <c r="A47" s="6"/>
      <c r="B47" s="6"/>
      <c r="C47" s="6"/>
    </row>
    <row r="48" ht="15.75" customHeight="1">
      <c r="A48" s="6"/>
      <c r="B48" s="6"/>
      <c r="C48" s="6"/>
    </row>
    <row r="49" ht="15.75" customHeight="1">
      <c r="A49" s="6"/>
      <c r="B49" s="6"/>
      <c r="C49" s="6"/>
    </row>
    <row r="50" ht="15.75" customHeight="1">
      <c r="A50" s="6"/>
      <c r="B50" s="6"/>
      <c r="C50" s="6"/>
    </row>
    <row r="51" ht="15.75" customHeight="1">
      <c r="A51" s="6"/>
      <c r="B51" s="6"/>
      <c r="C51" s="6"/>
    </row>
    <row r="52" ht="15.75" customHeight="1">
      <c r="A52" s="6"/>
      <c r="B52" s="6"/>
      <c r="C52" s="6"/>
    </row>
    <row r="53" ht="15.75" customHeight="1">
      <c r="A53" s="6"/>
      <c r="B53" s="6"/>
      <c r="C53" s="6"/>
    </row>
    <row r="54" ht="15.75" customHeight="1">
      <c r="A54" s="6"/>
      <c r="B54" s="6"/>
      <c r="C54" s="6"/>
    </row>
    <row r="55" ht="15.75" customHeight="1">
      <c r="A55" s="6"/>
      <c r="B55" s="6"/>
      <c r="C55" s="6"/>
    </row>
    <row r="56" ht="15.75" customHeight="1">
      <c r="A56" s="6"/>
      <c r="B56" s="6"/>
      <c r="C56" s="6"/>
    </row>
    <row r="57" ht="15.75" customHeight="1">
      <c r="A57" s="6"/>
      <c r="B57" s="6"/>
      <c r="C57" s="6"/>
    </row>
    <row r="58" ht="15.75" customHeight="1">
      <c r="A58" s="6"/>
      <c r="B58" s="6"/>
      <c r="C58" s="6"/>
    </row>
    <row r="59" ht="15.75" customHeight="1">
      <c r="A59" s="6"/>
      <c r="B59" s="6"/>
      <c r="C59" s="6"/>
    </row>
    <row r="60" ht="15.75" customHeight="1">
      <c r="A60" s="6"/>
      <c r="B60" s="6"/>
      <c r="C60" s="6"/>
    </row>
    <row r="61" ht="15.75" customHeight="1">
      <c r="A61" s="6"/>
      <c r="B61" s="6"/>
      <c r="C61" s="6"/>
    </row>
    <row r="62" ht="15.75" customHeight="1">
      <c r="A62" s="6"/>
      <c r="B62" s="6"/>
      <c r="C62" s="6"/>
    </row>
    <row r="63" ht="15.75" customHeight="1">
      <c r="A63" s="6"/>
      <c r="B63" s="6"/>
      <c r="C63" s="6"/>
    </row>
    <row r="64" ht="15.75" customHeight="1">
      <c r="A64" s="6"/>
      <c r="B64" s="6"/>
      <c r="C64" s="6"/>
    </row>
    <row r="65" ht="15.75" customHeight="1">
      <c r="A65" s="6"/>
      <c r="B65" s="6"/>
      <c r="C65" s="6"/>
    </row>
    <row r="66" ht="15.75" customHeight="1">
      <c r="A66" s="6"/>
      <c r="B66" s="6"/>
      <c r="C66" s="6"/>
    </row>
    <row r="67" ht="15.75" customHeight="1">
      <c r="A67" s="6"/>
      <c r="B67" s="6"/>
      <c r="C67" s="6"/>
    </row>
    <row r="68" ht="15.75" customHeight="1">
      <c r="A68" s="6"/>
      <c r="B68" s="6"/>
      <c r="C68" s="6"/>
    </row>
    <row r="69" ht="15.75" customHeight="1">
      <c r="A69" s="6"/>
      <c r="B69" s="6"/>
      <c r="C69" s="6"/>
    </row>
    <row r="70" ht="15.75" customHeight="1">
      <c r="A70" s="6"/>
      <c r="B70" s="6"/>
      <c r="C70" s="6"/>
    </row>
    <row r="71" ht="15.75" customHeight="1">
      <c r="A71" s="6"/>
      <c r="B71" s="6"/>
      <c r="C71" s="6"/>
    </row>
    <row r="72" ht="15.75" customHeight="1">
      <c r="A72" s="6"/>
      <c r="B72" s="6"/>
      <c r="C72" s="6"/>
    </row>
    <row r="73" ht="15.75" customHeight="1">
      <c r="A73" s="6"/>
      <c r="B73" s="6"/>
      <c r="C73" s="6"/>
    </row>
    <row r="74" ht="15.75" customHeight="1">
      <c r="A74" s="6"/>
      <c r="B74" s="6"/>
      <c r="C74" s="6"/>
    </row>
    <row r="75" ht="15.75" customHeight="1">
      <c r="A75" s="6"/>
      <c r="B75" s="6"/>
      <c r="C75" s="6"/>
    </row>
    <row r="76" ht="15.75" customHeight="1">
      <c r="A76" s="6"/>
      <c r="B76" s="6"/>
      <c r="C76" s="6"/>
    </row>
    <row r="77" ht="15.75" customHeight="1">
      <c r="A77" s="6"/>
      <c r="B77" s="6"/>
      <c r="C77" s="6"/>
    </row>
    <row r="78" ht="15.75" customHeight="1">
      <c r="A78" s="6"/>
      <c r="B78" s="6"/>
      <c r="C78" s="6"/>
    </row>
    <row r="79" ht="15.75" customHeight="1">
      <c r="A79" s="6"/>
      <c r="B79" s="6"/>
      <c r="C79" s="6"/>
    </row>
    <row r="80" ht="15.75" customHeight="1">
      <c r="A80" s="6"/>
      <c r="B80" s="6"/>
      <c r="C80" s="6"/>
    </row>
    <row r="81" ht="15.75" customHeight="1">
      <c r="A81" s="6"/>
      <c r="B81" s="6"/>
      <c r="C81" s="6"/>
    </row>
    <row r="82" ht="15.75" customHeight="1">
      <c r="A82" s="6"/>
      <c r="B82" s="6"/>
      <c r="C82" s="6"/>
    </row>
    <row r="83" ht="15.75" customHeight="1">
      <c r="A83" s="6"/>
      <c r="B83" s="6"/>
      <c r="C83" s="6"/>
    </row>
    <row r="84" ht="15.75" customHeight="1">
      <c r="A84" s="6"/>
      <c r="B84" s="6"/>
      <c r="C84" s="6"/>
    </row>
    <row r="85" ht="15.75" customHeight="1">
      <c r="A85" s="6"/>
      <c r="B85" s="6"/>
      <c r="C85" s="6"/>
    </row>
    <row r="86" ht="15.75" customHeight="1">
      <c r="A86" s="6"/>
      <c r="B86" s="6"/>
      <c r="C86" s="6"/>
    </row>
    <row r="87" ht="15.75" customHeight="1">
      <c r="A87" s="6"/>
      <c r="B87" s="6"/>
      <c r="C87" s="6"/>
    </row>
    <row r="88" ht="15.75" customHeight="1">
      <c r="A88" s="6"/>
      <c r="B88" s="6"/>
      <c r="C88" s="6"/>
    </row>
    <row r="89" ht="15.75" customHeight="1">
      <c r="A89" s="6"/>
      <c r="B89" s="6"/>
      <c r="C89" s="6"/>
    </row>
    <row r="90" ht="15.75" customHeight="1">
      <c r="A90" s="6"/>
      <c r="B90" s="6"/>
      <c r="C90" s="6"/>
    </row>
    <row r="91" ht="15.75" customHeight="1">
      <c r="A91" s="6"/>
      <c r="B91" s="6"/>
      <c r="C91" s="6"/>
    </row>
    <row r="92" ht="15.75" customHeight="1">
      <c r="A92" s="6"/>
      <c r="B92" s="6"/>
      <c r="C92" s="6"/>
    </row>
    <row r="93" ht="15.75" customHeight="1">
      <c r="A93" s="6"/>
      <c r="B93" s="6"/>
      <c r="C93" s="6"/>
    </row>
    <row r="94" ht="15.75" customHeight="1">
      <c r="A94" s="6"/>
      <c r="B94" s="6"/>
      <c r="C94" s="6"/>
    </row>
    <row r="95" ht="15.75" customHeight="1">
      <c r="A95" s="6"/>
      <c r="B95" s="6"/>
      <c r="C95" s="6"/>
    </row>
    <row r="96" ht="15.75" customHeight="1">
      <c r="A96" s="6"/>
      <c r="B96" s="6"/>
      <c r="C96" s="6"/>
    </row>
    <row r="97" ht="15.75" customHeight="1">
      <c r="A97" s="6"/>
      <c r="B97" s="6"/>
      <c r="C97" s="6"/>
    </row>
    <row r="98" ht="15.75" customHeight="1">
      <c r="A98" s="6"/>
      <c r="B98" s="6"/>
      <c r="C98" s="6"/>
    </row>
    <row r="99" ht="15.75" customHeight="1">
      <c r="A99" s="6"/>
      <c r="B99" s="6"/>
      <c r="C99" s="6"/>
    </row>
    <row r="100" ht="15.75" customHeight="1">
      <c r="A100" s="6"/>
      <c r="B100" s="6"/>
      <c r="C100" s="6"/>
    </row>
    <row r="101" ht="15.75" customHeight="1">
      <c r="A101" s="6"/>
      <c r="B101" s="6"/>
      <c r="C101" s="6"/>
    </row>
    <row r="102" ht="15.75" customHeight="1">
      <c r="A102" s="6"/>
      <c r="B102" s="6"/>
      <c r="C102" s="6"/>
    </row>
    <row r="103" ht="15.75" customHeight="1">
      <c r="A103" s="6"/>
      <c r="B103" s="6"/>
      <c r="C103" s="6"/>
    </row>
    <row r="104" ht="15.75" customHeight="1">
      <c r="A104" s="6"/>
      <c r="B104" s="6"/>
      <c r="C104" s="6"/>
    </row>
    <row r="105" ht="15.75" customHeight="1">
      <c r="A105" s="6"/>
      <c r="B105" s="6"/>
      <c r="C105" s="6"/>
    </row>
    <row r="106" ht="15.75" customHeight="1">
      <c r="A106" s="6"/>
      <c r="B106" s="6"/>
      <c r="C106" s="6"/>
    </row>
    <row r="107" ht="15.75" customHeight="1">
      <c r="A107" s="6"/>
      <c r="B107" s="6"/>
      <c r="C107" s="6"/>
    </row>
    <row r="108" ht="15.75" customHeight="1">
      <c r="A108" s="6"/>
      <c r="B108" s="6"/>
      <c r="C108" s="6"/>
    </row>
    <row r="109" ht="15.75" customHeight="1">
      <c r="A109" s="6"/>
      <c r="B109" s="6"/>
      <c r="C109" s="6"/>
    </row>
    <row r="110" ht="15.75" customHeight="1">
      <c r="A110" s="6"/>
      <c r="B110" s="6"/>
      <c r="C110" s="6"/>
    </row>
    <row r="111" ht="15.75" customHeight="1">
      <c r="A111" s="6"/>
      <c r="B111" s="6"/>
      <c r="C111" s="6"/>
    </row>
    <row r="112" ht="15.75" customHeight="1">
      <c r="A112" s="6"/>
      <c r="B112" s="6"/>
      <c r="C112" s="6"/>
    </row>
    <row r="113" ht="15.75" customHeight="1">
      <c r="A113" s="6"/>
      <c r="B113" s="6"/>
      <c r="C113" s="6"/>
    </row>
    <row r="114" ht="15.75" customHeight="1">
      <c r="A114" s="6"/>
      <c r="B114" s="6"/>
      <c r="C114" s="6"/>
    </row>
    <row r="115" ht="15.75" customHeight="1">
      <c r="A115" s="6"/>
      <c r="B115" s="6"/>
      <c r="C115" s="6"/>
    </row>
    <row r="116" ht="15.75" customHeight="1">
      <c r="A116" s="6"/>
      <c r="B116" s="6"/>
      <c r="C116" s="6"/>
    </row>
    <row r="117" ht="15.75" customHeight="1">
      <c r="A117" s="6"/>
      <c r="B117" s="6"/>
      <c r="C117" s="6"/>
    </row>
    <row r="118" ht="15.75" customHeight="1">
      <c r="A118" s="6"/>
      <c r="B118" s="6"/>
      <c r="C118" s="6"/>
    </row>
    <row r="119" ht="15.75" customHeight="1">
      <c r="A119" s="6"/>
      <c r="B119" s="6"/>
      <c r="C119" s="6"/>
    </row>
    <row r="120" ht="15.75" customHeight="1">
      <c r="A120" s="6"/>
      <c r="B120" s="6"/>
      <c r="C120" s="6"/>
    </row>
    <row r="121" ht="15.75" customHeight="1">
      <c r="A121" s="6"/>
      <c r="B121" s="6"/>
      <c r="C121" s="6"/>
    </row>
    <row r="122" ht="15.75" customHeight="1">
      <c r="A122" s="6"/>
      <c r="B122" s="6"/>
      <c r="C122" s="6"/>
    </row>
    <row r="123" ht="15.75" customHeight="1">
      <c r="A123" s="6"/>
      <c r="B123" s="6"/>
      <c r="C123" s="6"/>
    </row>
    <row r="124" ht="15.75" customHeight="1">
      <c r="A124" s="6"/>
      <c r="B124" s="6"/>
      <c r="C124" s="6"/>
    </row>
    <row r="125" ht="15.75" customHeight="1">
      <c r="A125" s="6"/>
      <c r="B125" s="6"/>
      <c r="C125" s="6"/>
    </row>
    <row r="126" ht="15.75" customHeight="1">
      <c r="A126" s="6"/>
      <c r="B126" s="6"/>
      <c r="C126" s="6"/>
    </row>
    <row r="127" ht="15.75" customHeight="1">
      <c r="A127" s="6"/>
      <c r="B127" s="6"/>
      <c r="C127" s="6"/>
    </row>
    <row r="128" ht="15.75" customHeight="1">
      <c r="A128" s="6"/>
      <c r="B128" s="6"/>
      <c r="C128" s="6"/>
    </row>
    <row r="129" ht="15.75" customHeight="1">
      <c r="A129" s="6"/>
      <c r="B129" s="6"/>
      <c r="C129" s="6"/>
    </row>
    <row r="130" ht="15.75" customHeight="1">
      <c r="A130" s="6"/>
      <c r="B130" s="6"/>
      <c r="C130" s="6"/>
    </row>
    <row r="131" ht="15.75" customHeight="1">
      <c r="A131" s="6"/>
      <c r="B131" s="6"/>
      <c r="C131" s="6"/>
    </row>
    <row r="132" ht="15.75" customHeight="1">
      <c r="A132" s="6"/>
      <c r="B132" s="6"/>
      <c r="C132" s="6"/>
    </row>
    <row r="133" ht="15.75" customHeight="1">
      <c r="A133" s="6"/>
      <c r="B133" s="6"/>
      <c r="C133" s="6"/>
    </row>
    <row r="134" ht="15.75" customHeight="1">
      <c r="A134" s="6"/>
      <c r="B134" s="6"/>
      <c r="C134" s="6"/>
    </row>
    <row r="135" ht="15.75" customHeight="1">
      <c r="A135" s="6"/>
      <c r="B135" s="6"/>
      <c r="C135" s="6"/>
    </row>
    <row r="136" ht="15.75" customHeight="1">
      <c r="A136" s="6"/>
      <c r="B136" s="6"/>
      <c r="C136" s="6"/>
    </row>
    <row r="137" ht="15.75" customHeight="1">
      <c r="A137" s="6"/>
      <c r="B137" s="6"/>
      <c r="C137" s="6"/>
    </row>
    <row r="138" ht="15.75" customHeight="1">
      <c r="A138" s="6"/>
      <c r="B138" s="6"/>
      <c r="C138" s="6"/>
    </row>
    <row r="139" ht="15.75" customHeight="1">
      <c r="A139" s="6"/>
      <c r="B139" s="6"/>
      <c r="C139" s="6"/>
    </row>
    <row r="140" ht="15.75" customHeight="1">
      <c r="A140" s="6"/>
      <c r="B140" s="6"/>
      <c r="C140" s="6"/>
    </row>
    <row r="141" ht="15.75" customHeight="1">
      <c r="A141" s="6"/>
      <c r="B141" s="6"/>
      <c r="C141" s="6"/>
    </row>
    <row r="142" ht="15.75" customHeight="1">
      <c r="A142" s="6"/>
      <c r="B142" s="6"/>
      <c r="C142" s="6"/>
    </row>
    <row r="143" ht="15.75" customHeight="1">
      <c r="A143" s="6"/>
      <c r="B143" s="6"/>
      <c r="C143" s="6"/>
    </row>
    <row r="144" ht="15.75" customHeight="1">
      <c r="A144" s="6"/>
      <c r="B144" s="6"/>
      <c r="C144" s="6"/>
    </row>
    <row r="145" ht="15.75" customHeight="1">
      <c r="A145" s="6"/>
      <c r="B145" s="6"/>
      <c r="C145" s="6"/>
    </row>
    <row r="146" ht="15.75" customHeight="1">
      <c r="A146" s="6"/>
      <c r="B146" s="6"/>
      <c r="C146" s="6"/>
    </row>
    <row r="147" ht="15.75" customHeight="1">
      <c r="A147" s="6"/>
      <c r="B147" s="6"/>
      <c r="C147" s="6"/>
    </row>
    <row r="148" ht="15.75" customHeight="1">
      <c r="A148" s="6"/>
      <c r="B148" s="6"/>
      <c r="C148" s="6"/>
    </row>
    <row r="149" ht="15.75" customHeight="1">
      <c r="A149" s="6"/>
      <c r="B149" s="6"/>
      <c r="C149" s="6"/>
    </row>
    <row r="150" ht="15.75" customHeight="1">
      <c r="A150" s="6"/>
      <c r="B150" s="6"/>
      <c r="C150" s="6"/>
    </row>
    <row r="151" ht="15.75" customHeight="1">
      <c r="A151" s="6"/>
      <c r="B151" s="6"/>
      <c r="C151" s="6"/>
    </row>
    <row r="152" ht="15.75" customHeight="1">
      <c r="A152" s="6"/>
      <c r="B152" s="6"/>
      <c r="C152" s="6"/>
    </row>
    <row r="153" ht="15.75" customHeight="1">
      <c r="A153" s="6"/>
      <c r="B153" s="6"/>
      <c r="C153" s="6"/>
    </row>
    <row r="154" ht="15.75" customHeight="1">
      <c r="A154" s="6"/>
      <c r="B154" s="6"/>
      <c r="C154" s="6"/>
    </row>
    <row r="155" ht="15.75" customHeight="1">
      <c r="A155" s="6"/>
      <c r="B155" s="6"/>
      <c r="C155" s="6"/>
    </row>
    <row r="156" ht="15.75" customHeight="1">
      <c r="A156" s="6"/>
      <c r="B156" s="6"/>
      <c r="C156" s="6"/>
    </row>
    <row r="157" ht="15.75" customHeight="1">
      <c r="A157" s="6"/>
      <c r="B157" s="6"/>
      <c r="C157" s="6"/>
    </row>
    <row r="158" ht="15.75" customHeight="1">
      <c r="A158" s="6"/>
      <c r="B158" s="6"/>
      <c r="C158" s="6"/>
    </row>
    <row r="159" ht="15.75" customHeight="1">
      <c r="A159" s="6"/>
      <c r="B159" s="6"/>
      <c r="C159" s="6"/>
    </row>
    <row r="160" ht="15.75" customHeight="1">
      <c r="A160" s="6"/>
      <c r="B160" s="6"/>
      <c r="C160" s="6"/>
    </row>
    <row r="161" ht="15.75" customHeight="1">
      <c r="A161" s="6"/>
      <c r="B161" s="6"/>
      <c r="C161" s="6"/>
    </row>
    <row r="162" ht="15.75" customHeight="1">
      <c r="A162" s="6"/>
      <c r="B162" s="6"/>
      <c r="C162" s="6"/>
    </row>
    <row r="163" ht="15.75" customHeight="1">
      <c r="A163" s="6"/>
      <c r="B163" s="6"/>
      <c r="C163" s="6"/>
    </row>
    <row r="164" ht="15.75" customHeight="1">
      <c r="A164" s="6"/>
      <c r="B164" s="6"/>
      <c r="C164" s="6"/>
    </row>
    <row r="165" ht="15.75" customHeight="1">
      <c r="A165" s="6"/>
      <c r="B165" s="6"/>
      <c r="C165" s="6"/>
    </row>
    <row r="166" ht="15.75" customHeight="1">
      <c r="A166" s="6"/>
      <c r="B166" s="6"/>
      <c r="C166" s="6"/>
    </row>
    <row r="167" ht="15.75" customHeight="1">
      <c r="A167" s="6"/>
      <c r="B167" s="6"/>
      <c r="C167" s="6"/>
    </row>
    <row r="168" ht="15.75" customHeight="1">
      <c r="A168" s="6"/>
      <c r="B168" s="6"/>
      <c r="C168" s="6"/>
    </row>
    <row r="169" ht="15.75" customHeight="1">
      <c r="A169" s="6"/>
      <c r="B169" s="6"/>
      <c r="C169" s="6"/>
    </row>
    <row r="170" ht="15.75" customHeight="1">
      <c r="A170" s="6"/>
      <c r="B170" s="6"/>
      <c r="C170" s="6"/>
    </row>
    <row r="171" ht="15.75" customHeight="1">
      <c r="A171" s="6"/>
      <c r="B171" s="6"/>
      <c r="C171" s="6"/>
    </row>
    <row r="172" ht="15.75" customHeight="1">
      <c r="A172" s="6"/>
      <c r="B172" s="6"/>
      <c r="C172" s="6"/>
    </row>
    <row r="173" ht="15.75" customHeight="1">
      <c r="A173" s="6"/>
      <c r="B173" s="6"/>
      <c r="C173" s="6"/>
    </row>
    <row r="174" ht="15.75" customHeight="1">
      <c r="A174" s="6"/>
      <c r="B174" s="6"/>
      <c r="C174" s="6"/>
    </row>
    <row r="175" ht="15.75" customHeight="1">
      <c r="A175" s="6"/>
      <c r="B175" s="6"/>
      <c r="C175" s="6"/>
    </row>
    <row r="176" ht="15.75" customHeight="1">
      <c r="A176" s="6"/>
      <c r="B176" s="6"/>
      <c r="C176" s="6"/>
    </row>
    <row r="177" ht="15.75" customHeight="1">
      <c r="A177" s="6"/>
      <c r="B177" s="6"/>
      <c r="C177" s="6"/>
    </row>
    <row r="178" ht="15.75" customHeight="1">
      <c r="A178" s="6"/>
      <c r="B178" s="6"/>
      <c r="C178" s="6"/>
    </row>
    <row r="179" ht="15.75" customHeight="1">
      <c r="A179" s="6"/>
      <c r="B179" s="6"/>
      <c r="C179" s="6"/>
    </row>
    <row r="180" ht="15.75" customHeight="1">
      <c r="A180" s="6"/>
      <c r="B180" s="6"/>
      <c r="C180" s="6"/>
    </row>
    <row r="181" ht="15.75" customHeight="1">
      <c r="A181" s="6"/>
      <c r="B181" s="6"/>
      <c r="C181" s="6"/>
    </row>
    <row r="182" ht="15.75" customHeight="1">
      <c r="A182" s="6"/>
      <c r="B182" s="6"/>
      <c r="C182" s="6"/>
    </row>
    <row r="183" ht="15.75" customHeight="1">
      <c r="A183" s="6"/>
      <c r="B183" s="6"/>
      <c r="C183" s="6"/>
    </row>
    <row r="184" ht="15.75" customHeight="1">
      <c r="A184" s="6"/>
      <c r="B184" s="6"/>
      <c r="C184" s="6"/>
    </row>
    <row r="185" ht="15.75" customHeight="1">
      <c r="A185" s="6"/>
      <c r="B185" s="6"/>
      <c r="C185" s="6"/>
    </row>
    <row r="186" ht="15.75" customHeight="1">
      <c r="A186" s="6"/>
      <c r="B186" s="6"/>
      <c r="C186" s="6"/>
    </row>
    <row r="187" ht="15.75" customHeight="1">
      <c r="A187" s="6"/>
      <c r="B187" s="6"/>
      <c r="C187" s="6"/>
    </row>
    <row r="188" ht="15.75" customHeight="1">
      <c r="A188" s="6"/>
      <c r="B188" s="6"/>
      <c r="C188" s="6"/>
    </row>
    <row r="189" ht="15.75" customHeight="1">
      <c r="A189" s="6"/>
      <c r="B189" s="6"/>
      <c r="C189" s="6"/>
    </row>
    <row r="190" ht="15.75" customHeight="1">
      <c r="A190" s="6"/>
      <c r="B190" s="6"/>
      <c r="C190" s="6"/>
    </row>
    <row r="191" ht="15.75" customHeight="1">
      <c r="A191" s="6"/>
      <c r="B191" s="6"/>
      <c r="C191" s="6"/>
    </row>
    <row r="192" ht="15.75" customHeight="1">
      <c r="A192" s="6"/>
      <c r="B192" s="6"/>
      <c r="C192" s="6"/>
    </row>
    <row r="193" ht="15.75" customHeight="1">
      <c r="A193" s="6"/>
      <c r="B193" s="6"/>
      <c r="C193" s="6"/>
    </row>
    <row r="194" ht="15.75" customHeight="1">
      <c r="A194" s="6"/>
      <c r="B194" s="6"/>
      <c r="C194" s="6"/>
    </row>
    <row r="195" ht="15.75" customHeight="1">
      <c r="A195" s="6"/>
      <c r="B195" s="6"/>
      <c r="C195" s="6"/>
    </row>
    <row r="196" ht="15.75" customHeight="1">
      <c r="A196" s="6"/>
      <c r="B196" s="6"/>
      <c r="C196" s="6"/>
    </row>
    <row r="197" ht="15.75" customHeight="1">
      <c r="A197" s="6"/>
      <c r="B197" s="6"/>
      <c r="C197" s="6"/>
    </row>
    <row r="198" ht="15.75" customHeight="1">
      <c r="A198" s="6"/>
      <c r="B198" s="6"/>
      <c r="C198" s="6"/>
    </row>
    <row r="199" ht="15.75" customHeight="1">
      <c r="A199" s="6"/>
      <c r="B199" s="6"/>
      <c r="C199" s="6"/>
    </row>
    <row r="200" ht="15.75" customHeight="1">
      <c r="A200" s="6"/>
      <c r="B200" s="6"/>
      <c r="C200" s="6"/>
    </row>
    <row r="201" ht="15.75" customHeight="1">
      <c r="A201" s="6"/>
      <c r="B201" s="6"/>
      <c r="C201" s="6"/>
    </row>
    <row r="202" ht="15.75" customHeight="1">
      <c r="A202" s="6"/>
      <c r="B202" s="6"/>
      <c r="C202" s="6"/>
    </row>
    <row r="203" ht="15.75" customHeight="1">
      <c r="A203" s="6"/>
      <c r="B203" s="6"/>
      <c r="C203" s="6"/>
    </row>
    <row r="204" ht="15.75" customHeight="1">
      <c r="A204" s="6"/>
      <c r="B204" s="6"/>
      <c r="C204" s="6"/>
    </row>
    <row r="205" ht="15.75" customHeight="1">
      <c r="A205" s="6"/>
      <c r="B205" s="6"/>
      <c r="C205" s="6"/>
    </row>
    <row r="206" ht="15.75" customHeight="1">
      <c r="A206" s="6"/>
      <c r="B206" s="6"/>
      <c r="C206" s="6"/>
    </row>
    <row r="207" ht="15.75" customHeight="1">
      <c r="A207" s="6"/>
      <c r="B207" s="6"/>
      <c r="C207" s="6"/>
    </row>
    <row r="208" ht="15.75" customHeight="1">
      <c r="A208" s="6"/>
      <c r="B208" s="6"/>
      <c r="C208" s="6"/>
    </row>
    <row r="209" ht="15.75" customHeight="1">
      <c r="A209" s="6"/>
      <c r="B209" s="6"/>
      <c r="C209" s="6"/>
    </row>
    <row r="210" ht="15.75" customHeight="1">
      <c r="A210" s="6"/>
      <c r="B210" s="6"/>
      <c r="C210" s="6"/>
    </row>
    <row r="211" ht="15.75" customHeight="1">
      <c r="A211" s="6"/>
      <c r="B211" s="6"/>
      <c r="C211" s="6"/>
    </row>
    <row r="212" ht="15.75" customHeight="1">
      <c r="A212" s="6"/>
      <c r="B212" s="6"/>
      <c r="C212" s="6"/>
    </row>
    <row r="213" ht="15.75" customHeight="1">
      <c r="A213" s="6"/>
      <c r="B213" s="6"/>
      <c r="C213" s="6"/>
    </row>
    <row r="214" ht="15.75" customHeight="1">
      <c r="A214" s="6"/>
      <c r="B214" s="6"/>
      <c r="C214" s="6"/>
    </row>
    <row r="215" ht="15.75" customHeight="1">
      <c r="A215" s="6"/>
      <c r="B215" s="6"/>
      <c r="C215" s="6"/>
    </row>
    <row r="216" ht="15.75" customHeight="1">
      <c r="A216" s="6"/>
      <c r="B216" s="6"/>
      <c r="C216" s="6"/>
    </row>
    <row r="217" ht="15.75" customHeight="1">
      <c r="A217" s="6"/>
      <c r="B217" s="6"/>
      <c r="C217" s="6"/>
    </row>
    <row r="218" ht="15.75" customHeight="1">
      <c r="A218" s="6"/>
      <c r="B218" s="6"/>
      <c r="C218" s="6"/>
    </row>
    <row r="219" ht="15.75" customHeight="1">
      <c r="A219" s="6"/>
      <c r="B219" s="6"/>
      <c r="C219" s="6"/>
    </row>
    <row r="220" ht="15.75" customHeight="1">
      <c r="A220" s="6"/>
      <c r="B220" s="6"/>
      <c r="C220" s="6"/>
    </row>
    <row r="221" ht="15.75" customHeight="1">
      <c r="A221" s="6"/>
      <c r="B221" s="6"/>
      <c r="C221" s="6"/>
    </row>
    <row r="222" ht="15.75" customHeight="1">
      <c r="A222" s="6"/>
      <c r="B222" s="6"/>
      <c r="C222" s="6"/>
    </row>
    <row r="223" ht="15.75" customHeight="1">
      <c r="A223" s="6"/>
      <c r="B223" s="6"/>
      <c r="C223" s="6"/>
    </row>
    <row r="224" ht="15.75" customHeight="1">
      <c r="A224" s="6"/>
      <c r="B224" s="6"/>
      <c r="C224" s="6"/>
    </row>
    <row r="225" ht="15.75" customHeight="1">
      <c r="A225" s="6"/>
      <c r="B225" s="6"/>
      <c r="C225" s="6"/>
    </row>
    <row r="226" ht="15.75" customHeight="1">
      <c r="A226" s="6"/>
      <c r="B226" s="6"/>
      <c r="C226" s="6"/>
    </row>
    <row r="227" ht="15.75" customHeight="1">
      <c r="A227" s="6"/>
      <c r="B227" s="6"/>
      <c r="C227" s="6"/>
    </row>
    <row r="228" ht="15.75" customHeight="1">
      <c r="A228" s="6"/>
      <c r="B228" s="6"/>
      <c r="C228" s="6"/>
    </row>
    <row r="229" ht="15.75" customHeight="1">
      <c r="A229" s="6"/>
      <c r="B229" s="6"/>
      <c r="C229" s="6"/>
    </row>
    <row r="230" ht="15.75" customHeight="1">
      <c r="A230" s="6"/>
      <c r="B230" s="6"/>
      <c r="C230" s="6"/>
    </row>
    <row r="231" ht="15.75" customHeight="1">
      <c r="A231" s="6"/>
      <c r="B231" s="6"/>
      <c r="C231" s="6"/>
    </row>
    <row r="232" ht="15.75" customHeight="1">
      <c r="A232" s="6"/>
      <c r="B232" s="6"/>
      <c r="C232" s="6"/>
    </row>
    <row r="233" ht="15.75" customHeight="1">
      <c r="A233" s="6"/>
      <c r="B233" s="6"/>
      <c r="C233" s="6"/>
    </row>
    <row r="234" ht="15.75" customHeight="1">
      <c r="A234" s="6"/>
      <c r="B234" s="6"/>
      <c r="C234" s="6"/>
    </row>
    <row r="235" ht="15.75" customHeight="1">
      <c r="A235" s="6"/>
      <c r="B235" s="6"/>
      <c r="C235" s="6"/>
    </row>
    <row r="236" ht="15.75" customHeight="1">
      <c r="A236" s="6"/>
      <c r="B236" s="6"/>
      <c r="C236" s="6"/>
    </row>
    <row r="237" ht="15.75" customHeight="1">
      <c r="A237" s="6"/>
      <c r="B237" s="6"/>
      <c r="C237" s="6"/>
    </row>
    <row r="238" ht="15.75" customHeight="1">
      <c r="A238" s="6"/>
      <c r="B238" s="6"/>
      <c r="C238" s="6"/>
    </row>
    <row r="239" ht="15.75" customHeight="1">
      <c r="A239" s="6"/>
      <c r="B239" s="6"/>
      <c r="C239" s="6"/>
    </row>
    <row r="240" ht="15.75" customHeight="1">
      <c r="A240" s="6"/>
      <c r="B240" s="6"/>
      <c r="C240" s="6"/>
    </row>
    <row r="241" ht="15.75" customHeight="1">
      <c r="A241" s="6"/>
      <c r="B241" s="6"/>
      <c r="C241" s="6"/>
    </row>
    <row r="242" ht="15.75" customHeight="1">
      <c r="A242" s="6"/>
      <c r="B242" s="6"/>
      <c r="C242" s="6"/>
    </row>
    <row r="243" ht="15.75" customHeight="1">
      <c r="A243" s="6"/>
      <c r="B243" s="6"/>
      <c r="C243" s="6"/>
    </row>
    <row r="244" ht="15.75" customHeight="1">
      <c r="A244" s="6"/>
      <c r="B244" s="6"/>
      <c r="C244" s="6"/>
    </row>
    <row r="245" ht="15.75" customHeight="1">
      <c r="A245" s="6"/>
      <c r="B245" s="6"/>
      <c r="C245" s="6"/>
    </row>
    <row r="246" ht="15.75" customHeight="1">
      <c r="A246" s="6"/>
      <c r="B246" s="6"/>
      <c r="C246" s="6"/>
    </row>
    <row r="247" ht="15.75" customHeight="1">
      <c r="A247" s="6"/>
      <c r="B247" s="6"/>
      <c r="C247" s="6"/>
    </row>
    <row r="248" ht="15.75" customHeight="1">
      <c r="A248" s="6"/>
      <c r="B248" s="6"/>
      <c r="C248" s="6"/>
    </row>
    <row r="249" ht="15.75" customHeight="1">
      <c r="A249" s="6"/>
      <c r="B249" s="6"/>
      <c r="C249" s="6"/>
    </row>
    <row r="250" ht="15.75" customHeight="1">
      <c r="A250" s="6"/>
      <c r="B250" s="6"/>
      <c r="C250" s="6"/>
    </row>
    <row r="251" ht="15.75" customHeight="1">
      <c r="A251" s="6"/>
      <c r="B251" s="6"/>
      <c r="C251" s="6"/>
    </row>
    <row r="252" ht="15.75" customHeight="1">
      <c r="A252" s="6"/>
      <c r="B252" s="6"/>
      <c r="C252" s="6"/>
    </row>
    <row r="253" ht="15.75" customHeight="1">
      <c r="A253" s="6"/>
      <c r="B253" s="6"/>
      <c r="C253" s="6"/>
    </row>
    <row r="254" ht="15.75" customHeight="1">
      <c r="A254" s="6"/>
      <c r="B254" s="6"/>
      <c r="C254" s="6"/>
    </row>
    <row r="255" ht="15.75" customHeight="1">
      <c r="A255" s="6"/>
      <c r="B255" s="6"/>
      <c r="C255" s="6"/>
    </row>
    <row r="256" ht="15.75" customHeight="1">
      <c r="A256" s="6"/>
      <c r="B256" s="6"/>
      <c r="C256" s="6"/>
    </row>
    <row r="257" ht="15.75" customHeight="1">
      <c r="A257" s="6"/>
      <c r="B257" s="6"/>
      <c r="C257" s="6"/>
    </row>
    <row r="258" ht="15.75" customHeight="1">
      <c r="A258" s="6"/>
      <c r="B258" s="6"/>
      <c r="C258" s="6"/>
    </row>
    <row r="259" ht="15.75" customHeight="1">
      <c r="A259" s="6"/>
      <c r="B259" s="6"/>
      <c r="C259" s="6"/>
    </row>
    <row r="260" ht="15.75" customHeight="1">
      <c r="A260" s="6"/>
      <c r="B260" s="6"/>
      <c r="C260" s="6"/>
    </row>
    <row r="261" ht="15.75" customHeight="1">
      <c r="A261" s="6"/>
      <c r="B261" s="6"/>
      <c r="C261" s="6"/>
    </row>
    <row r="262" ht="15.75" customHeight="1">
      <c r="A262" s="6"/>
      <c r="B262" s="6"/>
      <c r="C262" s="6"/>
    </row>
    <row r="263" ht="15.75" customHeight="1">
      <c r="A263" s="6"/>
      <c r="B263" s="6"/>
      <c r="C263" s="6"/>
    </row>
    <row r="264" ht="15.75" customHeight="1">
      <c r="A264" s="6"/>
      <c r="B264" s="6"/>
      <c r="C264" s="6"/>
    </row>
    <row r="265" ht="15.75" customHeight="1">
      <c r="A265" s="6"/>
      <c r="B265" s="6"/>
      <c r="C265" s="6"/>
    </row>
    <row r="266" ht="15.75" customHeight="1">
      <c r="A266" s="6"/>
      <c r="B266" s="6"/>
      <c r="C266" s="6"/>
    </row>
    <row r="267" ht="15.75" customHeight="1">
      <c r="A267" s="6"/>
      <c r="B267" s="6"/>
      <c r="C267" s="6"/>
    </row>
    <row r="268" ht="15.75" customHeight="1">
      <c r="A268" s="6"/>
      <c r="B268" s="6"/>
      <c r="C268" s="6"/>
    </row>
    <row r="269" ht="15.75" customHeight="1">
      <c r="A269" s="6"/>
      <c r="B269" s="6"/>
      <c r="C269" s="6"/>
    </row>
    <row r="270" ht="15.75" customHeight="1">
      <c r="A270" s="6"/>
      <c r="B270" s="6"/>
      <c r="C270" s="6"/>
    </row>
    <row r="271" ht="15.75" customHeight="1">
      <c r="A271" s="6"/>
      <c r="B271" s="6"/>
      <c r="C271" s="6"/>
    </row>
    <row r="272" ht="15.75" customHeight="1">
      <c r="A272" s="6"/>
      <c r="B272" s="6"/>
      <c r="C272" s="6"/>
    </row>
    <row r="273" ht="15.75" customHeight="1">
      <c r="A273" s="6"/>
      <c r="B273" s="6"/>
      <c r="C273" s="6"/>
    </row>
    <row r="274" ht="15.75" customHeight="1">
      <c r="A274" s="6"/>
      <c r="B274" s="6"/>
      <c r="C274" s="6"/>
    </row>
    <row r="275" ht="15.75" customHeight="1">
      <c r="A275" s="6"/>
      <c r="B275" s="6"/>
      <c r="C275" s="6"/>
    </row>
    <row r="276" ht="15.75" customHeight="1">
      <c r="A276" s="6"/>
      <c r="B276" s="6"/>
      <c r="C276" s="6"/>
    </row>
    <row r="277" ht="15.75" customHeight="1">
      <c r="A277" s="6"/>
      <c r="B277" s="6"/>
      <c r="C277" s="6"/>
    </row>
    <row r="278" ht="15.75" customHeight="1">
      <c r="A278" s="6"/>
      <c r="B278" s="6"/>
      <c r="C278" s="6"/>
    </row>
    <row r="279" ht="15.75" customHeight="1">
      <c r="A279" s="6"/>
      <c r="B279" s="6"/>
      <c r="C279" s="6"/>
    </row>
    <row r="280" ht="15.75" customHeight="1">
      <c r="A280" s="6"/>
      <c r="B280" s="6"/>
      <c r="C280" s="6"/>
    </row>
    <row r="281" ht="15.75" customHeight="1">
      <c r="A281" s="6"/>
      <c r="B281" s="6"/>
      <c r="C281" s="6"/>
    </row>
    <row r="282" ht="15.75" customHeight="1">
      <c r="A282" s="6"/>
      <c r="B282" s="6"/>
      <c r="C282" s="6"/>
    </row>
    <row r="283" ht="15.75" customHeight="1">
      <c r="A283" s="6"/>
      <c r="B283" s="6"/>
      <c r="C283" s="6"/>
    </row>
    <row r="284" ht="15.75" customHeight="1">
      <c r="A284" s="6"/>
      <c r="B284" s="6"/>
      <c r="C284" s="6"/>
    </row>
    <row r="285" ht="15.75" customHeight="1">
      <c r="A285" s="6"/>
      <c r="B285" s="6"/>
      <c r="C285" s="6"/>
    </row>
    <row r="286" ht="15.75" customHeight="1">
      <c r="A286" s="6"/>
      <c r="B286" s="6"/>
      <c r="C286" s="6"/>
    </row>
    <row r="287" ht="15.75" customHeight="1">
      <c r="A287" s="6"/>
      <c r="B287" s="6"/>
      <c r="C287" s="6"/>
    </row>
    <row r="288" ht="15.75" customHeight="1">
      <c r="A288" s="6"/>
      <c r="B288" s="6"/>
      <c r="C288" s="6"/>
    </row>
    <row r="289" ht="15.75" customHeight="1">
      <c r="A289" s="6"/>
      <c r="B289" s="6"/>
      <c r="C289" s="6"/>
    </row>
    <row r="290" ht="15.75" customHeight="1">
      <c r="A290" s="6"/>
      <c r="B290" s="6"/>
      <c r="C290" s="6"/>
    </row>
    <row r="291" ht="15.75" customHeight="1">
      <c r="A291" s="6"/>
      <c r="B291" s="6"/>
      <c r="C291" s="6"/>
    </row>
    <row r="292" ht="15.75" customHeight="1">
      <c r="A292" s="6"/>
      <c r="B292" s="6"/>
      <c r="C292" s="6"/>
    </row>
    <row r="293" ht="15.75" customHeight="1">
      <c r="A293" s="6"/>
      <c r="B293" s="6"/>
      <c r="C293" s="6"/>
    </row>
    <row r="294" ht="15.75" customHeight="1">
      <c r="A294" s="6"/>
      <c r="B294" s="6"/>
      <c r="C294" s="6"/>
    </row>
    <row r="295" ht="15.75" customHeight="1">
      <c r="A295" s="6"/>
      <c r="B295" s="6"/>
      <c r="C295" s="6"/>
    </row>
    <row r="296" ht="15.75" customHeight="1">
      <c r="A296" s="6"/>
      <c r="B296" s="6"/>
      <c r="C296" s="6"/>
    </row>
    <row r="297" ht="15.75" customHeight="1">
      <c r="A297" s="6"/>
      <c r="B297" s="6"/>
      <c r="C297" s="6"/>
    </row>
    <row r="298" ht="15.75" customHeight="1">
      <c r="A298" s="6"/>
      <c r="B298" s="6"/>
      <c r="C298" s="6"/>
    </row>
    <row r="299" ht="15.75" customHeight="1">
      <c r="A299" s="6"/>
      <c r="B299" s="6"/>
      <c r="C299" s="6"/>
    </row>
    <row r="300" ht="15.75" customHeight="1">
      <c r="A300" s="6"/>
      <c r="B300" s="6"/>
      <c r="C300" s="6"/>
    </row>
    <row r="301" ht="15.75" customHeight="1">
      <c r="A301" s="6"/>
      <c r="B301" s="6"/>
      <c r="C301" s="6"/>
    </row>
    <row r="302" ht="15.75" customHeight="1">
      <c r="A302" s="6"/>
      <c r="B302" s="6"/>
      <c r="C302" s="6"/>
    </row>
    <row r="303" ht="15.75" customHeight="1">
      <c r="A303" s="6"/>
      <c r="B303" s="6"/>
      <c r="C303" s="6"/>
    </row>
    <row r="304" ht="15.75" customHeight="1">
      <c r="A304" s="6"/>
      <c r="B304" s="6"/>
      <c r="C304" s="6"/>
    </row>
    <row r="305" ht="15.75" customHeight="1">
      <c r="A305" s="6"/>
      <c r="B305" s="6"/>
      <c r="C305" s="6"/>
    </row>
    <row r="306" ht="15.75" customHeight="1">
      <c r="A306" s="6"/>
      <c r="B306" s="6"/>
      <c r="C306" s="6"/>
    </row>
    <row r="307" ht="15.75" customHeight="1">
      <c r="A307" s="6"/>
      <c r="B307" s="6"/>
      <c r="C307" s="6"/>
    </row>
    <row r="308" ht="15.75" customHeight="1">
      <c r="A308" s="6"/>
      <c r="B308" s="6"/>
      <c r="C308" s="6"/>
    </row>
    <row r="309" ht="15.75" customHeight="1">
      <c r="A309" s="6"/>
      <c r="B309" s="6"/>
      <c r="C309" s="6"/>
    </row>
    <row r="310" ht="15.75" customHeight="1">
      <c r="A310" s="6"/>
      <c r="B310" s="6"/>
      <c r="C310" s="6"/>
    </row>
    <row r="311" ht="15.75" customHeight="1">
      <c r="A311" s="6"/>
      <c r="B311" s="6"/>
      <c r="C311" s="6"/>
    </row>
    <row r="312" ht="15.75" customHeight="1">
      <c r="A312" s="6"/>
      <c r="B312" s="6"/>
      <c r="C312" s="6"/>
    </row>
    <row r="313" ht="15.75" customHeight="1">
      <c r="A313" s="6"/>
      <c r="B313" s="6"/>
      <c r="C313" s="6"/>
    </row>
    <row r="314" ht="15.75" customHeight="1">
      <c r="A314" s="6"/>
      <c r="B314" s="6"/>
      <c r="C314" s="6"/>
    </row>
    <row r="315" ht="15.75" customHeight="1">
      <c r="A315" s="6"/>
      <c r="B315" s="6"/>
      <c r="C315" s="6"/>
    </row>
    <row r="316" ht="15.75" customHeight="1">
      <c r="A316" s="6"/>
      <c r="B316" s="6"/>
      <c r="C316" s="6"/>
    </row>
    <row r="317" ht="15.75" customHeight="1">
      <c r="A317" s="6"/>
      <c r="B317" s="6"/>
      <c r="C317" s="6"/>
    </row>
    <row r="318" ht="15.75" customHeight="1">
      <c r="A318" s="6"/>
      <c r="B318" s="6"/>
      <c r="C318" s="6"/>
    </row>
    <row r="319" ht="15.75" customHeight="1">
      <c r="A319" s="6"/>
      <c r="B319" s="6"/>
      <c r="C319" s="6"/>
    </row>
    <row r="320" ht="15.75" customHeight="1">
      <c r="A320" s="6"/>
      <c r="B320" s="6"/>
      <c r="C320" s="6"/>
    </row>
    <row r="321" ht="15.75" customHeight="1">
      <c r="A321" s="6"/>
      <c r="B321" s="6"/>
      <c r="C321" s="6"/>
    </row>
    <row r="322" ht="15.75" customHeight="1">
      <c r="A322" s="6"/>
      <c r="B322" s="6"/>
      <c r="C322" s="6"/>
    </row>
    <row r="323" ht="15.75" customHeight="1">
      <c r="A323" s="6"/>
      <c r="B323" s="6"/>
      <c r="C323" s="6"/>
    </row>
    <row r="324" ht="15.75" customHeight="1">
      <c r="A324" s="6"/>
      <c r="B324" s="6"/>
      <c r="C324" s="6"/>
    </row>
    <row r="325" ht="15.75" customHeight="1">
      <c r="A325" s="6"/>
      <c r="B325" s="6"/>
      <c r="C325" s="6"/>
    </row>
    <row r="326" ht="15.75" customHeight="1">
      <c r="A326" s="6"/>
      <c r="B326" s="6"/>
      <c r="C326" s="6"/>
    </row>
    <row r="327" ht="15.75" customHeight="1">
      <c r="A327" s="6"/>
      <c r="B327" s="6"/>
      <c r="C327" s="6"/>
    </row>
    <row r="328" ht="15.75" customHeight="1">
      <c r="A328" s="6"/>
      <c r="B328" s="6"/>
      <c r="C328" s="6"/>
    </row>
    <row r="329" ht="15.75" customHeight="1">
      <c r="A329" s="6"/>
      <c r="B329" s="6"/>
      <c r="C329" s="6"/>
    </row>
    <row r="330" ht="15.75" customHeight="1">
      <c r="A330" s="6"/>
      <c r="B330" s="6"/>
      <c r="C330" s="6"/>
    </row>
    <row r="331" ht="15.75" customHeight="1">
      <c r="A331" s="6"/>
      <c r="B331" s="6"/>
      <c r="C331" s="6"/>
    </row>
    <row r="332" ht="15.75" customHeight="1">
      <c r="A332" s="6"/>
      <c r="B332" s="6"/>
      <c r="C332" s="6"/>
    </row>
    <row r="333" ht="15.75" customHeight="1">
      <c r="A333" s="6"/>
      <c r="B333" s="6"/>
      <c r="C333" s="6"/>
    </row>
    <row r="334" ht="15.75" customHeight="1">
      <c r="A334" s="6"/>
      <c r="B334" s="6"/>
      <c r="C334" s="6"/>
    </row>
    <row r="335" ht="15.75" customHeight="1">
      <c r="A335" s="6"/>
      <c r="B335" s="6"/>
      <c r="C335" s="6"/>
    </row>
    <row r="336" ht="15.75" customHeight="1">
      <c r="A336" s="6"/>
      <c r="B336" s="6"/>
      <c r="C336" s="6"/>
    </row>
    <row r="337" ht="15.75" customHeight="1">
      <c r="A337" s="6"/>
      <c r="B337" s="6"/>
      <c r="C337" s="6"/>
    </row>
    <row r="338" ht="15.75" customHeight="1">
      <c r="A338" s="6"/>
      <c r="B338" s="6"/>
      <c r="C338" s="6"/>
    </row>
    <row r="339" ht="15.75" customHeight="1">
      <c r="A339" s="6"/>
      <c r="B339" s="6"/>
      <c r="C339" s="6"/>
    </row>
    <row r="340" ht="15.75" customHeight="1">
      <c r="A340" s="6"/>
      <c r="B340" s="6"/>
      <c r="C340" s="6"/>
    </row>
    <row r="341" ht="15.75" customHeight="1">
      <c r="A341" s="6"/>
      <c r="B341" s="6"/>
      <c r="C341" s="6"/>
    </row>
    <row r="342" ht="15.75" customHeight="1">
      <c r="A342" s="6"/>
      <c r="B342" s="6"/>
      <c r="C342" s="6"/>
    </row>
    <row r="343" ht="15.75" customHeight="1">
      <c r="A343" s="6"/>
      <c r="B343" s="6"/>
      <c r="C343" s="6"/>
    </row>
    <row r="344" ht="15.75" customHeight="1">
      <c r="A344" s="6"/>
      <c r="B344" s="6"/>
      <c r="C344" s="6"/>
    </row>
    <row r="345" ht="15.75" customHeight="1">
      <c r="A345" s="6"/>
      <c r="B345" s="6"/>
      <c r="C345" s="6"/>
    </row>
    <row r="346" ht="15.75" customHeight="1">
      <c r="A346" s="6"/>
      <c r="B346" s="6"/>
      <c r="C346" s="6"/>
    </row>
    <row r="347" ht="15.75" customHeight="1">
      <c r="A347" s="6"/>
      <c r="B347" s="6"/>
      <c r="C347" s="6"/>
    </row>
    <row r="348" ht="15.75" customHeight="1">
      <c r="A348" s="6"/>
      <c r="B348" s="6"/>
      <c r="C348" s="6"/>
    </row>
    <row r="349" ht="15.75" customHeight="1">
      <c r="A349" s="6"/>
      <c r="B349" s="6"/>
      <c r="C349" s="6"/>
    </row>
    <row r="350" ht="15.75" customHeight="1">
      <c r="A350" s="6"/>
      <c r="B350" s="6"/>
      <c r="C350" s="6"/>
    </row>
    <row r="351" ht="15.75" customHeight="1">
      <c r="A351" s="6"/>
      <c r="B351" s="6"/>
      <c r="C351" s="6"/>
    </row>
    <row r="352" ht="15.75" customHeight="1">
      <c r="A352" s="6"/>
      <c r="B352" s="6"/>
      <c r="C352" s="6"/>
    </row>
    <row r="353" ht="15.75" customHeight="1">
      <c r="A353" s="6"/>
      <c r="B353" s="6"/>
      <c r="C353" s="6"/>
    </row>
    <row r="354" ht="15.75" customHeight="1">
      <c r="A354" s="6"/>
      <c r="B354" s="6"/>
      <c r="C354" s="6"/>
    </row>
    <row r="355" ht="15.75" customHeight="1">
      <c r="A355" s="6"/>
      <c r="B355" s="6"/>
      <c r="C355" s="6"/>
    </row>
    <row r="356" ht="15.75" customHeight="1">
      <c r="A356" s="6"/>
      <c r="B356" s="6"/>
      <c r="C356" s="6"/>
    </row>
    <row r="357" ht="15.75" customHeight="1">
      <c r="A357" s="6"/>
      <c r="B357" s="6"/>
      <c r="C357" s="6"/>
    </row>
    <row r="358" ht="15.75" customHeight="1">
      <c r="A358" s="6"/>
      <c r="B358" s="6"/>
      <c r="C358" s="6"/>
    </row>
    <row r="359" ht="15.75" customHeight="1">
      <c r="A359" s="6"/>
      <c r="B359" s="6"/>
      <c r="C359" s="6"/>
    </row>
    <row r="360" ht="15.75" customHeight="1">
      <c r="A360" s="6"/>
      <c r="B360" s="6"/>
      <c r="C360" s="6"/>
    </row>
    <row r="361" ht="15.75" customHeight="1">
      <c r="A361" s="6"/>
      <c r="B361" s="6"/>
      <c r="C361" s="6"/>
    </row>
    <row r="362" ht="15.75" customHeight="1">
      <c r="A362" s="6"/>
      <c r="B362" s="6"/>
      <c r="C362" s="6"/>
    </row>
    <row r="363" ht="15.75" customHeight="1">
      <c r="A363" s="6"/>
      <c r="B363" s="6"/>
      <c r="C363" s="6"/>
    </row>
    <row r="364" ht="15.75" customHeight="1">
      <c r="A364" s="6"/>
      <c r="B364" s="6"/>
      <c r="C364" s="6"/>
    </row>
    <row r="365" ht="15.75" customHeight="1">
      <c r="A365" s="6"/>
      <c r="B365" s="6"/>
      <c r="C365" s="6"/>
    </row>
    <row r="366" ht="15.75" customHeight="1">
      <c r="A366" s="6"/>
      <c r="B366" s="6"/>
      <c r="C366" s="6"/>
    </row>
    <row r="367" ht="15.75" customHeight="1">
      <c r="A367" s="6"/>
      <c r="B367" s="6"/>
      <c r="C367" s="6"/>
    </row>
    <row r="368" ht="15.75" customHeight="1">
      <c r="A368" s="6"/>
      <c r="B368" s="6"/>
      <c r="C368" s="6"/>
    </row>
    <row r="369" ht="15.75" customHeight="1">
      <c r="A369" s="6"/>
      <c r="B369" s="6"/>
      <c r="C369" s="6"/>
    </row>
    <row r="370" ht="15.75" customHeight="1">
      <c r="A370" s="6"/>
      <c r="B370" s="6"/>
      <c r="C370" s="6"/>
    </row>
    <row r="371" ht="15.75" customHeight="1">
      <c r="A371" s="6"/>
      <c r="B371" s="6"/>
      <c r="C371" s="6"/>
    </row>
    <row r="372" ht="15.75" customHeight="1">
      <c r="A372" s="6"/>
      <c r="B372" s="6"/>
      <c r="C372" s="6"/>
    </row>
    <row r="373" ht="15.75" customHeight="1">
      <c r="A373" s="6"/>
      <c r="B373" s="6"/>
      <c r="C373" s="6"/>
    </row>
    <row r="374" ht="15.75" customHeight="1">
      <c r="A374" s="6"/>
      <c r="B374" s="6"/>
      <c r="C374" s="6"/>
    </row>
    <row r="375" ht="15.75" customHeight="1">
      <c r="A375" s="6"/>
      <c r="B375" s="6"/>
      <c r="C375" s="6"/>
    </row>
    <row r="376" ht="15.75" customHeight="1">
      <c r="A376" s="6"/>
      <c r="B376" s="6"/>
      <c r="C376" s="6"/>
    </row>
    <row r="377" ht="15.75" customHeight="1">
      <c r="A377" s="6"/>
      <c r="B377" s="6"/>
      <c r="C377" s="6"/>
    </row>
    <row r="378" ht="15.75" customHeight="1">
      <c r="A378" s="6"/>
      <c r="B378" s="6"/>
      <c r="C378" s="6"/>
    </row>
    <row r="379" ht="15.75" customHeight="1">
      <c r="A379" s="6"/>
      <c r="B379" s="6"/>
      <c r="C379" s="6"/>
    </row>
    <row r="380" ht="15.75" customHeight="1">
      <c r="A380" s="6"/>
      <c r="B380" s="6"/>
      <c r="C380" s="6"/>
    </row>
    <row r="381" ht="15.75" customHeight="1">
      <c r="A381" s="6"/>
      <c r="B381" s="6"/>
      <c r="C381" s="6"/>
    </row>
    <row r="382" ht="15.75" customHeight="1">
      <c r="A382" s="6"/>
      <c r="B382" s="6"/>
      <c r="C382" s="6"/>
    </row>
    <row r="383" ht="15.75" customHeight="1">
      <c r="A383" s="6"/>
      <c r="B383" s="6"/>
      <c r="C383" s="6"/>
    </row>
    <row r="384" ht="15.75" customHeight="1">
      <c r="A384" s="6"/>
      <c r="B384" s="6"/>
      <c r="C384" s="6"/>
    </row>
    <row r="385" ht="15.75" customHeight="1">
      <c r="A385" s="6"/>
      <c r="B385" s="6"/>
      <c r="C385" s="6"/>
    </row>
    <row r="386" ht="15.75" customHeight="1">
      <c r="A386" s="6"/>
      <c r="B386" s="6"/>
      <c r="C386" s="6"/>
    </row>
    <row r="387" ht="15.75" customHeight="1">
      <c r="A387" s="6"/>
      <c r="B387" s="6"/>
      <c r="C387" s="6"/>
    </row>
    <row r="388" ht="15.75" customHeight="1">
      <c r="A388" s="6"/>
      <c r="B388" s="6"/>
      <c r="C388" s="6"/>
    </row>
    <row r="389" ht="15.75" customHeight="1">
      <c r="A389" s="6"/>
      <c r="B389" s="6"/>
      <c r="C389" s="6"/>
    </row>
    <row r="390" ht="15.75" customHeight="1">
      <c r="A390" s="6"/>
      <c r="B390" s="6"/>
      <c r="C390" s="6"/>
    </row>
    <row r="391" ht="15.75" customHeight="1">
      <c r="A391" s="6"/>
      <c r="B391" s="6"/>
      <c r="C391" s="6"/>
    </row>
    <row r="392" ht="15.75" customHeight="1">
      <c r="A392" s="6"/>
      <c r="B392" s="6"/>
      <c r="C392" s="6"/>
    </row>
    <row r="393" ht="15.75" customHeight="1">
      <c r="A393" s="6"/>
      <c r="B393" s="6"/>
      <c r="C393" s="6"/>
    </row>
    <row r="394" ht="15.75" customHeight="1">
      <c r="A394" s="6"/>
      <c r="B394" s="6"/>
      <c r="C394" s="6"/>
    </row>
    <row r="395" ht="15.75" customHeight="1">
      <c r="A395" s="6"/>
      <c r="B395" s="6"/>
      <c r="C395" s="6"/>
    </row>
    <row r="396" ht="15.75" customHeight="1">
      <c r="A396" s="6"/>
      <c r="B396" s="6"/>
      <c r="C396" s="6"/>
    </row>
    <row r="397" ht="15.75" customHeight="1">
      <c r="A397" s="6"/>
      <c r="B397" s="6"/>
      <c r="C397" s="6"/>
    </row>
    <row r="398" ht="15.75" customHeight="1">
      <c r="A398" s="6"/>
      <c r="B398" s="6"/>
      <c r="C398" s="6"/>
    </row>
    <row r="399" ht="15.75" customHeight="1">
      <c r="A399" s="6"/>
      <c r="B399" s="6"/>
      <c r="C399" s="6"/>
    </row>
    <row r="400" ht="15.75" customHeight="1">
      <c r="A400" s="6"/>
      <c r="B400" s="6"/>
      <c r="C400" s="6"/>
    </row>
    <row r="401" ht="15.75" customHeight="1">
      <c r="A401" s="6"/>
      <c r="B401" s="6"/>
      <c r="C401" s="6"/>
    </row>
    <row r="402" ht="15.75" customHeight="1">
      <c r="A402" s="6"/>
      <c r="B402" s="6"/>
      <c r="C402" s="6"/>
    </row>
    <row r="403" ht="15.75" customHeight="1">
      <c r="A403" s="6"/>
      <c r="B403" s="6"/>
      <c r="C403" s="6"/>
    </row>
    <row r="404" ht="15.75" customHeight="1">
      <c r="A404" s="6"/>
      <c r="B404" s="6"/>
      <c r="C404" s="6"/>
    </row>
    <row r="405" ht="15.75" customHeight="1">
      <c r="A405" s="6"/>
      <c r="B405" s="6"/>
      <c r="C405" s="6"/>
    </row>
    <row r="406" ht="15.75" customHeight="1">
      <c r="A406" s="6"/>
      <c r="B406" s="6"/>
      <c r="C406" s="6"/>
    </row>
    <row r="407" ht="15.75" customHeight="1">
      <c r="A407" s="6"/>
      <c r="B407" s="6"/>
      <c r="C407" s="6"/>
    </row>
    <row r="408" ht="15.75" customHeight="1">
      <c r="A408" s="6"/>
      <c r="B408" s="6"/>
      <c r="C408" s="6"/>
    </row>
    <row r="409" ht="15.75" customHeight="1">
      <c r="A409" s="6"/>
      <c r="B409" s="6"/>
      <c r="C409" s="6"/>
    </row>
    <row r="410" ht="15.75" customHeight="1">
      <c r="A410" s="6"/>
      <c r="B410" s="6"/>
      <c r="C410" s="6"/>
    </row>
    <row r="411" ht="15.75" customHeight="1">
      <c r="A411" s="6"/>
      <c r="B411" s="6"/>
      <c r="C411" s="6"/>
    </row>
    <row r="412" ht="15.75" customHeight="1">
      <c r="A412" s="6"/>
      <c r="B412" s="6"/>
      <c r="C412" s="6"/>
    </row>
    <row r="413" ht="15.75" customHeight="1">
      <c r="A413" s="6"/>
      <c r="B413" s="6"/>
      <c r="C413" s="6"/>
    </row>
    <row r="414" ht="15.75" customHeight="1">
      <c r="A414" s="6"/>
      <c r="B414" s="6"/>
      <c r="C414" s="6"/>
    </row>
    <row r="415" ht="15.75" customHeight="1">
      <c r="A415" s="6"/>
      <c r="B415" s="6"/>
      <c r="C415" s="6"/>
    </row>
    <row r="416" ht="15.75" customHeight="1">
      <c r="A416" s="6"/>
      <c r="B416" s="6"/>
      <c r="C416" s="6"/>
    </row>
    <row r="417" ht="15.75" customHeight="1">
      <c r="A417" s="6"/>
      <c r="B417" s="6"/>
      <c r="C417" s="6"/>
    </row>
    <row r="418" ht="15.75" customHeight="1">
      <c r="A418" s="6"/>
      <c r="B418" s="6"/>
      <c r="C418" s="6"/>
    </row>
    <row r="419" ht="15.75" customHeight="1">
      <c r="A419" s="6"/>
      <c r="B419" s="6"/>
      <c r="C419" s="6"/>
    </row>
    <row r="420" ht="15.75" customHeight="1">
      <c r="A420" s="6"/>
      <c r="B420" s="6"/>
      <c r="C420" s="6"/>
    </row>
    <row r="421" ht="15.75" customHeight="1">
      <c r="A421" s="6"/>
      <c r="B421" s="6"/>
      <c r="C421" s="6"/>
    </row>
    <row r="422" ht="15.75" customHeight="1">
      <c r="A422" s="6"/>
      <c r="B422" s="6"/>
      <c r="C422" s="6"/>
    </row>
    <row r="423" ht="15.75" customHeight="1">
      <c r="A423" s="6"/>
      <c r="B423" s="6"/>
      <c r="C423" s="6"/>
    </row>
    <row r="424" ht="15.75" customHeight="1">
      <c r="A424" s="6"/>
      <c r="B424" s="6"/>
      <c r="C424" s="6"/>
    </row>
    <row r="425" ht="15.75" customHeight="1">
      <c r="A425" s="6"/>
      <c r="B425" s="6"/>
      <c r="C425" s="6"/>
    </row>
    <row r="426" ht="15.75" customHeight="1">
      <c r="A426" s="6"/>
      <c r="B426" s="6"/>
      <c r="C426" s="6"/>
    </row>
    <row r="427" ht="15.75" customHeight="1">
      <c r="A427" s="6"/>
      <c r="B427" s="6"/>
      <c r="C427" s="6"/>
    </row>
    <row r="428" ht="15.75" customHeight="1">
      <c r="A428" s="6"/>
      <c r="B428" s="6"/>
      <c r="C428" s="6"/>
    </row>
    <row r="429" ht="15.75" customHeight="1">
      <c r="A429" s="6"/>
      <c r="B429" s="6"/>
      <c r="C429" s="6"/>
    </row>
    <row r="430" ht="15.75" customHeight="1">
      <c r="A430" s="6"/>
      <c r="B430" s="6"/>
      <c r="C430" s="6"/>
    </row>
    <row r="431" ht="15.75" customHeight="1">
      <c r="A431" s="6"/>
      <c r="B431" s="6"/>
      <c r="C431" s="6"/>
    </row>
    <row r="432" ht="15.75" customHeight="1">
      <c r="A432" s="6"/>
      <c r="B432" s="6"/>
      <c r="C432" s="6"/>
    </row>
    <row r="433" ht="15.75" customHeight="1">
      <c r="A433" s="6"/>
      <c r="B433" s="6"/>
      <c r="C433" s="6"/>
    </row>
    <row r="434" ht="15.75" customHeight="1">
      <c r="A434" s="6"/>
      <c r="B434" s="6"/>
      <c r="C434" s="6"/>
    </row>
    <row r="435" ht="15.75" customHeight="1">
      <c r="A435" s="6"/>
      <c r="B435" s="6"/>
      <c r="C435" s="6"/>
    </row>
    <row r="436" ht="15.75" customHeight="1">
      <c r="A436" s="6"/>
      <c r="B436" s="6"/>
      <c r="C436" s="6"/>
    </row>
    <row r="437" ht="15.75" customHeight="1">
      <c r="A437" s="6"/>
      <c r="B437" s="6"/>
      <c r="C437" s="6"/>
    </row>
    <row r="438" ht="15.75" customHeight="1">
      <c r="A438" s="6"/>
      <c r="B438" s="6"/>
      <c r="C438" s="6"/>
    </row>
    <row r="439" ht="15.75" customHeight="1">
      <c r="A439" s="6"/>
      <c r="B439" s="6"/>
      <c r="C439" s="6"/>
    </row>
    <row r="440" ht="15.75" customHeight="1">
      <c r="A440" s="6"/>
      <c r="B440" s="6"/>
      <c r="C440" s="6"/>
    </row>
    <row r="441" ht="15.75" customHeight="1">
      <c r="A441" s="6"/>
      <c r="B441" s="6"/>
      <c r="C441" s="6"/>
    </row>
    <row r="442" ht="15.75" customHeight="1">
      <c r="A442" s="6"/>
      <c r="B442" s="6"/>
      <c r="C442" s="6"/>
    </row>
    <row r="443" ht="15.75" customHeight="1">
      <c r="A443" s="6"/>
      <c r="B443" s="6"/>
      <c r="C443" s="6"/>
    </row>
    <row r="444" ht="15.75" customHeight="1">
      <c r="A444" s="6"/>
      <c r="B444" s="6"/>
      <c r="C444" s="6"/>
    </row>
    <row r="445" ht="15.75" customHeight="1">
      <c r="A445" s="6"/>
      <c r="B445" s="6"/>
      <c r="C445" s="6"/>
    </row>
    <row r="446" ht="15.75" customHeight="1">
      <c r="A446" s="6"/>
      <c r="B446" s="6"/>
      <c r="C446" s="6"/>
    </row>
    <row r="447" ht="15.75" customHeight="1">
      <c r="A447" s="6"/>
      <c r="B447" s="6"/>
      <c r="C447" s="6"/>
    </row>
    <row r="448" ht="15.75" customHeight="1">
      <c r="A448" s="6"/>
      <c r="B448" s="6"/>
      <c r="C448" s="6"/>
    </row>
    <row r="449" ht="15.75" customHeight="1">
      <c r="A449" s="6"/>
      <c r="B449" s="6"/>
      <c r="C449" s="6"/>
    </row>
    <row r="450" ht="15.75" customHeight="1">
      <c r="A450" s="6"/>
      <c r="B450" s="6"/>
      <c r="C450" s="6"/>
    </row>
    <row r="451" ht="15.75" customHeight="1">
      <c r="A451" s="6"/>
      <c r="B451" s="6"/>
      <c r="C451" s="6"/>
    </row>
    <row r="452" ht="15.75" customHeight="1">
      <c r="A452" s="6"/>
      <c r="B452" s="6"/>
      <c r="C452" s="6"/>
    </row>
    <row r="453" ht="15.75" customHeight="1">
      <c r="A453" s="6"/>
      <c r="B453" s="6"/>
      <c r="C453" s="6"/>
    </row>
    <row r="454" ht="15.75" customHeight="1">
      <c r="A454" s="6"/>
      <c r="B454" s="6"/>
      <c r="C454" s="6"/>
    </row>
    <row r="455" ht="15.75" customHeight="1">
      <c r="A455" s="6"/>
      <c r="B455" s="6"/>
      <c r="C455" s="6"/>
    </row>
    <row r="456" ht="15.75" customHeight="1">
      <c r="A456" s="6"/>
      <c r="B456" s="6"/>
      <c r="C456" s="6"/>
    </row>
    <row r="457" ht="15.75" customHeight="1">
      <c r="A457" s="6"/>
      <c r="B457" s="6"/>
      <c r="C457" s="6"/>
    </row>
    <row r="458" ht="15.75" customHeight="1">
      <c r="A458" s="6"/>
      <c r="B458" s="6"/>
      <c r="C458" s="6"/>
    </row>
    <row r="459" ht="15.75" customHeight="1">
      <c r="A459" s="6"/>
      <c r="B459" s="6"/>
      <c r="C459" s="6"/>
    </row>
    <row r="460" ht="15.75" customHeight="1">
      <c r="A460" s="6"/>
      <c r="B460" s="6"/>
      <c r="C460" s="6"/>
    </row>
    <row r="461" ht="15.75" customHeight="1">
      <c r="A461" s="6"/>
      <c r="B461" s="6"/>
      <c r="C461" s="6"/>
    </row>
    <row r="462" ht="15.75" customHeight="1">
      <c r="A462" s="6"/>
      <c r="B462" s="6"/>
      <c r="C462" s="6"/>
    </row>
    <row r="463" ht="15.75" customHeight="1">
      <c r="A463" s="6"/>
      <c r="B463" s="6"/>
      <c r="C463" s="6"/>
    </row>
    <row r="464" ht="15.75" customHeight="1">
      <c r="A464" s="6"/>
      <c r="B464" s="6"/>
      <c r="C464" s="6"/>
    </row>
    <row r="465" ht="15.75" customHeight="1">
      <c r="A465" s="6"/>
      <c r="B465" s="6"/>
      <c r="C465" s="6"/>
    </row>
    <row r="466" ht="15.75" customHeight="1">
      <c r="A466" s="6"/>
      <c r="B466" s="6"/>
      <c r="C466" s="6"/>
    </row>
    <row r="467" ht="15.75" customHeight="1">
      <c r="A467" s="6"/>
      <c r="B467" s="6"/>
      <c r="C467" s="6"/>
    </row>
    <row r="468" ht="15.75" customHeight="1">
      <c r="A468" s="6"/>
      <c r="B468" s="6"/>
      <c r="C468" s="6"/>
    </row>
    <row r="469" ht="15.75" customHeight="1">
      <c r="A469" s="6"/>
      <c r="B469" s="6"/>
      <c r="C469" s="6"/>
    </row>
    <row r="470" ht="15.75" customHeight="1">
      <c r="A470" s="6"/>
      <c r="B470" s="6"/>
      <c r="C470" s="6"/>
    </row>
    <row r="471" ht="15.75" customHeight="1">
      <c r="A471" s="6"/>
      <c r="B471" s="6"/>
      <c r="C471" s="6"/>
    </row>
    <row r="472" ht="15.75" customHeight="1">
      <c r="A472" s="6"/>
      <c r="B472" s="6"/>
      <c r="C472" s="6"/>
    </row>
    <row r="473" ht="15.75" customHeight="1">
      <c r="A473" s="6"/>
      <c r="B473" s="6"/>
      <c r="C473" s="6"/>
    </row>
    <row r="474" ht="15.75" customHeight="1">
      <c r="A474" s="6"/>
      <c r="B474" s="6"/>
      <c r="C474" s="6"/>
    </row>
    <row r="475" ht="15.75" customHeight="1">
      <c r="A475" s="6"/>
      <c r="B475" s="6"/>
      <c r="C475" s="6"/>
    </row>
    <row r="476" ht="15.75" customHeight="1">
      <c r="A476" s="6"/>
      <c r="B476" s="6"/>
      <c r="C476" s="6"/>
    </row>
    <row r="477" ht="15.75" customHeight="1">
      <c r="A477" s="6"/>
      <c r="B477" s="6"/>
      <c r="C477" s="6"/>
    </row>
    <row r="478" ht="15.75" customHeight="1">
      <c r="A478" s="6"/>
      <c r="B478" s="6"/>
      <c r="C478" s="6"/>
    </row>
    <row r="479" ht="15.75" customHeight="1">
      <c r="A479" s="6"/>
      <c r="B479" s="6"/>
      <c r="C479" s="6"/>
    </row>
    <row r="480" ht="15.75" customHeight="1">
      <c r="A480" s="6"/>
      <c r="B480" s="6"/>
      <c r="C480" s="6"/>
    </row>
    <row r="481" ht="15.75" customHeight="1">
      <c r="A481" s="6"/>
      <c r="B481" s="6"/>
      <c r="C481" s="6"/>
    </row>
    <row r="482" ht="15.75" customHeight="1">
      <c r="A482" s="6"/>
      <c r="B482" s="6"/>
      <c r="C482" s="6"/>
    </row>
    <row r="483" ht="15.75" customHeight="1">
      <c r="A483" s="6"/>
      <c r="B483" s="6"/>
      <c r="C483" s="6"/>
    </row>
    <row r="484" ht="15.75" customHeight="1">
      <c r="A484" s="6"/>
      <c r="B484" s="6"/>
      <c r="C484" s="6"/>
    </row>
    <row r="485" ht="15.75" customHeight="1">
      <c r="A485" s="6"/>
      <c r="B485" s="6"/>
      <c r="C485" s="6"/>
    </row>
    <row r="486" ht="15.75" customHeight="1">
      <c r="A486" s="6"/>
      <c r="B486" s="6"/>
      <c r="C486" s="6"/>
    </row>
    <row r="487" ht="15.75" customHeight="1">
      <c r="A487" s="6"/>
      <c r="B487" s="6"/>
      <c r="C487" s="6"/>
    </row>
    <row r="488" ht="15.75" customHeight="1">
      <c r="A488" s="6"/>
      <c r="B488" s="6"/>
      <c r="C488" s="6"/>
    </row>
    <row r="489" ht="15.75" customHeight="1">
      <c r="A489" s="6"/>
      <c r="B489" s="6"/>
      <c r="C489" s="6"/>
    </row>
    <row r="490" ht="15.75" customHeight="1">
      <c r="A490" s="6"/>
      <c r="B490" s="6"/>
      <c r="C490" s="6"/>
    </row>
    <row r="491" ht="15.75" customHeight="1">
      <c r="A491" s="6"/>
      <c r="B491" s="6"/>
      <c r="C491" s="6"/>
    </row>
    <row r="492" ht="15.75" customHeight="1">
      <c r="A492" s="6"/>
      <c r="B492" s="6"/>
      <c r="C492" s="6"/>
    </row>
    <row r="493" ht="15.75" customHeight="1">
      <c r="A493" s="6"/>
      <c r="B493" s="6"/>
      <c r="C493" s="6"/>
    </row>
    <row r="494" ht="15.75" customHeight="1">
      <c r="A494" s="6"/>
      <c r="B494" s="6"/>
      <c r="C494" s="6"/>
    </row>
    <row r="495" ht="15.75" customHeight="1">
      <c r="A495" s="6"/>
      <c r="B495" s="6"/>
      <c r="C495" s="6"/>
    </row>
    <row r="496" ht="15.75" customHeight="1">
      <c r="A496" s="6"/>
      <c r="B496" s="6"/>
      <c r="C496" s="6"/>
    </row>
    <row r="497" ht="15.75" customHeight="1">
      <c r="A497" s="6"/>
      <c r="B497" s="6"/>
      <c r="C497" s="6"/>
    </row>
    <row r="498" ht="15.75" customHeight="1">
      <c r="A498" s="6"/>
      <c r="B498" s="6"/>
      <c r="C498" s="6"/>
    </row>
    <row r="499" ht="15.75" customHeight="1">
      <c r="A499" s="6"/>
      <c r="B499" s="6"/>
      <c r="C499" s="6"/>
    </row>
    <row r="500" ht="15.75" customHeight="1">
      <c r="A500" s="6"/>
      <c r="B500" s="6"/>
      <c r="C500" s="6"/>
    </row>
    <row r="501" ht="15.75" customHeight="1">
      <c r="A501" s="6"/>
      <c r="B501" s="6"/>
      <c r="C501" s="6"/>
    </row>
    <row r="502" ht="15.75" customHeight="1">
      <c r="A502" s="6"/>
      <c r="B502" s="6"/>
      <c r="C502" s="6"/>
    </row>
    <row r="503" ht="15.75" customHeight="1">
      <c r="A503" s="6"/>
      <c r="B503" s="6"/>
      <c r="C503" s="6"/>
    </row>
    <row r="504" ht="15.75" customHeight="1">
      <c r="A504" s="6"/>
      <c r="B504" s="6"/>
      <c r="C504" s="6"/>
    </row>
    <row r="505" ht="15.75" customHeight="1">
      <c r="A505" s="6"/>
      <c r="B505" s="6"/>
      <c r="C505" s="6"/>
    </row>
    <row r="506" ht="15.75" customHeight="1">
      <c r="A506" s="6"/>
      <c r="B506" s="6"/>
      <c r="C506" s="6"/>
    </row>
    <row r="507" ht="15.75" customHeight="1">
      <c r="A507" s="6"/>
      <c r="B507" s="6"/>
      <c r="C507" s="6"/>
    </row>
    <row r="508" ht="15.75" customHeight="1">
      <c r="A508" s="6"/>
      <c r="B508" s="6"/>
      <c r="C508" s="6"/>
    </row>
    <row r="509" ht="15.75" customHeight="1">
      <c r="A509" s="6"/>
      <c r="B509" s="6"/>
      <c r="C509" s="6"/>
    </row>
    <row r="510" ht="15.75" customHeight="1">
      <c r="A510" s="6"/>
      <c r="B510" s="6"/>
      <c r="C510" s="6"/>
    </row>
    <row r="511" ht="15.75" customHeight="1">
      <c r="A511" s="6"/>
      <c r="B511" s="6"/>
      <c r="C511" s="6"/>
    </row>
    <row r="512" ht="15.75" customHeight="1">
      <c r="A512" s="6"/>
      <c r="B512" s="6"/>
      <c r="C512" s="6"/>
    </row>
    <row r="513" ht="15.75" customHeight="1">
      <c r="A513" s="6"/>
      <c r="B513" s="6"/>
      <c r="C513" s="6"/>
    </row>
    <row r="514" ht="15.75" customHeight="1">
      <c r="A514" s="6"/>
      <c r="B514" s="6"/>
      <c r="C514" s="6"/>
    </row>
    <row r="515" ht="15.75" customHeight="1">
      <c r="A515" s="6"/>
      <c r="B515" s="6"/>
      <c r="C515" s="6"/>
    </row>
    <row r="516" ht="15.75" customHeight="1">
      <c r="A516" s="6"/>
      <c r="B516" s="6"/>
      <c r="C516" s="6"/>
    </row>
    <row r="517" ht="15.75" customHeight="1">
      <c r="A517" s="6"/>
      <c r="B517" s="6"/>
      <c r="C517" s="6"/>
    </row>
    <row r="518" ht="15.75" customHeight="1">
      <c r="A518" s="6"/>
      <c r="B518" s="6"/>
      <c r="C518" s="6"/>
    </row>
    <row r="519" ht="15.75" customHeight="1">
      <c r="A519" s="6"/>
      <c r="B519" s="6"/>
      <c r="C519" s="6"/>
    </row>
    <row r="520" ht="15.75" customHeight="1">
      <c r="A520" s="6"/>
      <c r="B520" s="6"/>
      <c r="C520" s="6"/>
    </row>
    <row r="521" ht="15.75" customHeight="1">
      <c r="A521" s="6"/>
      <c r="B521" s="6"/>
      <c r="C521" s="6"/>
    </row>
    <row r="522" ht="15.75" customHeight="1">
      <c r="A522" s="6"/>
      <c r="B522" s="6"/>
      <c r="C522" s="6"/>
    </row>
    <row r="523" ht="15.75" customHeight="1">
      <c r="A523" s="6"/>
      <c r="B523" s="6"/>
      <c r="C523" s="6"/>
    </row>
    <row r="524" ht="15.75" customHeight="1">
      <c r="A524" s="6"/>
      <c r="B524" s="6"/>
      <c r="C524" s="6"/>
    </row>
    <row r="525" ht="15.75" customHeight="1">
      <c r="A525" s="6"/>
      <c r="B525" s="6"/>
      <c r="C525" s="6"/>
    </row>
    <row r="526" ht="15.75" customHeight="1">
      <c r="A526" s="6"/>
      <c r="B526" s="6"/>
      <c r="C526" s="6"/>
    </row>
    <row r="527" ht="15.75" customHeight="1">
      <c r="A527" s="6"/>
      <c r="B527" s="6"/>
      <c r="C527" s="6"/>
    </row>
    <row r="528" ht="15.75" customHeight="1">
      <c r="A528" s="6"/>
      <c r="B528" s="6"/>
      <c r="C528" s="6"/>
    </row>
    <row r="529" ht="15.75" customHeight="1">
      <c r="A529" s="6"/>
      <c r="B529" s="6"/>
      <c r="C529" s="6"/>
    </row>
    <row r="530" ht="15.75" customHeight="1">
      <c r="A530" s="6"/>
      <c r="B530" s="6"/>
      <c r="C530" s="6"/>
    </row>
    <row r="531" ht="15.75" customHeight="1">
      <c r="A531" s="6"/>
      <c r="B531" s="6"/>
      <c r="C531" s="6"/>
    </row>
    <row r="532" ht="15.75" customHeight="1">
      <c r="A532" s="6"/>
      <c r="B532" s="6"/>
      <c r="C532" s="6"/>
    </row>
    <row r="533" ht="15.75" customHeight="1">
      <c r="A533" s="6"/>
      <c r="B533" s="6"/>
      <c r="C533" s="6"/>
    </row>
    <row r="534" ht="15.75" customHeight="1">
      <c r="A534" s="6"/>
      <c r="B534" s="6"/>
      <c r="C534" s="6"/>
    </row>
    <row r="535" ht="15.75" customHeight="1">
      <c r="A535" s="6"/>
      <c r="B535" s="6"/>
      <c r="C535" s="6"/>
    </row>
    <row r="536" ht="15.75" customHeight="1">
      <c r="A536" s="6"/>
      <c r="B536" s="6"/>
      <c r="C536" s="6"/>
    </row>
    <row r="537" ht="15.75" customHeight="1">
      <c r="A537" s="6"/>
      <c r="B537" s="6"/>
      <c r="C537" s="6"/>
    </row>
    <row r="538" ht="15.75" customHeight="1">
      <c r="A538" s="6"/>
      <c r="B538" s="6"/>
      <c r="C538" s="6"/>
    </row>
    <row r="539" ht="15.75" customHeight="1">
      <c r="A539" s="6"/>
      <c r="B539" s="6"/>
      <c r="C539" s="6"/>
    </row>
    <row r="540" ht="15.75" customHeight="1">
      <c r="A540" s="6"/>
      <c r="B540" s="6"/>
      <c r="C540" s="6"/>
    </row>
    <row r="541" ht="15.75" customHeight="1">
      <c r="A541" s="6"/>
      <c r="B541" s="6"/>
      <c r="C541" s="6"/>
    </row>
    <row r="542" ht="15.75" customHeight="1">
      <c r="A542" s="6"/>
      <c r="B542" s="6"/>
      <c r="C542" s="6"/>
    </row>
    <row r="543" ht="15.75" customHeight="1">
      <c r="A543" s="6"/>
      <c r="B543" s="6"/>
      <c r="C543" s="6"/>
    </row>
    <row r="544" ht="15.75" customHeight="1">
      <c r="A544" s="6"/>
      <c r="B544" s="6"/>
      <c r="C544" s="6"/>
    </row>
    <row r="545" ht="15.75" customHeight="1">
      <c r="A545" s="6"/>
      <c r="B545" s="6"/>
      <c r="C545" s="6"/>
    </row>
    <row r="546" ht="15.75" customHeight="1">
      <c r="A546" s="6"/>
      <c r="B546" s="6"/>
      <c r="C546" s="6"/>
    </row>
    <row r="547" ht="15.75" customHeight="1">
      <c r="A547" s="6"/>
      <c r="B547" s="6"/>
      <c r="C547" s="6"/>
    </row>
    <row r="548" ht="15.75" customHeight="1">
      <c r="A548" s="6"/>
      <c r="B548" s="6"/>
      <c r="C548" s="6"/>
    </row>
    <row r="549" ht="15.75" customHeight="1">
      <c r="A549" s="6"/>
      <c r="B549" s="6"/>
      <c r="C549" s="6"/>
    </row>
    <row r="550" ht="15.75" customHeight="1">
      <c r="A550" s="6"/>
      <c r="B550" s="6"/>
      <c r="C550" s="6"/>
    </row>
    <row r="551" ht="15.75" customHeight="1">
      <c r="A551" s="6"/>
      <c r="B551" s="6"/>
      <c r="C551" s="6"/>
    </row>
    <row r="552" ht="15.75" customHeight="1">
      <c r="A552" s="6"/>
      <c r="B552" s="6"/>
      <c r="C552" s="6"/>
    </row>
    <row r="553" ht="15.75" customHeight="1">
      <c r="A553" s="6"/>
      <c r="B553" s="6"/>
      <c r="C553" s="6"/>
    </row>
    <row r="554" ht="15.75" customHeight="1">
      <c r="A554" s="6"/>
      <c r="B554" s="6"/>
      <c r="C554" s="6"/>
    </row>
    <row r="555" ht="15.75" customHeight="1">
      <c r="A555" s="6"/>
      <c r="B555" s="6"/>
      <c r="C555" s="6"/>
    </row>
    <row r="556" ht="15.75" customHeight="1">
      <c r="A556" s="6"/>
      <c r="B556" s="6"/>
      <c r="C556" s="6"/>
    </row>
    <row r="557" ht="15.75" customHeight="1">
      <c r="A557" s="6"/>
      <c r="B557" s="6"/>
      <c r="C557" s="6"/>
    </row>
    <row r="558" ht="15.75" customHeight="1">
      <c r="A558" s="6"/>
      <c r="B558" s="6"/>
      <c r="C558" s="6"/>
    </row>
    <row r="559" ht="15.75" customHeight="1">
      <c r="A559" s="6"/>
      <c r="B559" s="6"/>
      <c r="C559" s="6"/>
    </row>
    <row r="560" ht="15.75" customHeight="1">
      <c r="A560" s="6"/>
      <c r="B560" s="6"/>
      <c r="C560" s="6"/>
    </row>
    <row r="561" ht="15.75" customHeight="1">
      <c r="A561" s="6"/>
      <c r="B561" s="6"/>
      <c r="C561" s="6"/>
    </row>
    <row r="562" ht="15.75" customHeight="1">
      <c r="A562" s="6"/>
      <c r="B562" s="6"/>
      <c r="C562" s="6"/>
    </row>
    <row r="563" ht="15.75" customHeight="1">
      <c r="A563" s="6"/>
      <c r="B563" s="6"/>
      <c r="C563" s="6"/>
    </row>
    <row r="564" ht="15.75" customHeight="1">
      <c r="A564" s="6"/>
      <c r="B564" s="6"/>
      <c r="C564" s="6"/>
    </row>
    <row r="565" ht="15.75" customHeight="1">
      <c r="A565" s="6"/>
      <c r="B565" s="6"/>
      <c r="C565" s="6"/>
    </row>
    <row r="566" ht="15.75" customHeight="1">
      <c r="A566" s="6"/>
      <c r="B566" s="6"/>
      <c r="C566" s="6"/>
    </row>
    <row r="567" ht="15.75" customHeight="1">
      <c r="A567" s="6"/>
      <c r="B567" s="6"/>
      <c r="C567" s="6"/>
    </row>
    <row r="568" ht="15.75" customHeight="1">
      <c r="A568" s="6"/>
      <c r="B568" s="6"/>
      <c r="C568" s="6"/>
    </row>
    <row r="569" ht="15.75" customHeight="1">
      <c r="A569" s="6"/>
      <c r="B569" s="6"/>
      <c r="C569" s="6"/>
    </row>
    <row r="570" ht="15.75" customHeight="1">
      <c r="A570" s="6"/>
      <c r="B570" s="6"/>
      <c r="C570" s="6"/>
    </row>
    <row r="571" ht="15.75" customHeight="1">
      <c r="A571" s="6"/>
      <c r="B571" s="6"/>
      <c r="C571" s="6"/>
    </row>
    <row r="572" ht="15.75" customHeight="1">
      <c r="A572" s="6"/>
      <c r="B572" s="6"/>
      <c r="C572" s="6"/>
    </row>
    <row r="573" ht="15.75" customHeight="1">
      <c r="A573" s="6"/>
      <c r="B573" s="6"/>
      <c r="C573" s="6"/>
    </row>
    <row r="574" ht="15.75" customHeight="1">
      <c r="A574" s="6"/>
      <c r="B574" s="6"/>
      <c r="C574" s="6"/>
    </row>
    <row r="575" ht="15.75" customHeight="1">
      <c r="A575" s="6"/>
      <c r="B575" s="6"/>
      <c r="C575" s="6"/>
    </row>
    <row r="576" ht="15.75" customHeight="1">
      <c r="A576" s="6"/>
      <c r="B576" s="6"/>
      <c r="C576" s="6"/>
    </row>
    <row r="577" ht="15.75" customHeight="1">
      <c r="A577" s="6"/>
      <c r="B577" s="6"/>
      <c r="C577" s="6"/>
    </row>
    <row r="578" ht="15.75" customHeight="1">
      <c r="A578" s="6"/>
      <c r="B578" s="6"/>
      <c r="C578" s="6"/>
    </row>
    <row r="579" ht="15.75" customHeight="1">
      <c r="A579" s="6"/>
      <c r="B579" s="6"/>
      <c r="C579" s="6"/>
    </row>
    <row r="580" ht="15.75" customHeight="1">
      <c r="A580" s="6"/>
      <c r="B580" s="6"/>
      <c r="C580" s="6"/>
    </row>
    <row r="581" ht="15.75" customHeight="1">
      <c r="A581" s="6"/>
      <c r="B581" s="6"/>
      <c r="C581" s="6"/>
    </row>
    <row r="582" ht="15.75" customHeight="1">
      <c r="A582" s="6"/>
      <c r="B582" s="6"/>
      <c r="C582" s="6"/>
    </row>
    <row r="583" ht="15.75" customHeight="1">
      <c r="A583" s="6"/>
      <c r="B583" s="6"/>
      <c r="C583" s="6"/>
    </row>
    <row r="584" ht="15.75" customHeight="1">
      <c r="A584" s="6"/>
      <c r="B584" s="6"/>
      <c r="C584" s="6"/>
    </row>
    <row r="585" ht="15.75" customHeight="1">
      <c r="A585" s="6"/>
      <c r="B585" s="6"/>
      <c r="C585" s="6"/>
    </row>
    <row r="586" ht="15.75" customHeight="1">
      <c r="A586" s="6"/>
      <c r="B586" s="6"/>
      <c r="C586" s="6"/>
    </row>
    <row r="587" ht="15.75" customHeight="1">
      <c r="A587" s="6"/>
      <c r="B587" s="6"/>
      <c r="C587" s="6"/>
    </row>
    <row r="588" ht="15.75" customHeight="1">
      <c r="A588" s="6"/>
      <c r="B588" s="6"/>
      <c r="C588" s="6"/>
    </row>
    <row r="589" ht="15.75" customHeight="1">
      <c r="A589" s="6"/>
      <c r="B589" s="6"/>
      <c r="C589" s="6"/>
    </row>
    <row r="590" ht="15.75" customHeight="1">
      <c r="A590" s="6"/>
      <c r="B590" s="6"/>
      <c r="C590" s="6"/>
    </row>
    <row r="591" ht="15.75" customHeight="1">
      <c r="A591" s="6"/>
      <c r="B591" s="6"/>
      <c r="C591" s="6"/>
    </row>
    <row r="592" ht="15.75" customHeight="1">
      <c r="A592" s="6"/>
      <c r="B592" s="6"/>
      <c r="C592" s="6"/>
    </row>
    <row r="593" ht="15.75" customHeight="1">
      <c r="A593" s="6"/>
      <c r="B593" s="6"/>
      <c r="C593" s="6"/>
    </row>
    <row r="594" ht="15.75" customHeight="1">
      <c r="A594" s="6"/>
      <c r="B594" s="6"/>
      <c r="C594" s="6"/>
    </row>
    <row r="595" ht="15.75" customHeight="1">
      <c r="A595" s="6"/>
      <c r="B595" s="6"/>
      <c r="C595" s="6"/>
    </row>
    <row r="596" ht="15.75" customHeight="1">
      <c r="A596" s="6"/>
      <c r="B596" s="6"/>
      <c r="C596" s="6"/>
    </row>
    <row r="597" ht="15.75" customHeight="1">
      <c r="A597" s="6"/>
      <c r="B597" s="6"/>
      <c r="C597" s="6"/>
    </row>
    <row r="598" ht="15.75" customHeight="1">
      <c r="A598" s="6"/>
      <c r="B598" s="6"/>
      <c r="C598" s="6"/>
    </row>
    <row r="599" ht="15.75" customHeight="1">
      <c r="A599" s="6"/>
      <c r="B599" s="6"/>
      <c r="C599" s="6"/>
    </row>
    <row r="600" ht="15.75" customHeight="1">
      <c r="A600" s="6"/>
      <c r="B600" s="6"/>
      <c r="C600" s="6"/>
    </row>
    <row r="601" ht="15.75" customHeight="1">
      <c r="A601" s="6"/>
      <c r="B601" s="6"/>
      <c r="C601" s="6"/>
    </row>
    <row r="602" ht="15.75" customHeight="1">
      <c r="A602" s="6"/>
      <c r="B602" s="6"/>
      <c r="C602" s="6"/>
    </row>
    <row r="603" ht="15.75" customHeight="1">
      <c r="A603" s="6"/>
      <c r="B603" s="6"/>
      <c r="C603" s="6"/>
    </row>
    <row r="604" ht="15.75" customHeight="1">
      <c r="A604" s="6"/>
      <c r="B604" s="6"/>
      <c r="C604" s="6"/>
    </row>
    <row r="605" ht="15.75" customHeight="1">
      <c r="A605" s="6"/>
      <c r="B605" s="6"/>
      <c r="C605" s="6"/>
    </row>
    <row r="606" ht="15.75" customHeight="1">
      <c r="A606" s="6"/>
      <c r="B606" s="6"/>
      <c r="C606" s="6"/>
    </row>
    <row r="607" ht="15.75" customHeight="1">
      <c r="A607" s="6"/>
      <c r="B607" s="6"/>
      <c r="C607" s="6"/>
    </row>
    <row r="608" ht="15.75" customHeight="1">
      <c r="A608" s="6"/>
      <c r="B608" s="6"/>
      <c r="C608" s="6"/>
    </row>
    <row r="609" ht="15.75" customHeight="1">
      <c r="A609" s="6"/>
      <c r="B609" s="6"/>
      <c r="C609" s="6"/>
    </row>
    <row r="610" ht="15.75" customHeight="1">
      <c r="A610" s="6"/>
      <c r="B610" s="6"/>
      <c r="C610" s="6"/>
    </row>
    <row r="611" ht="15.75" customHeight="1">
      <c r="A611" s="6"/>
      <c r="B611" s="6"/>
      <c r="C611" s="6"/>
    </row>
    <row r="612" ht="15.75" customHeight="1">
      <c r="A612" s="6"/>
      <c r="B612" s="6"/>
      <c r="C612" s="6"/>
    </row>
    <row r="613" ht="15.75" customHeight="1">
      <c r="A613" s="6"/>
      <c r="B613" s="6"/>
      <c r="C613" s="6"/>
    </row>
    <row r="614" ht="15.75" customHeight="1">
      <c r="A614" s="6"/>
      <c r="B614" s="6"/>
      <c r="C614" s="6"/>
    </row>
    <row r="615" ht="15.75" customHeight="1">
      <c r="A615" s="6"/>
      <c r="B615" s="6"/>
      <c r="C615" s="6"/>
    </row>
    <row r="616" ht="15.75" customHeight="1">
      <c r="A616" s="6"/>
      <c r="B616" s="6"/>
      <c r="C616" s="6"/>
    </row>
    <row r="617" ht="15.75" customHeight="1">
      <c r="A617" s="6"/>
      <c r="B617" s="6"/>
      <c r="C617" s="6"/>
    </row>
    <row r="618" ht="15.75" customHeight="1">
      <c r="A618" s="6"/>
      <c r="B618" s="6"/>
      <c r="C618" s="6"/>
    </row>
    <row r="619" ht="15.75" customHeight="1">
      <c r="A619" s="6"/>
      <c r="B619" s="6"/>
      <c r="C619" s="6"/>
    </row>
    <row r="620" ht="15.75" customHeight="1">
      <c r="A620" s="6"/>
      <c r="B620" s="6"/>
      <c r="C620" s="6"/>
    </row>
    <row r="621" ht="15.75" customHeight="1">
      <c r="A621" s="6"/>
      <c r="B621" s="6"/>
      <c r="C621" s="6"/>
    </row>
    <row r="622" ht="15.75" customHeight="1">
      <c r="A622" s="6"/>
      <c r="B622" s="6"/>
      <c r="C622" s="6"/>
    </row>
    <row r="623" ht="15.75" customHeight="1">
      <c r="A623" s="6"/>
      <c r="B623" s="6"/>
      <c r="C623" s="6"/>
    </row>
    <row r="624" ht="15.75" customHeight="1">
      <c r="A624" s="6"/>
      <c r="B624" s="6"/>
      <c r="C624" s="6"/>
    </row>
    <row r="625" ht="15.75" customHeight="1">
      <c r="A625" s="6"/>
      <c r="B625" s="6"/>
      <c r="C625" s="6"/>
    </row>
    <row r="626" ht="15.75" customHeight="1">
      <c r="A626" s="6"/>
      <c r="B626" s="6"/>
      <c r="C626" s="6"/>
    </row>
    <row r="627" ht="15.75" customHeight="1">
      <c r="A627" s="6"/>
      <c r="B627" s="6"/>
      <c r="C627" s="6"/>
    </row>
    <row r="628" ht="15.75" customHeight="1">
      <c r="A628" s="6"/>
      <c r="B628" s="6"/>
      <c r="C628" s="6"/>
    </row>
    <row r="629" ht="15.75" customHeight="1">
      <c r="A629" s="6"/>
      <c r="B629" s="6"/>
      <c r="C629" s="6"/>
    </row>
    <row r="630" ht="15.75" customHeight="1">
      <c r="A630" s="6"/>
      <c r="B630" s="6"/>
      <c r="C630" s="6"/>
    </row>
    <row r="631" ht="15.75" customHeight="1">
      <c r="A631" s="6"/>
      <c r="B631" s="6"/>
      <c r="C631" s="6"/>
    </row>
    <row r="632" ht="15.75" customHeight="1">
      <c r="A632" s="6"/>
      <c r="B632" s="6"/>
      <c r="C632" s="6"/>
    </row>
    <row r="633" ht="15.75" customHeight="1">
      <c r="A633" s="6"/>
      <c r="B633" s="6"/>
      <c r="C633" s="6"/>
    </row>
    <row r="634" ht="15.75" customHeight="1">
      <c r="A634" s="6"/>
      <c r="B634" s="6"/>
      <c r="C634" s="6"/>
    </row>
    <row r="635" ht="15.75" customHeight="1">
      <c r="A635" s="6"/>
      <c r="B635" s="6"/>
      <c r="C635" s="6"/>
    </row>
    <row r="636" ht="15.75" customHeight="1">
      <c r="A636" s="6"/>
      <c r="B636" s="6"/>
      <c r="C636" s="6"/>
    </row>
    <row r="637" ht="15.75" customHeight="1">
      <c r="A637" s="6"/>
      <c r="B637" s="6"/>
      <c r="C637" s="6"/>
    </row>
    <row r="638" ht="15.75" customHeight="1">
      <c r="A638" s="6"/>
      <c r="B638" s="6"/>
      <c r="C638" s="6"/>
    </row>
    <row r="639" ht="15.75" customHeight="1">
      <c r="A639" s="6"/>
      <c r="B639" s="6"/>
      <c r="C639" s="6"/>
    </row>
    <row r="640" ht="15.75" customHeight="1">
      <c r="A640" s="6"/>
      <c r="B640" s="6"/>
      <c r="C640" s="6"/>
    </row>
    <row r="641" ht="15.75" customHeight="1">
      <c r="A641" s="6"/>
      <c r="B641" s="6"/>
      <c r="C641" s="6"/>
    </row>
    <row r="642" ht="15.75" customHeight="1">
      <c r="A642" s="6"/>
      <c r="B642" s="6"/>
      <c r="C642" s="6"/>
    </row>
    <row r="643" ht="15.75" customHeight="1">
      <c r="A643" s="6"/>
      <c r="B643" s="6"/>
      <c r="C643" s="6"/>
    </row>
    <row r="644" ht="15.75" customHeight="1">
      <c r="A644" s="6"/>
      <c r="B644" s="6"/>
      <c r="C644" s="6"/>
    </row>
    <row r="645" ht="15.75" customHeight="1">
      <c r="A645" s="6"/>
      <c r="B645" s="6"/>
      <c r="C645" s="6"/>
    </row>
    <row r="646" ht="15.75" customHeight="1">
      <c r="A646" s="6"/>
      <c r="B646" s="6"/>
      <c r="C646" s="6"/>
    </row>
    <row r="647" ht="15.75" customHeight="1">
      <c r="A647" s="6"/>
      <c r="B647" s="6"/>
      <c r="C647" s="6"/>
    </row>
    <row r="648" ht="15.75" customHeight="1">
      <c r="A648" s="6"/>
      <c r="B648" s="6"/>
      <c r="C648" s="6"/>
    </row>
    <row r="649" ht="15.75" customHeight="1">
      <c r="A649" s="6"/>
      <c r="B649" s="6"/>
      <c r="C649" s="6"/>
    </row>
    <row r="650" ht="15.75" customHeight="1">
      <c r="A650" s="6"/>
      <c r="B650" s="6"/>
      <c r="C650" s="6"/>
    </row>
    <row r="651" ht="15.75" customHeight="1">
      <c r="A651" s="6"/>
      <c r="B651" s="6"/>
      <c r="C651" s="6"/>
    </row>
    <row r="652" ht="15.75" customHeight="1">
      <c r="A652" s="6"/>
      <c r="B652" s="6"/>
      <c r="C652" s="6"/>
    </row>
    <row r="653" ht="15.75" customHeight="1">
      <c r="A653" s="6"/>
      <c r="B653" s="6"/>
      <c r="C653" s="6"/>
    </row>
    <row r="654" ht="15.75" customHeight="1">
      <c r="A654" s="6"/>
      <c r="B654" s="6"/>
      <c r="C654" s="6"/>
    </row>
    <row r="655" ht="15.75" customHeight="1">
      <c r="A655" s="6"/>
      <c r="B655" s="6"/>
      <c r="C655" s="6"/>
    </row>
    <row r="656" ht="15.75" customHeight="1">
      <c r="A656" s="6"/>
      <c r="B656" s="6"/>
      <c r="C656" s="6"/>
    </row>
    <row r="657" ht="15.75" customHeight="1">
      <c r="A657" s="6"/>
      <c r="B657" s="6"/>
      <c r="C657" s="6"/>
    </row>
    <row r="658" ht="15.75" customHeight="1">
      <c r="A658" s="6"/>
      <c r="B658" s="6"/>
      <c r="C658" s="6"/>
    </row>
    <row r="659" ht="15.75" customHeight="1">
      <c r="A659" s="6"/>
      <c r="B659" s="6"/>
      <c r="C659" s="6"/>
    </row>
    <row r="660" ht="15.75" customHeight="1">
      <c r="A660" s="6"/>
      <c r="B660" s="6"/>
      <c r="C660" s="6"/>
    </row>
    <row r="661" ht="15.75" customHeight="1">
      <c r="A661" s="6"/>
      <c r="B661" s="6"/>
      <c r="C661" s="6"/>
    </row>
    <row r="662" ht="15.75" customHeight="1">
      <c r="A662" s="6"/>
      <c r="B662" s="6"/>
      <c r="C662" s="6"/>
    </row>
    <row r="663" ht="15.75" customHeight="1">
      <c r="A663" s="6"/>
      <c r="B663" s="6"/>
      <c r="C663" s="6"/>
    </row>
    <row r="664" ht="15.75" customHeight="1">
      <c r="A664" s="6"/>
      <c r="B664" s="6"/>
      <c r="C664" s="6"/>
    </row>
    <row r="665" ht="15.75" customHeight="1">
      <c r="A665" s="6"/>
      <c r="B665" s="6"/>
      <c r="C665" s="6"/>
    </row>
    <row r="666" ht="15.75" customHeight="1">
      <c r="A666" s="6"/>
      <c r="B666" s="6"/>
      <c r="C666" s="6"/>
    </row>
    <row r="667" ht="15.75" customHeight="1">
      <c r="A667" s="6"/>
      <c r="B667" s="6"/>
      <c r="C667" s="6"/>
    </row>
    <row r="668" ht="15.75" customHeight="1">
      <c r="A668" s="6"/>
      <c r="B668" s="6"/>
      <c r="C668" s="6"/>
    </row>
    <row r="669" ht="15.75" customHeight="1">
      <c r="A669" s="6"/>
      <c r="B669" s="6"/>
      <c r="C669" s="6"/>
    </row>
    <row r="670" ht="15.75" customHeight="1">
      <c r="A670" s="6"/>
      <c r="B670" s="6"/>
      <c r="C670" s="6"/>
    </row>
    <row r="671" ht="15.75" customHeight="1">
      <c r="A671" s="6"/>
      <c r="B671" s="6"/>
      <c r="C671" s="6"/>
    </row>
    <row r="672" ht="15.75" customHeight="1">
      <c r="A672" s="6"/>
      <c r="B672" s="6"/>
      <c r="C672" s="6"/>
    </row>
    <row r="673" ht="15.75" customHeight="1">
      <c r="A673" s="6"/>
      <c r="B673" s="6"/>
      <c r="C673" s="6"/>
    </row>
    <row r="674" ht="15.75" customHeight="1">
      <c r="A674" s="6"/>
      <c r="B674" s="6"/>
      <c r="C674" s="6"/>
    </row>
    <row r="675" ht="15.75" customHeight="1">
      <c r="A675" s="6"/>
      <c r="B675" s="6"/>
      <c r="C675" s="6"/>
    </row>
    <row r="676" ht="15.75" customHeight="1">
      <c r="A676" s="6"/>
      <c r="B676" s="6"/>
      <c r="C676" s="6"/>
    </row>
    <row r="677" ht="15.75" customHeight="1">
      <c r="A677" s="6"/>
      <c r="B677" s="6"/>
      <c r="C677" s="6"/>
    </row>
    <row r="678" ht="15.75" customHeight="1">
      <c r="A678" s="6"/>
      <c r="B678" s="6"/>
      <c r="C678" s="6"/>
    </row>
    <row r="679" ht="15.75" customHeight="1">
      <c r="A679" s="6"/>
      <c r="B679" s="6"/>
      <c r="C679" s="6"/>
    </row>
    <row r="680" ht="15.75" customHeight="1">
      <c r="A680" s="6"/>
      <c r="B680" s="6"/>
      <c r="C680" s="6"/>
    </row>
    <row r="681" ht="15.75" customHeight="1">
      <c r="A681" s="6"/>
      <c r="B681" s="6"/>
      <c r="C681" s="6"/>
    </row>
    <row r="682" ht="15.75" customHeight="1">
      <c r="A682" s="6"/>
      <c r="B682" s="6"/>
      <c r="C682" s="6"/>
    </row>
    <row r="683" ht="15.75" customHeight="1">
      <c r="A683" s="6"/>
      <c r="B683" s="6"/>
      <c r="C683" s="6"/>
    </row>
    <row r="684" ht="15.75" customHeight="1">
      <c r="A684" s="6"/>
      <c r="B684" s="6"/>
      <c r="C684" s="6"/>
    </row>
    <row r="685" ht="15.75" customHeight="1">
      <c r="A685" s="6"/>
      <c r="B685" s="6"/>
      <c r="C685" s="6"/>
    </row>
    <row r="686" ht="15.75" customHeight="1">
      <c r="A686" s="6"/>
      <c r="B686" s="6"/>
      <c r="C686" s="6"/>
    </row>
    <row r="687" ht="15.75" customHeight="1">
      <c r="A687" s="6"/>
      <c r="B687" s="6"/>
      <c r="C687" s="6"/>
    </row>
    <row r="688" ht="15.75" customHeight="1">
      <c r="A688" s="6"/>
      <c r="B688" s="6"/>
      <c r="C688" s="6"/>
    </row>
    <row r="689" ht="15.75" customHeight="1">
      <c r="A689" s="6"/>
      <c r="B689" s="6"/>
      <c r="C689" s="6"/>
    </row>
    <row r="690" ht="15.75" customHeight="1">
      <c r="A690" s="6"/>
      <c r="B690" s="6"/>
      <c r="C690" s="6"/>
    </row>
    <row r="691" ht="15.75" customHeight="1">
      <c r="A691" s="6"/>
      <c r="B691" s="6"/>
      <c r="C691" s="6"/>
    </row>
    <row r="692" ht="15.75" customHeight="1">
      <c r="A692" s="6"/>
      <c r="B692" s="6"/>
      <c r="C692" s="6"/>
    </row>
    <row r="693" ht="15.75" customHeight="1">
      <c r="A693" s="6"/>
      <c r="B693" s="6"/>
      <c r="C693" s="6"/>
    </row>
    <row r="694" ht="15.75" customHeight="1">
      <c r="A694" s="6"/>
      <c r="B694" s="6"/>
      <c r="C694" s="6"/>
    </row>
    <row r="695" ht="15.75" customHeight="1">
      <c r="A695" s="6"/>
      <c r="B695" s="6"/>
      <c r="C695" s="6"/>
    </row>
    <row r="696" ht="15.75" customHeight="1">
      <c r="A696" s="6"/>
      <c r="B696" s="6"/>
      <c r="C696" s="6"/>
    </row>
    <row r="697" ht="15.75" customHeight="1">
      <c r="A697" s="6"/>
      <c r="B697" s="6"/>
      <c r="C697" s="6"/>
    </row>
    <row r="698" ht="15.75" customHeight="1">
      <c r="A698" s="6"/>
      <c r="B698" s="6"/>
      <c r="C698" s="6"/>
    </row>
    <row r="699" ht="15.75" customHeight="1">
      <c r="A699" s="6"/>
      <c r="B699" s="6"/>
      <c r="C699" s="6"/>
    </row>
    <row r="700" ht="15.75" customHeight="1">
      <c r="A700" s="6"/>
      <c r="B700" s="6"/>
      <c r="C700" s="6"/>
    </row>
    <row r="701" ht="15.75" customHeight="1">
      <c r="A701" s="6"/>
      <c r="B701" s="6"/>
      <c r="C701" s="6"/>
    </row>
    <row r="702" ht="15.75" customHeight="1">
      <c r="A702" s="6"/>
      <c r="B702" s="6"/>
      <c r="C702" s="6"/>
    </row>
    <row r="703" ht="15.75" customHeight="1">
      <c r="A703" s="6"/>
      <c r="B703" s="6"/>
      <c r="C703" s="6"/>
    </row>
    <row r="704" ht="15.75" customHeight="1">
      <c r="A704" s="6"/>
      <c r="B704" s="6"/>
      <c r="C704" s="6"/>
    </row>
    <row r="705" ht="15.75" customHeight="1">
      <c r="A705" s="6"/>
      <c r="B705" s="6"/>
      <c r="C705" s="6"/>
    </row>
    <row r="706" ht="15.75" customHeight="1">
      <c r="A706" s="6"/>
      <c r="B706" s="6"/>
      <c r="C706" s="6"/>
    </row>
    <row r="707" ht="15.75" customHeight="1">
      <c r="A707" s="6"/>
      <c r="B707" s="6"/>
      <c r="C707" s="6"/>
    </row>
    <row r="708" ht="15.75" customHeight="1">
      <c r="A708" s="6"/>
      <c r="B708" s="6"/>
      <c r="C708" s="6"/>
    </row>
    <row r="709" ht="15.75" customHeight="1">
      <c r="A709" s="6"/>
      <c r="B709" s="6"/>
      <c r="C709" s="6"/>
    </row>
    <row r="710" ht="15.75" customHeight="1">
      <c r="A710" s="6"/>
      <c r="B710" s="6"/>
      <c r="C710" s="6"/>
    </row>
    <row r="711" ht="15.75" customHeight="1">
      <c r="A711" s="6"/>
      <c r="B711" s="6"/>
      <c r="C711" s="6"/>
    </row>
    <row r="712" ht="15.75" customHeight="1">
      <c r="A712" s="6"/>
      <c r="B712" s="6"/>
      <c r="C712" s="6"/>
    </row>
    <row r="713" ht="15.75" customHeight="1">
      <c r="A713" s="6"/>
      <c r="B713" s="6"/>
      <c r="C713" s="6"/>
    </row>
    <row r="714" ht="15.75" customHeight="1">
      <c r="A714" s="6"/>
      <c r="B714" s="6"/>
      <c r="C714" s="6"/>
    </row>
    <row r="715" ht="15.75" customHeight="1">
      <c r="A715" s="6"/>
      <c r="B715" s="6"/>
      <c r="C715" s="6"/>
    </row>
    <row r="716" ht="15.75" customHeight="1">
      <c r="A716" s="6"/>
      <c r="B716" s="6"/>
      <c r="C716" s="6"/>
    </row>
    <row r="717" ht="15.75" customHeight="1">
      <c r="A717" s="6"/>
      <c r="B717" s="6"/>
      <c r="C717" s="6"/>
    </row>
    <row r="718" ht="15.75" customHeight="1">
      <c r="A718" s="6"/>
      <c r="B718" s="6"/>
      <c r="C718" s="6"/>
    </row>
    <row r="719" ht="15.75" customHeight="1">
      <c r="A719" s="6"/>
      <c r="B719" s="6"/>
      <c r="C719" s="6"/>
    </row>
    <row r="720" ht="15.75" customHeight="1">
      <c r="A720" s="6"/>
      <c r="B720" s="6"/>
      <c r="C720" s="6"/>
    </row>
    <row r="721" ht="15.75" customHeight="1">
      <c r="A721" s="6"/>
      <c r="B721" s="6"/>
      <c r="C721" s="6"/>
    </row>
    <row r="722" ht="15.75" customHeight="1">
      <c r="A722" s="6"/>
      <c r="B722" s="6"/>
      <c r="C722" s="6"/>
    </row>
    <row r="723" ht="15.75" customHeight="1">
      <c r="A723" s="6"/>
      <c r="B723" s="6"/>
      <c r="C723" s="6"/>
    </row>
    <row r="724" ht="15.75" customHeight="1">
      <c r="A724" s="6"/>
      <c r="B724" s="6"/>
      <c r="C724" s="6"/>
    </row>
    <row r="725" ht="15.75" customHeight="1">
      <c r="A725" s="6"/>
      <c r="B725" s="6"/>
      <c r="C725" s="6"/>
    </row>
    <row r="726" ht="15.75" customHeight="1">
      <c r="A726" s="6"/>
      <c r="B726" s="6"/>
      <c r="C726" s="6"/>
    </row>
    <row r="727" ht="15.75" customHeight="1">
      <c r="A727" s="6"/>
      <c r="B727" s="6"/>
      <c r="C727" s="6"/>
    </row>
    <row r="728" ht="15.75" customHeight="1">
      <c r="A728" s="6"/>
      <c r="B728" s="6"/>
      <c r="C728" s="6"/>
    </row>
    <row r="729" ht="15.75" customHeight="1">
      <c r="A729" s="6"/>
      <c r="B729" s="6"/>
      <c r="C729" s="6"/>
    </row>
    <row r="730" ht="15.75" customHeight="1">
      <c r="A730" s="6"/>
      <c r="B730" s="6"/>
      <c r="C730" s="6"/>
    </row>
    <row r="731" ht="15.75" customHeight="1">
      <c r="A731" s="6"/>
      <c r="B731" s="6"/>
      <c r="C731" s="6"/>
    </row>
    <row r="732" ht="15.75" customHeight="1">
      <c r="A732" s="6"/>
      <c r="B732" s="6"/>
      <c r="C732" s="6"/>
    </row>
    <row r="733" ht="15.75" customHeight="1">
      <c r="A733" s="6"/>
      <c r="B733" s="6"/>
      <c r="C733" s="6"/>
    </row>
    <row r="734" ht="15.75" customHeight="1">
      <c r="A734" s="6"/>
      <c r="B734" s="6"/>
      <c r="C734" s="6"/>
    </row>
    <row r="735" ht="15.75" customHeight="1">
      <c r="A735" s="6"/>
      <c r="B735" s="6"/>
      <c r="C735" s="6"/>
    </row>
    <row r="736" ht="15.75" customHeight="1">
      <c r="A736" s="6"/>
      <c r="B736" s="6"/>
      <c r="C736" s="6"/>
    </row>
    <row r="737" ht="15.75" customHeight="1">
      <c r="A737" s="6"/>
      <c r="B737" s="6"/>
      <c r="C737" s="6"/>
    </row>
    <row r="738" ht="15.75" customHeight="1">
      <c r="A738" s="6"/>
      <c r="B738" s="6"/>
      <c r="C738" s="6"/>
    </row>
    <row r="739" ht="15.75" customHeight="1">
      <c r="A739" s="6"/>
      <c r="B739" s="6"/>
      <c r="C739" s="6"/>
    </row>
    <row r="740" ht="15.75" customHeight="1">
      <c r="A740" s="6"/>
      <c r="B740" s="6"/>
      <c r="C740" s="6"/>
    </row>
    <row r="741" ht="15.75" customHeight="1">
      <c r="A741" s="6"/>
      <c r="B741" s="6"/>
      <c r="C741" s="6"/>
    </row>
    <row r="742" ht="15.75" customHeight="1">
      <c r="A742" s="6"/>
      <c r="B742" s="6"/>
      <c r="C742" s="6"/>
    </row>
    <row r="743" ht="15.75" customHeight="1">
      <c r="A743" s="6"/>
      <c r="B743" s="6"/>
      <c r="C743" s="6"/>
    </row>
    <row r="744" ht="15.75" customHeight="1">
      <c r="A744" s="6"/>
      <c r="B744" s="6"/>
      <c r="C744" s="6"/>
    </row>
    <row r="745" ht="15.75" customHeight="1">
      <c r="A745" s="6"/>
      <c r="B745" s="6"/>
      <c r="C745" s="6"/>
    </row>
    <row r="746" ht="15.75" customHeight="1">
      <c r="A746" s="6"/>
      <c r="B746" s="6"/>
      <c r="C746" s="6"/>
    </row>
    <row r="747" ht="15.75" customHeight="1">
      <c r="A747" s="6"/>
      <c r="B747" s="6"/>
      <c r="C747" s="6"/>
    </row>
    <row r="748" ht="15.75" customHeight="1">
      <c r="A748" s="6"/>
      <c r="B748" s="6"/>
      <c r="C748" s="6"/>
    </row>
    <row r="749" ht="15.75" customHeight="1">
      <c r="A749" s="6"/>
      <c r="B749" s="6"/>
      <c r="C749" s="6"/>
    </row>
    <row r="750" ht="15.75" customHeight="1">
      <c r="A750" s="6"/>
      <c r="B750" s="6"/>
      <c r="C750" s="6"/>
    </row>
    <row r="751" ht="15.75" customHeight="1">
      <c r="A751" s="6"/>
      <c r="B751" s="6"/>
      <c r="C751" s="6"/>
    </row>
    <row r="752" ht="15.75" customHeight="1">
      <c r="A752" s="6"/>
      <c r="B752" s="6"/>
      <c r="C752" s="6"/>
    </row>
    <row r="753" ht="15.75" customHeight="1">
      <c r="A753" s="6"/>
      <c r="B753" s="6"/>
      <c r="C753" s="6"/>
    </row>
    <row r="754" ht="15.75" customHeight="1">
      <c r="A754" s="6"/>
      <c r="B754" s="6"/>
      <c r="C754" s="6"/>
    </row>
    <row r="755" ht="15.75" customHeight="1">
      <c r="A755" s="6"/>
      <c r="B755" s="6"/>
      <c r="C755" s="6"/>
    </row>
    <row r="756" ht="15.75" customHeight="1">
      <c r="A756" s="6"/>
      <c r="B756" s="6"/>
      <c r="C756" s="6"/>
    </row>
    <row r="757" ht="15.75" customHeight="1">
      <c r="A757" s="6"/>
      <c r="B757" s="6"/>
      <c r="C757" s="6"/>
    </row>
    <row r="758" ht="15.75" customHeight="1">
      <c r="A758" s="6"/>
      <c r="B758" s="6"/>
      <c r="C758" s="6"/>
    </row>
    <row r="759" ht="15.75" customHeight="1">
      <c r="A759" s="6"/>
      <c r="B759" s="6"/>
      <c r="C759" s="6"/>
    </row>
    <row r="760" ht="15.75" customHeight="1">
      <c r="A760" s="6"/>
      <c r="B760" s="6"/>
      <c r="C760" s="6"/>
    </row>
    <row r="761" ht="15.75" customHeight="1">
      <c r="A761" s="6"/>
      <c r="B761" s="6"/>
      <c r="C761" s="6"/>
    </row>
    <row r="762" ht="15.75" customHeight="1">
      <c r="A762" s="6"/>
      <c r="B762" s="6"/>
      <c r="C762" s="6"/>
    </row>
    <row r="763" ht="15.75" customHeight="1">
      <c r="A763" s="6"/>
      <c r="B763" s="6"/>
      <c r="C763" s="6"/>
    </row>
    <row r="764" ht="15.75" customHeight="1">
      <c r="A764" s="6"/>
      <c r="B764" s="6"/>
      <c r="C764" s="6"/>
    </row>
    <row r="765" ht="15.75" customHeight="1">
      <c r="A765" s="6"/>
      <c r="B765" s="6"/>
      <c r="C765" s="6"/>
    </row>
    <row r="766" ht="15.75" customHeight="1">
      <c r="A766" s="6"/>
      <c r="B766" s="6"/>
      <c r="C766" s="6"/>
    </row>
    <row r="767" ht="15.75" customHeight="1">
      <c r="A767" s="6"/>
      <c r="B767" s="6"/>
      <c r="C767" s="6"/>
    </row>
    <row r="768" ht="15.75" customHeight="1">
      <c r="A768" s="6"/>
      <c r="B768" s="6"/>
      <c r="C768" s="6"/>
    </row>
    <row r="769" ht="15.75" customHeight="1">
      <c r="A769" s="6"/>
      <c r="B769" s="6"/>
      <c r="C769" s="6"/>
    </row>
    <row r="770" ht="15.75" customHeight="1">
      <c r="A770" s="6"/>
      <c r="B770" s="6"/>
      <c r="C770" s="6"/>
    </row>
    <row r="771" ht="15.75" customHeight="1">
      <c r="A771" s="6"/>
      <c r="B771" s="6"/>
      <c r="C771" s="6"/>
    </row>
    <row r="772" ht="15.75" customHeight="1">
      <c r="A772" s="6"/>
      <c r="B772" s="6"/>
      <c r="C772" s="6"/>
    </row>
    <row r="773" ht="15.75" customHeight="1">
      <c r="A773" s="6"/>
      <c r="B773" s="6"/>
      <c r="C773" s="6"/>
    </row>
    <row r="774" ht="15.75" customHeight="1">
      <c r="A774" s="6"/>
      <c r="B774" s="6"/>
      <c r="C774" s="6"/>
    </row>
    <row r="775" ht="15.75" customHeight="1">
      <c r="A775" s="6"/>
      <c r="B775" s="6"/>
      <c r="C775" s="6"/>
    </row>
    <row r="776" ht="15.75" customHeight="1">
      <c r="A776" s="6"/>
      <c r="B776" s="6"/>
      <c r="C776" s="6"/>
    </row>
    <row r="777" ht="15.75" customHeight="1">
      <c r="A777" s="6"/>
      <c r="B777" s="6"/>
      <c r="C777" s="6"/>
    </row>
    <row r="778" ht="15.75" customHeight="1">
      <c r="A778" s="6"/>
      <c r="B778" s="6"/>
      <c r="C778" s="6"/>
    </row>
    <row r="779" ht="15.75" customHeight="1">
      <c r="A779" s="6"/>
      <c r="B779" s="6"/>
      <c r="C779" s="6"/>
    </row>
    <row r="780" ht="15.75" customHeight="1">
      <c r="A780" s="6"/>
      <c r="B780" s="6"/>
      <c r="C780" s="6"/>
    </row>
    <row r="781" ht="15.75" customHeight="1">
      <c r="A781" s="6"/>
      <c r="B781" s="6"/>
      <c r="C781" s="6"/>
    </row>
    <row r="782" ht="15.75" customHeight="1">
      <c r="A782" s="6"/>
      <c r="B782" s="6"/>
      <c r="C782" s="6"/>
    </row>
    <row r="783" ht="15.75" customHeight="1">
      <c r="A783" s="6"/>
      <c r="B783" s="6"/>
      <c r="C783" s="6"/>
    </row>
    <row r="784" ht="15.75" customHeight="1">
      <c r="A784" s="6"/>
      <c r="B784" s="6"/>
      <c r="C784" s="6"/>
    </row>
    <row r="785" ht="15.75" customHeight="1">
      <c r="A785" s="6"/>
      <c r="B785" s="6"/>
      <c r="C785" s="6"/>
    </row>
    <row r="786" ht="15.75" customHeight="1">
      <c r="A786" s="6"/>
      <c r="B786" s="6"/>
      <c r="C786" s="6"/>
    </row>
    <row r="787" ht="15.75" customHeight="1">
      <c r="A787" s="6"/>
      <c r="B787" s="6"/>
      <c r="C787" s="6"/>
    </row>
    <row r="788" ht="15.75" customHeight="1">
      <c r="A788" s="6"/>
      <c r="B788" s="6"/>
      <c r="C788" s="6"/>
    </row>
    <row r="789" ht="15.75" customHeight="1">
      <c r="A789" s="6"/>
      <c r="B789" s="6"/>
      <c r="C789" s="6"/>
    </row>
    <row r="790" ht="15.75" customHeight="1">
      <c r="A790" s="6"/>
      <c r="B790" s="6"/>
      <c r="C790" s="6"/>
    </row>
    <row r="791" ht="15.75" customHeight="1">
      <c r="A791" s="6"/>
      <c r="B791" s="6"/>
      <c r="C791" s="6"/>
    </row>
    <row r="792" ht="15.75" customHeight="1">
      <c r="A792" s="6"/>
      <c r="B792" s="6"/>
      <c r="C792" s="6"/>
    </row>
    <row r="793" ht="15.75" customHeight="1">
      <c r="A793" s="6"/>
      <c r="B793" s="6"/>
      <c r="C793" s="6"/>
    </row>
    <row r="794" ht="15.75" customHeight="1">
      <c r="A794" s="6"/>
      <c r="B794" s="6"/>
      <c r="C794" s="6"/>
    </row>
    <row r="795" ht="15.75" customHeight="1">
      <c r="A795" s="6"/>
      <c r="B795" s="6"/>
      <c r="C795" s="6"/>
    </row>
    <row r="796" ht="15.75" customHeight="1">
      <c r="A796" s="6"/>
      <c r="B796" s="6"/>
      <c r="C796" s="6"/>
    </row>
    <row r="797" ht="15.75" customHeight="1">
      <c r="A797" s="6"/>
      <c r="B797" s="6"/>
      <c r="C797" s="6"/>
    </row>
    <row r="798" ht="15.75" customHeight="1">
      <c r="A798" s="6"/>
      <c r="B798" s="6"/>
      <c r="C798" s="6"/>
    </row>
    <row r="799" ht="15.75" customHeight="1">
      <c r="A799" s="6"/>
      <c r="B799" s="6"/>
      <c r="C799" s="6"/>
    </row>
    <row r="800" ht="15.75" customHeight="1">
      <c r="A800" s="6"/>
      <c r="B800" s="6"/>
      <c r="C800" s="6"/>
    </row>
    <row r="801" ht="15.75" customHeight="1">
      <c r="A801" s="6"/>
      <c r="B801" s="6"/>
      <c r="C801" s="6"/>
    </row>
    <row r="802" ht="15.75" customHeight="1">
      <c r="A802" s="6"/>
      <c r="B802" s="6"/>
      <c r="C802" s="6"/>
    </row>
    <row r="803" ht="15.75" customHeight="1">
      <c r="A803" s="6"/>
      <c r="B803" s="6"/>
      <c r="C803" s="6"/>
    </row>
    <row r="804" ht="15.75" customHeight="1">
      <c r="A804" s="6"/>
      <c r="B804" s="6"/>
      <c r="C804" s="6"/>
    </row>
    <row r="805" ht="15.75" customHeight="1">
      <c r="A805" s="6"/>
      <c r="B805" s="6"/>
      <c r="C805" s="6"/>
    </row>
    <row r="806" ht="15.75" customHeight="1">
      <c r="A806" s="6"/>
      <c r="B806" s="6"/>
      <c r="C806" s="6"/>
    </row>
    <row r="807" ht="15.75" customHeight="1">
      <c r="A807" s="6"/>
      <c r="B807" s="6"/>
      <c r="C807" s="6"/>
    </row>
    <row r="808" ht="15.75" customHeight="1">
      <c r="A808" s="6"/>
      <c r="B808" s="6"/>
      <c r="C808" s="6"/>
    </row>
    <row r="809" ht="15.75" customHeight="1">
      <c r="A809" s="6"/>
      <c r="B809" s="6"/>
      <c r="C809" s="6"/>
    </row>
    <row r="810" ht="15.75" customHeight="1">
      <c r="A810" s="6"/>
      <c r="B810" s="6"/>
      <c r="C810" s="6"/>
    </row>
    <row r="811" ht="15.75" customHeight="1">
      <c r="A811" s="6"/>
      <c r="B811" s="6"/>
      <c r="C811" s="6"/>
    </row>
    <row r="812" ht="15.75" customHeight="1">
      <c r="A812" s="6"/>
      <c r="B812" s="6"/>
      <c r="C812" s="6"/>
    </row>
    <row r="813" ht="15.75" customHeight="1">
      <c r="A813" s="6"/>
      <c r="B813" s="6"/>
      <c r="C813" s="6"/>
    </row>
    <row r="814" ht="15.75" customHeight="1">
      <c r="A814" s="6"/>
      <c r="B814" s="6"/>
      <c r="C814" s="6"/>
    </row>
    <row r="815" ht="15.75" customHeight="1">
      <c r="A815" s="6"/>
      <c r="B815" s="6"/>
      <c r="C815" s="6"/>
    </row>
    <row r="816" ht="15.75" customHeight="1">
      <c r="A816" s="6"/>
      <c r="B816" s="6"/>
      <c r="C816" s="6"/>
    </row>
    <row r="817" ht="15.75" customHeight="1">
      <c r="A817" s="6"/>
      <c r="B817" s="6"/>
      <c r="C817" s="6"/>
    </row>
    <row r="818" ht="15.75" customHeight="1">
      <c r="A818" s="6"/>
      <c r="B818" s="6"/>
      <c r="C818" s="6"/>
    </row>
    <row r="819" ht="15.75" customHeight="1">
      <c r="A819" s="6"/>
      <c r="B819" s="6"/>
      <c r="C819" s="6"/>
    </row>
    <row r="820" ht="15.75" customHeight="1">
      <c r="A820" s="6"/>
      <c r="B820" s="6"/>
      <c r="C820" s="6"/>
    </row>
    <row r="821" ht="15.75" customHeight="1">
      <c r="A821" s="6"/>
      <c r="B821" s="6"/>
      <c r="C821" s="6"/>
    </row>
    <row r="822" ht="15.75" customHeight="1">
      <c r="A822" s="6"/>
      <c r="B822" s="6"/>
      <c r="C822" s="6"/>
    </row>
    <row r="823" ht="15.75" customHeight="1">
      <c r="A823" s="6"/>
      <c r="B823" s="6"/>
      <c r="C823" s="6"/>
    </row>
    <row r="824" ht="15.75" customHeight="1">
      <c r="A824" s="6"/>
      <c r="B824" s="6"/>
      <c r="C824" s="6"/>
    </row>
    <row r="825" ht="15.75" customHeight="1">
      <c r="A825" s="6"/>
      <c r="B825" s="6"/>
      <c r="C825" s="6"/>
    </row>
    <row r="826" ht="15.75" customHeight="1">
      <c r="A826" s="6"/>
      <c r="B826" s="6"/>
      <c r="C826" s="6"/>
    </row>
    <row r="827" ht="15.75" customHeight="1">
      <c r="A827" s="6"/>
      <c r="B827" s="6"/>
      <c r="C827" s="6"/>
    </row>
    <row r="828" ht="15.75" customHeight="1">
      <c r="A828" s="6"/>
      <c r="B828" s="6"/>
      <c r="C828" s="6"/>
    </row>
    <row r="829" ht="15.75" customHeight="1">
      <c r="A829" s="6"/>
      <c r="B829" s="6"/>
      <c r="C829" s="6"/>
    </row>
    <row r="830" ht="15.75" customHeight="1">
      <c r="A830" s="6"/>
      <c r="B830" s="6"/>
      <c r="C830" s="6"/>
    </row>
    <row r="831" ht="15.75" customHeight="1">
      <c r="A831" s="6"/>
      <c r="B831" s="6"/>
      <c r="C831" s="6"/>
    </row>
    <row r="832" ht="15.75" customHeight="1">
      <c r="A832" s="6"/>
      <c r="B832" s="6"/>
      <c r="C832" s="6"/>
    </row>
    <row r="833" ht="15.75" customHeight="1">
      <c r="A833" s="6"/>
      <c r="B833" s="6"/>
      <c r="C833" s="6"/>
    </row>
    <row r="834" ht="15.75" customHeight="1">
      <c r="A834" s="6"/>
      <c r="B834" s="6"/>
      <c r="C834" s="6"/>
    </row>
    <row r="835" ht="15.75" customHeight="1">
      <c r="A835" s="6"/>
      <c r="B835" s="6"/>
      <c r="C835" s="6"/>
    </row>
    <row r="836" ht="15.75" customHeight="1">
      <c r="A836" s="6"/>
      <c r="B836" s="6"/>
      <c r="C836" s="6"/>
    </row>
    <row r="837" ht="15.75" customHeight="1">
      <c r="A837" s="6"/>
      <c r="B837" s="6"/>
      <c r="C837" s="6"/>
    </row>
    <row r="838" ht="15.75" customHeight="1">
      <c r="A838" s="6"/>
      <c r="B838" s="6"/>
      <c r="C838" s="6"/>
    </row>
    <row r="839" ht="15.75" customHeight="1">
      <c r="A839" s="6"/>
      <c r="B839" s="6"/>
      <c r="C839" s="6"/>
    </row>
    <row r="840" ht="15.75" customHeight="1">
      <c r="A840" s="6"/>
      <c r="B840" s="6"/>
      <c r="C840" s="6"/>
    </row>
    <row r="841" ht="15.75" customHeight="1">
      <c r="A841" s="6"/>
      <c r="B841" s="6"/>
      <c r="C841" s="6"/>
    </row>
    <row r="842" ht="15.75" customHeight="1">
      <c r="A842" s="6"/>
      <c r="B842" s="6"/>
      <c r="C842" s="6"/>
    </row>
    <row r="843" ht="15.75" customHeight="1">
      <c r="A843" s="6"/>
      <c r="B843" s="6"/>
      <c r="C843" s="6"/>
    </row>
    <row r="844" ht="15.75" customHeight="1">
      <c r="A844" s="6"/>
      <c r="B844" s="6"/>
      <c r="C844" s="6"/>
    </row>
    <row r="845" ht="15.75" customHeight="1">
      <c r="A845" s="6"/>
      <c r="B845" s="6"/>
      <c r="C845" s="6"/>
    </row>
    <row r="846" ht="15.75" customHeight="1">
      <c r="A846" s="6"/>
      <c r="B846" s="6"/>
      <c r="C846" s="6"/>
    </row>
    <row r="847" ht="15.75" customHeight="1">
      <c r="A847" s="6"/>
      <c r="B847" s="6"/>
      <c r="C847" s="6"/>
    </row>
    <row r="848" ht="15.75" customHeight="1">
      <c r="A848" s="6"/>
      <c r="B848" s="6"/>
      <c r="C848" s="6"/>
    </row>
    <row r="849" ht="15.75" customHeight="1">
      <c r="A849" s="6"/>
      <c r="B849" s="6"/>
      <c r="C849" s="6"/>
    </row>
    <row r="850" ht="15.75" customHeight="1">
      <c r="A850" s="6"/>
      <c r="B850" s="6"/>
      <c r="C850" s="6"/>
    </row>
    <row r="851" ht="15.75" customHeight="1">
      <c r="A851" s="6"/>
      <c r="B851" s="6"/>
      <c r="C851" s="6"/>
    </row>
    <row r="852" ht="15.75" customHeight="1">
      <c r="A852" s="6"/>
      <c r="B852" s="6"/>
      <c r="C852" s="6"/>
    </row>
    <row r="853" ht="15.75" customHeight="1">
      <c r="A853" s="6"/>
      <c r="B853" s="6"/>
      <c r="C853" s="6"/>
    </row>
    <row r="854" ht="15.75" customHeight="1">
      <c r="A854" s="6"/>
      <c r="B854" s="6"/>
      <c r="C854" s="6"/>
    </row>
    <row r="855" ht="15.75" customHeight="1">
      <c r="A855" s="6"/>
      <c r="B855" s="6"/>
      <c r="C855" s="6"/>
    </row>
    <row r="856" ht="15.75" customHeight="1">
      <c r="A856" s="6"/>
      <c r="B856" s="6"/>
      <c r="C856" s="6"/>
    </row>
    <row r="857" ht="15.75" customHeight="1">
      <c r="A857" s="6"/>
      <c r="B857" s="6"/>
      <c r="C857" s="6"/>
    </row>
    <row r="858" ht="15.75" customHeight="1">
      <c r="A858" s="6"/>
      <c r="B858" s="6"/>
      <c r="C858" s="6"/>
    </row>
    <row r="859" ht="15.75" customHeight="1">
      <c r="A859" s="6"/>
      <c r="B859" s="6"/>
      <c r="C859" s="6"/>
    </row>
    <row r="860" ht="15.75" customHeight="1">
      <c r="A860" s="6"/>
      <c r="B860" s="6"/>
      <c r="C860" s="6"/>
    </row>
    <row r="861" ht="15.75" customHeight="1">
      <c r="A861" s="6"/>
      <c r="B861" s="6"/>
      <c r="C861" s="6"/>
    </row>
    <row r="862" ht="15.75" customHeight="1">
      <c r="A862" s="6"/>
      <c r="B862" s="6"/>
      <c r="C862" s="6"/>
    </row>
    <row r="863" ht="15.75" customHeight="1">
      <c r="A863" s="6"/>
      <c r="B863" s="6"/>
      <c r="C863" s="6"/>
    </row>
    <row r="864" ht="15.75" customHeight="1">
      <c r="A864" s="6"/>
      <c r="B864" s="6"/>
      <c r="C864" s="6"/>
    </row>
    <row r="865" ht="15.75" customHeight="1">
      <c r="A865" s="6"/>
      <c r="B865" s="6"/>
      <c r="C865" s="6"/>
    </row>
    <row r="866" ht="15.75" customHeight="1">
      <c r="A866" s="6"/>
      <c r="B866" s="6"/>
      <c r="C866" s="6"/>
    </row>
    <row r="867" ht="15.75" customHeight="1">
      <c r="A867" s="6"/>
      <c r="B867" s="6"/>
      <c r="C867" s="6"/>
    </row>
    <row r="868" ht="15.75" customHeight="1">
      <c r="A868" s="6"/>
      <c r="B868" s="6"/>
      <c r="C868" s="6"/>
    </row>
    <row r="869" ht="15.75" customHeight="1">
      <c r="A869" s="6"/>
      <c r="B869" s="6"/>
      <c r="C869" s="6"/>
    </row>
    <row r="870" ht="15.75" customHeight="1">
      <c r="A870" s="6"/>
      <c r="B870" s="6"/>
      <c r="C870" s="6"/>
    </row>
    <row r="871" ht="15.75" customHeight="1">
      <c r="A871" s="6"/>
      <c r="B871" s="6"/>
      <c r="C871" s="6"/>
    </row>
    <row r="872" ht="15.75" customHeight="1">
      <c r="A872" s="6"/>
      <c r="B872" s="6"/>
      <c r="C872" s="6"/>
    </row>
    <row r="873" ht="15.75" customHeight="1">
      <c r="A873" s="6"/>
      <c r="B873" s="6"/>
      <c r="C873" s="6"/>
    </row>
    <row r="874" ht="15.75" customHeight="1">
      <c r="A874" s="6"/>
      <c r="B874" s="6"/>
      <c r="C874" s="6"/>
    </row>
    <row r="875" ht="15.75" customHeight="1">
      <c r="A875" s="6"/>
      <c r="B875" s="6"/>
      <c r="C875" s="6"/>
    </row>
    <row r="876" ht="15.75" customHeight="1">
      <c r="A876" s="6"/>
      <c r="B876" s="6"/>
      <c r="C876" s="6"/>
    </row>
    <row r="877" ht="15.75" customHeight="1">
      <c r="A877" s="6"/>
      <c r="B877" s="6"/>
      <c r="C877" s="6"/>
    </row>
    <row r="878" ht="15.75" customHeight="1">
      <c r="A878" s="6"/>
      <c r="B878" s="6"/>
      <c r="C878" s="6"/>
    </row>
    <row r="879" ht="15.75" customHeight="1">
      <c r="A879" s="6"/>
      <c r="B879" s="6"/>
      <c r="C879" s="6"/>
    </row>
    <row r="880" ht="15.75" customHeight="1">
      <c r="A880" s="6"/>
      <c r="B880" s="6"/>
      <c r="C880" s="6"/>
    </row>
    <row r="881" ht="15.75" customHeight="1">
      <c r="A881" s="6"/>
      <c r="B881" s="6"/>
      <c r="C881" s="6"/>
    </row>
    <row r="882" ht="15.75" customHeight="1">
      <c r="A882" s="6"/>
      <c r="B882" s="6"/>
      <c r="C882" s="6"/>
    </row>
    <row r="883" ht="15.75" customHeight="1">
      <c r="A883" s="6"/>
      <c r="B883" s="6"/>
      <c r="C883" s="6"/>
    </row>
    <row r="884" ht="15.75" customHeight="1">
      <c r="A884" s="6"/>
      <c r="B884" s="6"/>
      <c r="C884" s="6"/>
    </row>
    <row r="885" ht="15.75" customHeight="1">
      <c r="A885" s="6"/>
      <c r="B885" s="6"/>
      <c r="C885" s="6"/>
    </row>
    <row r="886" ht="15.75" customHeight="1">
      <c r="A886" s="6"/>
      <c r="B886" s="6"/>
      <c r="C886" s="6"/>
    </row>
    <row r="887" ht="15.75" customHeight="1">
      <c r="A887" s="6"/>
      <c r="B887" s="6"/>
      <c r="C887" s="6"/>
    </row>
    <row r="888" ht="15.75" customHeight="1">
      <c r="A888" s="6"/>
      <c r="B888" s="6"/>
      <c r="C888" s="6"/>
    </row>
    <row r="889" ht="15.75" customHeight="1">
      <c r="A889" s="6"/>
      <c r="B889" s="6"/>
      <c r="C889" s="6"/>
    </row>
    <row r="890" ht="15.75" customHeight="1">
      <c r="A890" s="6"/>
      <c r="B890" s="6"/>
      <c r="C890" s="6"/>
    </row>
    <row r="891" ht="15.75" customHeight="1">
      <c r="A891" s="6"/>
      <c r="B891" s="6"/>
      <c r="C891" s="6"/>
    </row>
    <row r="892" ht="15.75" customHeight="1">
      <c r="A892" s="6"/>
      <c r="B892" s="6"/>
      <c r="C892" s="6"/>
    </row>
    <row r="893" ht="15.75" customHeight="1">
      <c r="A893" s="6"/>
      <c r="B893" s="6"/>
      <c r="C893" s="6"/>
    </row>
    <row r="894" ht="15.75" customHeight="1">
      <c r="A894" s="6"/>
      <c r="B894" s="6"/>
      <c r="C894" s="6"/>
    </row>
    <row r="895" ht="15.75" customHeight="1">
      <c r="A895" s="6"/>
      <c r="B895" s="6"/>
      <c r="C895" s="6"/>
    </row>
    <row r="896" ht="15.75" customHeight="1">
      <c r="A896" s="6"/>
      <c r="B896" s="6"/>
      <c r="C896" s="6"/>
    </row>
    <row r="897" ht="15.75" customHeight="1">
      <c r="A897" s="6"/>
      <c r="B897" s="6"/>
      <c r="C897" s="6"/>
    </row>
    <row r="898" ht="15.75" customHeight="1">
      <c r="A898" s="6"/>
      <c r="B898" s="6"/>
      <c r="C898" s="6"/>
    </row>
    <row r="899" ht="15.75" customHeight="1">
      <c r="A899" s="6"/>
      <c r="B899" s="6"/>
      <c r="C899" s="6"/>
    </row>
    <row r="900" ht="15.75" customHeight="1">
      <c r="A900" s="6"/>
      <c r="B900" s="6"/>
      <c r="C900" s="6"/>
    </row>
    <row r="901" ht="15.75" customHeight="1">
      <c r="A901" s="6"/>
      <c r="B901" s="6"/>
      <c r="C901" s="6"/>
    </row>
    <row r="902" ht="15.75" customHeight="1">
      <c r="A902" s="6"/>
      <c r="B902" s="6"/>
      <c r="C902" s="6"/>
    </row>
    <row r="903" ht="15.75" customHeight="1">
      <c r="A903" s="6"/>
      <c r="B903" s="6"/>
      <c r="C903" s="6"/>
    </row>
    <row r="904" ht="15.75" customHeight="1">
      <c r="A904" s="6"/>
      <c r="B904" s="6"/>
      <c r="C904" s="6"/>
    </row>
    <row r="905" ht="15.75" customHeight="1">
      <c r="A905" s="6"/>
      <c r="B905" s="6"/>
      <c r="C905" s="6"/>
    </row>
    <row r="906" ht="15.75" customHeight="1">
      <c r="A906" s="6"/>
      <c r="B906" s="6"/>
      <c r="C906" s="6"/>
    </row>
    <row r="907" ht="15.75" customHeight="1">
      <c r="A907" s="6"/>
      <c r="B907" s="6"/>
      <c r="C907" s="6"/>
    </row>
    <row r="908" ht="15.75" customHeight="1">
      <c r="A908" s="6"/>
      <c r="B908" s="6"/>
      <c r="C908" s="6"/>
    </row>
    <row r="909" ht="15.75" customHeight="1">
      <c r="A909" s="6"/>
      <c r="B909" s="6"/>
      <c r="C909" s="6"/>
    </row>
    <row r="910" ht="15.75" customHeight="1">
      <c r="A910" s="6"/>
      <c r="B910" s="6"/>
      <c r="C910" s="6"/>
    </row>
    <row r="911" ht="15.75" customHeight="1">
      <c r="A911" s="6"/>
      <c r="B911" s="6"/>
      <c r="C911" s="6"/>
    </row>
    <row r="912" ht="15.75" customHeight="1">
      <c r="A912" s="6"/>
      <c r="B912" s="6"/>
      <c r="C912" s="6"/>
    </row>
    <row r="913" ht="15.75" customHeight="1">
      <c r="A913" s="6"/>
      <c r="B913" s="6"/>
      <c r="C913" s="6"/>
    </row>
    <row r="914" ht="15.75" customHeight="1">
      <c r="A914" s="6"/>
      <c r="B914" s="6"/>
      <c r="C914" s="6"/>
    </row>
    <row r="915" ht="15.75" customHeight="1">
      <c r="A915" s="6"/>
      <c r="B915" s="6"/>
      <c r="C915" s="6"/>
    </row>
    <row r="916" ht="15.75" customHeight="1">
      <c r="A916" s="6"/>
      <c r="B916" s="6"/>
      <c r="C916" s="6"/>
    </row>
    <row r="917" ht="15.75" customHeight="1">
      <c r="A917" s="6"/>
      <c r="B917" s="6"/>
      <c r="C917" s="6"/>
    </row>
    <row r="918" ht="15.75" customHeight="1">
      <c r="A918" s="6"/>
      <c r="B918" s="6"/>
      <c r="C918" s="6"/>
    </row>
    <row r="919" ht="15.75" customHeight="1">
      <c r="A919" s="6"/>
      <c r="B919" s="6"/>
      <c r="C919" s="6"/>
    </row>
    <row r="920" ht="15.75" customHeight="1">
      <c r="A920" s="6"/>
      <c r="B920" s="6"/>
      <c r="C920" s="6"/>
    </row>
    <row r="921" ht="15.75" customHeight="1">
      <c r="A921" s="6"/>
      <c r="B921" s="6"/>
      <c r="C921" s="6"/>
    </row>
    <row r="922" ht="15.75" customHeight="1">
      <c r="A922" s="6"/>
      <c r="B922" s="6"/>
      <c r="C922" s="6"/>
    </row>
    <row r="923" ht="15.75" customHeight="1">
      <c r="A923" s="6"/>
      <c r="B923" s="6"/>
      <c r="C923" s="6"/>
    </row>
    <row r="924" ht="15.75" customHeight="1">
      <c r="A924" s="6"/>
      <c r="B924" s="6"/>
      <c r="C924" s="6"/>
    </row>
    <row r="925" ht="15.75" customHeight="1">
      <c r="A925" s="6"/>
      <c r="B925" s="6"/>
      <c r="C925" s="6"/>
    </row>
    <row r="926" ht="15.75" customHeight="1">
      <c r="A926" s="6"/>
      <c r="B926" s="6"/>
      <c r="C926" s="6"/>
    </row>
    <row r="927" ht="15.75" customHeight="1">
      <c r="A927" s="6"/>
      <c r="B927" s="6"/>
      <c r="C927" s="6"/>
    </row>
    <row r="928" ht="15.75" customHeight="1">
      <c r="A928" s="6"/>
      <c r="B928" s="6"/>
      <c r="C928" s="6"/>
    </row>
    <row r="929" ht="15.75" customHeight="1">
      <c r="A929" s="6"/>
      <c r="B929" s="6"/>
      <c r="C929" s="6"/>
    </row>
    <row r="930" ht="15.75" customHeight="1">
      <c r="A930" s="6"/>
      <c r="B930" s="6"/>
      <c r="C930" s="6"/>
    </row>
    <row r="931" ht="15.75" customHeight="1">
      <c r="A931" s="6"/>
      <c r="B931" s="6"/>
      <c r="C931" s="6"/>
    </row>
    <row r="932" ht="15.75" customHeight="1">
      <c r="A932" s="6"/>
      <c r="B932" s="6"/>
      <c r="C932" s="6"/>
    </row>
    <row r="933" ht="15.75" customHeight="1">
      <c r="A933" s="6"/>
      <c r="B933" s="6"/>
      <c r="C933" s="6"/>
    </row>
    <row r="934" ht="15.75" customHeight="1">
      <c r="A934" s="6"/>
      <c r="B934" s="6"/>
      <c r="C934" s="6"/>
    </row>
    <row r="935" ht="15.75" customHeight="1">
      <c r="A935" s="6"/>
      <c r="B935" s="6"/>
      <c r="C935" s="6"/>
    </row>
    <row r="936" ht="15.75" customHeight="1">
      <c r="A936" s="6"/>
      <c r="B936" s="6"/>
      <c r="C936" s="6"/>
    </row>
    <row r="937" ht="15.75" customHeight="1">
      <c r="A937" s="6"/>
      <c r="B937" s="6"/>
      <c r="C937" s="6"/>
    </row>
    <row r="938" ht="15.75" customHeight="1">
      <c r="A938" s="6"/>
      <c r="B938" s="6"/>
      <c r="C938" s="6"/>
    </row>
    <row r="939" ht="15.75" customHeight="1">
      <c r="A939" s="6"/>
      <c r="B939" s="6"/>
      <c r="C939" s="6"/>
    </row>
    <row r="940" ht="15.75" customHeight="1">
      <c r="A940" s="6"/>
      <c r="B940" s="6"/>
      <c r="C940" s="6"/>
    </row>
    <row r="941" ht="15.75" customHeight="1">
      <c r="A941" s="6"/>
      <c r="B941" s="6"/>
      <c r="C941" s="6"/>
    </row>
    <row r="942" ht="15.75" customHeight="1">
      <c r="A942" s="6"/>
      <c r="B942" s="6"/>
      <c r="C942" s="6"/>
    </row>
    <row r="943" ht="15.75" customHeight="1">
      <c r="A943" s="6"/>
      <c r="B943" s="6"/>
      <c r="C943" s="6"/>
    </row>
    <row r="944" ht="15.75" customHeight="1">
      <c r="A944" s="6"/>
      <c r="B944" s="6"/>
      <c r="C944" s="6"/>
    </row>
    <row r="945" ht="15.75" customHeight="1">
      <c r="A945" s="6"/>
      <c r="B945" s="6"/>
      <c r="C945" s="6"/>
    </row>
    <row r="946" ht="15.75" customHeight="1">
      <c r="A946" s="6"/>
      <c r="B946" s="6"/>
      <c r="C946" s="6"/>
    </row>
    <row r="947" ht="15.75" customHeight="1">
      <c r="A947" s="6"/>
      <c r="B947" s="6"/>
      <c r="C947" s="6"/>
    </row>
    <row r="948" ht="15.75" customHeight="1">
      <c r="A948" s="6"/>
      <c r="B948" s="6"/>
      <c r="C948" s="6"/>
    </row>
    <row r="949" ht="15.75" customHeight="1">
      <c r="A949" s="6"/>
      <c r="B949" s="6"/>
      <c r="C949" s="6"/>
    </row>
    <row r="950" ht="15.75" customHeight="1">
      <c r="A950" s="6"/>
      <c r="B950" s="6"/>
      <c r="C950" s="6"/>
    </row>
    <row r="951" ht="15.75" customHeight="1">
      <c r="A951" s="6"/>
      <c r="B951" s="6"/>
      <c r="C951" s="6"/>
    </row>
    <row r="952" ht="15.75" customHeight="1">
      <c r="A952" s="6"/>
      <c r="B952" s="6"/>
      <c r="C952" s="6"/>
    </row>
    <row r="953" ht="15.75" customHeight="1">
      <c r="A953" s="6"/>
      <c r="B953" s="6"/>
      <c r="C953" s="6"/>
    </row>
    <row r="954" ht="15.75" customHeight="1">
      <c r="A954" s="6"/>
      <c r="B954" s="6"/>
      <c r="C954" s="6"/>
    </row>
    <row r="955" ht="15.75" customHeight="1">
      <c r="A955" s="6"/>
      <c r="B955" s="6"/>
      <c r="C955" s="6"/>
    </row>
    <row r="956" ht="15.75" customHeight="1">
      <c r="A956" s="6"/>
      <c r="B956" s="6"/>
      <c r="C956" s="6"/>
    </row>
    <row r="957" ht="15.75" customHeight="1">
      <c r="A957" s="6"/>
      <c r="B957" s="6"/>
      <c r="C957" s="6"/>
    </row>
    <row r="958" ht="15.75" customHeight="1">
      <c r="A958" s="6"/>
      <c r="B958" s="6"/>
      <c r="C958" s="6"/>
    </row>
    <row r="959" ht="15.75" customHeight="1">
      <c r="A959" s="6"/>
      <c r="B959" s="6"/>
      <c r="C959" s="6"/>
    </row>
    <row r="960" ht="15.75" customHeight="1">
      <c r="A960" s="6"/>
      <c r="B960" s="6"/>
      <c r="C960" s="6"/>
    </row>
    <row r="961" ht="15.75" customHeight="1">
      <c r="A961" s="6"/>
      <c r="B961" s="6"/>
      <c r="C961" s="6"/>
    </row>
    <row r="962" ht="15.75" customHeight="1">
      <c r="A962" s="6"/>
      <c r="B962" s="6"/>
      <c r="C962" s="6"/>
    </row>
    <row r="963" ht="15.75" customHeight="1">
      <c r="A963" s="6"/>
      <c r="B963" s="6"/>
      <c r="C963" s="6"/>
    </row>
    <row r="964" ht="15.75" customHeight="1">
      <c r="A964" s="6"/>
      <c r="B964" s="6"/>
      <c r="C964" s="6"/>
    </row>
    <row r="965" ht="15.75" customHeight="1">
      <c r="A965" s="6"/>
      <c r="B965" s="6"/>
      <c r="C965" s="6"/>
    </row>
    <row r="966" ht="15.75" customHeight="1">
      <c r="A966" s="6"/>
      <c r="B966" s="6"/>
      <c r="C966" s="6"/>
    </row>
    <row r="967" ht="15.75" customHeight="1">
      <c r="A967" s="6"/>
      <c r="B967" s="6"/>
      <c r="C967" s="6"/>
    </row>
    <row r="968" ht="15.75" customHeight="1">
      <c r="A968" s="6"/>
      <c r="B968" s="6"/>
      <c r="C968" s="6"/>
    </row>
    <row r="969" ht="15.75" customHeight="1">
      <c r="A969" s="6"/>
      <c r="B969" s="6"/>
      <c r="C969" s="6"/>
    </row>
    <row r="970" ht="15.75" customHeight="1">
      <c r="A970" s="6"/>
      <c r="B970" s="6"/>
      <c r="C970" s="6"/>
    </row>
    <row r="971" ht="15.75" customHeight="1">
      <c r="A971" s="6"/>
      <c r="B971" s="6"/>
      <c r="C971" s="6"/>
    </row>
    <row r="972" ht="15.75" customHeight="1">
      <c r="A972" s="6"/>
      <c r="B972" s="6"/>
      <c r="C972" s="6"/>
    </row>
    <row r="973" ht="15.75" customHeight="1">
      <c r="A973" s="6"/>
      <c r="B973" s="6"/>
      <c r="C973" s="6"/>
    </row>
    <row r="974" ht="15.75" customHeight="1">
      <c r="A974" s="6"/>
      <c r="B974" s="6"/>
      <c r="C974" s="6"/>
    </row>
    <row r="975" ht="15.75" customHeight="1">
      <c r="A975" s="6"/>
      <c r="B975" s="6"/>
      <c r="C975" s="6"/>
    </row>
    <row r="976" ht="15.75" customHeight="1">
      <c r="A976" s="6"/>
      <c r="B976" s="6"/>
      <c r="C976" s="6"/>
    </row>
    <row r="977" ht="15.75" customHeight="1">
      <c r="A977" s="6"/>
      <c r="B977" s="6"/>
      <c r="C977" s="6"/>
    </row>
    <row r="978" ht="15.75" customHeight="1">
      <c r="A978" s="6"/>
      <c r="B978" s="6"/>
      <c r="C978" s="6"/>
    </row>
    <row r="979" ht="15.75" customHeight="1">
      <c r="A979" s="6"/>
      <c r="B979" s="6"/>
      <c r="C979" s="6"/>
    </row>
    <row r="980" ht="15.75" customHeight="1">
      <c r="A980" s="6"/>
      <c r="B980" s="6"/>
      <c r="C980" s="6"/>
    </row>
    <row r="981" ht="15.75" customHeight="1">
      <c r="A981" s="6"/>
      <c r="B981" s="6"/>
      <c r="C981" s="6"/>
    </row>
    <row r="982" ht="15.75" customHeight="1">
      <c r="A982" s="6"/>
      <c r="B982" s="6"/>
      <c r="C982" s="6"/>
    </row>
    <row r="983" ht="15.75" customHeight="1">
      <c r="A983" s="6"/>
      <c r="B983" s="6"/>
      <c r="C983" s="6"/>
    </row>
    <row r="984" ht="15.75" customHeight="1">
      <c r="A984" s="6"/>
      <c r="B984" s="6"/>
      <c r="C984" s="6"/>
    </row>
    <row r="985" ht="15.75" customHeight="1">
      <c r="A985" s="6"/>
      <c r="B985" s="6"/>
      <c r="C985" s="6"/>
    </row>
    <row r="986" ht="15.75" customHeight="1">
      <c r="A986" s="6"/>
      <c r="B986" s="6"/>
      <c r="C986" s="6"/>
    </row>
    <row r="987" ht="15.75" customHeight="1">
      <c r="A987" s="6"/>
      <c r="B987" s="6"/>
      <c r="C987" s="6"/>
    </row>
    <row r="988" ht="15.75" customHeight="1">
      <c r="A988" s="6"/>
      <c r="B988" s="6"/>
      <c r="C988" s="6"/>
    </row>
    <row r="989" ht="15.75" customHeight="1">
      <c r="A989" s="6"/>
      <c r="B989" s="6"/>
      <c r="C989" s="6"/>
    </row>
    <row r="990" ht="15.75" customHeight="1">
      <c r="A990" s="6"/>
      <c r="B990" s="6"/>
      <c r="C990" s="6"/>
    </row>
    <row r="991" ht="15.75" customHeight="1">
      <c r="A991" s="6"/>
      <c r="B991" s="6"/>
      <c r="C991" s="6"/>
    </row>
    <row r="992" ht="15.75" customHeight="1">
      <c r="A992" s="6"/>
      <c r="B992" s="6"/>
      <c r="C992" s="6"/>
    </row>
    <row r="993" ht="15.75" customHeight="1">
      <c r="A993" s="6"/>
      <c r="B993" s="6"/>
      <c r="C993" s="6"/>
    </row>
    <row r="994" ht="15.75" customHeight="1">
      <c r="A994" s="6"/>
      <c r="B994" s="6"/>
      <c r="C994" s="6"/>
    </row>
    <row r="995" ht="15.75" customHeight="1">
      <c r="A995" s="6"/>
      <c r="B995" s="6"/>
      <c r="C995" s="6"/>
    </row>
    <row r="996" ht="15.75" customHeight="1">
      <c r="A996" s="6"/>
      <c r="B996" s="6"/>
      <c r="C996" s="6"/>
    </row>
    <row r="997" ht="15.75" customHeight="1">
      <c r="A997" s="6"/>
      <c r="B997" s="6"/>
      <c r="C997" s="6"/>
    </row>
    <row r="998" ht="15.75" customHeight="1">
      <c r="A998" s="6"/>
      <c r="B998" s="6"/>
      <c r="C998" s="6"/>
    </row>
    <row r="999" ht="15.75" customHeight="1">
      <c r="A999" s="6"/>
      <c r="B999" s="6"/>
      <c r="C999" s="6"/>
    </row>
    <row r="1000" ht="15.75" customHeight="1">
      <c r="A1000" s="6"/>
      <c r="B1000" s="6"/>
      <c r="C1000" s="6"/>
    </row>
  </sheetData>
  <autoFilter ref="$A$1:$C$29"/>
  <printOptions/>
  <pageMargins bottom="1.0" footer="0.0" header="0.0" left="0.75" right="0.75" top="1.0"/>
  <pageSetup paperSize="9" orientation="portrait"/>
  <drawing r:id="rId1"/>
</worksheet>
</file>